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keysan\TEST\"/>
    </mc:Choice>
  </mc:AlternateContent>
  <xr:revisionPtr revIDLastSave="0" documentId="13_ncr:1_{130B9ADE-9F32-474C-936B-CFE390796C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Al update MTO - 05-1-30" sheetId="2" r:id="rId2"/>
    <sheet name="متریال" sheetId="1" r:id="rId3"/>
    <sheet name="Line" sheetId="4" r:id="rId4"/>
    <sheet name="خروجی" sheetId="5" r:id="rId5"/>
  </sheets>
  <definedNames>
    <definedName name="_xlnm._FilterDatabase" localSheetId="2" hidden="1">متریال!$P$1:$P$132</definedName>
    <definedName name="ExternalData_1" localSheetId="1" hidden="1">'Al update MTO - 05-1-30'!$A$1:$N$2399</definedName>
  </definedNames>
  <calcPr calcId="191029"/>
  <pivotCaches>
    <pivotCache cacheId="30" r:id="rId6"/>
    <pivotCache cacheId="4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" l="1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3" i="4"/>
  <c r="F3" i="4" s="1"/>
  <c r="E4" i="4"/>
  <c r="F4" i="4" s="1"/>
  <c r="E5" i="4"/>
  <c r="F5" i="4" s="1"/>
  <c r="E2" i="4"/>
  <c r="F2" i="4" s="1"/>
  <c r="B12" i="1"/>
  <c r="B78" i="1"/>
  <c r="B32" i="1"/>
  <c r="B56" i="1"/>
  <c r="B38" i="1"/>
  <c r="B46" i="1"/>
  <c r="B47" i="1"/>
  <c r="B35" i="1"/>
  <c r="B6" i="1"/>
  <c r="B7" i="1"/>
  <c r="B31" i="1"/>
  <c r="B30" i="1"/>
  <c r="B20" i="1"/>
  <c r="B21" i="1"/>
  <c r="B65" i="1"/>
  <c r="B17" i="1"/>
  <c r="B63" i="1"/>
  <c r="B18" i="1"/>
  <c r="B14" i="1"/>
  <c r="B55" i="1"/>
  <c r="B54" i="1"/>
  <c r="B76" i="1"/>
  <c r="B48" i="1"/>
  <c r="B45" i="1"/>
  <c r="B52" i="1"/>
  <c r="B22" i="1"/>
  <c r="B67" i="1"/>
  <c r="B91" i="1"/>
  <c r="B74" i="1"/>
  <c r="B73" i="1"/>
  <c r="B27" i="1"/>
  <c r="B36" i="1"/>
  <c r="B29" i="1"/>
  <c r="B28" i="1"/>
  <c r="B43" i="1"/>
  <c r="B9" i="1"/>
  <c r="B41" i="1"/>
  <c r="B19" i="1"/>
  <c r="B60" i="1"/>
  <c r="B87" i="1"/>
  <c r="B66" i="1"/>
  <c r="B8" i="1"/>
  <c r="B42" i="1"/>
  <c r="B51" i="1"/>
  <c r="B24" i="1"/>
  <c r="B85" i="1"/>
  <c r="B89" i="1"/>
  <c r="B75" i="1"/>
  <c r="B44" i="1"/>
  <c r="B37" i="1"/>
  <c r="B58" i="1"/>
  <c r="B33" i="1"/>
  <c r="B53" i="1"/>
  <c r="B34" i="1"/>
  <c r="B49" i="1"/>
  <c r="B16" i="1"/>
  <c r="B59" i="1"/>
  <c r="B86" i="1"/>
  <c r="B90" i="1"/>
  <c r="B39" i="1"/>
  <c r="B40" i="1"/>
  <c r="B2" i="1"/>
  <c r="B3" i="1"/>
  <c r="B88" i="1"/>
  <c r="B64" i="1"/>
  <c r="B62" i="1"/>
  <c r="B71" i="1"/>
  <c r="B72" i="1"/>
  <c r="B50" i="1"/>
  <c r="B25" i="1"/>
  <c r="B61" i="1"/>
  <c r="B15" i="1"/>
  <c r="B69" i="1"/>
  <c r="B4" i="1"/>
  <c r="B5" i="1"/>
  <c r="B70" i="1"/>
  <c r="B26" i="1"/>
  <c r="B11" i="1"/>
  <c r="B10" i="1"/>
  <c r="B23" i="1"/>
  <c r="B57" i="1"/>
  <c r="B68" i="1"/>
  <c r="B79" i="1"/>
  <c r="B80" i="1"/>
  <c r="B81" i="1"/>
  <c r="B82" i="1"/>
  <c r="B77" i="1"/>
  <c r="B83" i="1"/>
  <c r="B84" i="1"/>
  <c r="B13" i="1"/>
  <c r="C12" i="1" l="1"/>
  <c r="C78" i="1"/>
  <c r="C32" i="1"/>
  <c r="C56" i="1"/>
  <c r="C38" i="1"/>
  <c r="C46" i="1"/>
  <c r="C47" i="1"/>
  <c r="C35" i="1"/>
  <c r="C6" i="1"/>
  <c r="C7" i="1"/>
  <c r="C31" i="1"/>
  <c r="C30" i="1"/>
  <c r="C20" i="1"/>
  <c r="C21" i="1"/>
  <c r="C65" i="1"/>
  <c r="C17" i="1"/>
  <c r="C63" i="1"/>
  <c r="C18" i="1"/>
  <c r="C14" i="1"/>
  <c r="C55" i="1"/>
  <c r="C54" i="1"/>
  <c r="C76" i="1"/>
  <c r="C48" i="1"/>
  <c r="C45" i="1"/>
  <c r="C52" i="1"/>
  <c r="C22" i="1"/>
  <c r="C67" i="1"/>
  <c r="C91" i="1"/>
  <c r="C74" i="1"/>
  <c r="C73" i="1"/>
  <c r="C27" i="1"/>
  <c r="C36" i="1"/>
  <c r="C29" i="1"/>
  <c r="C28" i="1"/>
  <c r="C43" i="1"/>
  <c r="C9" i="1"/>
  <c r="C41" i="1"/>
  <c r="C19" i="1"/>
  <c r="C60" i="1"/>
  <c r="C87" i="1"/>
  <c r="C66" i="1"/>
  <c r="C8" i="1"/>
  <c r="C42" i="1"/>
  <c r="C51" i="1"/>
  <c r="C24" i="1"/>
  <c r="C85" i="1"/>
  <c r="C89" i="1"/>
  <c r="C75" i="1"/>
  <c r="C44" i="1"/>
  <c r="C37" i="1"/>
  <c r="C58" i="1"/>
  <c r="C33" i="1"/>
  <c r="C53" i="1"/>
  <c r="C34" i="1"/>
  <c r="C49" i="1"/>
  <c r="C16" i="1"/>
  <c r="C59" i="1"/>
  <c r="C86" i="1"/>
  <c r="C90" i="1"/>
  <c r="C39" i="1"/>
  <c r="C40" i="1"/>
  <c r="C2" i="1"/>
  <c r="C3" i="1"/>
  <c r="C88" i="1"/>
  <c r="C64" i="1"/>
  <c r="C62" i="1"/>
  <c r="C71" i="1"/>
  <c r="C72" i="1"/>
  <c r="C50" i="1"/>
  <c r="C25" i="1"/>
  <c r="C61" i="1"/>
  <c r="C15" i="1"/>
  <c r="C69" i="1"/>
  <c r="C4" i="1"/>
  <c r="C5" i="1"/>
  <c r="C70" i="1"/>
  <c r="C26" i="1"/>
  <c r="C11" i="1"/>
  <c r="C10" i="1"/>
  <c r="C23" i="1"/>
  <c r="C57" i="1"/>
  <c r="C68" i="1"/>
  <c r="C79" i="1"/>
  <c r="C80" i="1"/>
  <c r="C81" i="1"/>
  <c r="C82" i="1"/>
  <c r="C77" i="1"/>
  <c r="C83" i="1"/>
  <c r="C84" i="1"/>
  <c r="C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Mahdi</author>
  </authors>
  <commentList>
    <comment ref="H129" authorId="0" shapeId="0" xr:uid="{3BC07A55-DC48-479B-8525-85CE72E20F4B}">
      <text>
        <r>
          <rPr>
            <b/>
            <sz val="9"/>
            <color indexed="81"/>
            <rFont val="Tahoma"/>
          </rPr>
          <t>Mahdi:</t>
        </r>
        <r>
          <rPr>
            <sz val="9"/>
            <color indexed="81"/>
            <rFont val="Tahoma"/>
          </rPr>
          <t xml:space="preserve">
لینک نشده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4BB079-ECC2-4C6D-B0FB-C3357247B9DC}" keepAlive="1" name="Query - Al update MTO - 05-1-30" description="Connection to the 'Al update MTO - 05-1-30' query in the workbook." type="5" refreshedVersion="8" background="1" saveData="1">
    <dbPr connection="Provider=Microsoft.Mashup.OleDb.1;Data Source=$Workbook$;Location=&quot;Al update MTO - 05-1-30&quot;;Extended Properties=&quot;&quot;" command="SELECT * FROM [Al update MTO - 05-1-30]"/>
  </connection>
  <connection id="2" xr16:uid="{DA107BAD-15C4-4B3A-9850-3E2B66776E0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5C7628B1-AC06-4698-931E-37A6BDA9058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9E5D3AA-4FB5-4EA4-9AB7-3A645C5805B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404322C-E05C-41DB-8E68-3F2C929B287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<sst xmlns="http://schemas.openxmlformats.org/spreadsheetml/2006/main" count="15978" uniqueCount="201">
  <si>
    <t>Source.Name</t>
  </si>
  <si>
    <t>Name</t>
  </si>
  <si>
    <t>Item</t>
  </si>
  <si>
    <t>Kind</t>
  </si>
  <si>
    <t>Hidden</t>
  </si>
  <si>
    <t>- 1000A - Al - update MTO - rev 00.xlsx</t>
  </si>
  <si>
    <t>FEEDER-1000</t>
  </si>
  <si>
    <t>Sheet</t>
  </si>
  <si>
    <t>Vertical elbow</t>
  </si>
  <si>
    <t>Horizontal elbow</t>
  </si>
  <si>
    <t xml:space="preserve">Flange end </t>
  </si>
  <si>
    <t>TOP OFF BOX 250</t>
  </si>
  <si>
    <t>Flexible connection</t>
  </si>
  <si>
    <t>DISTRIBUTION BOARD</t>
  </si>
  <si>
    <t>Transformer connection</t>
  </si>
  <si>
    <t>Connection protection unit</t>
  </si>
  <si>
    <t>SPRINH HANGER</t>
  </si>
  <si>
    <t>Suspension unit ceiling</t>
  </si>
  <si>
    <t>Universal fixing unit</t>
  </si>
  <si>
    <t>- 1250A - Al - update MTO - rev 00.xlsx</t>
  </si>
  <si>
    <t>FEEDER-1250</t>
  </si>
  <si>
    <t>- 1600A - Al - update MTO - rev 00.xlsx</t>
  </si>
  <si>
    <t>FEEDER-1600</t>
  </si>
  <si>
    <t>FEEDER-1600 1m 4w</t>
  </si>
  <si>
    <t>FEEDER-1600 1m 5w</t>
  </si>
  <si>
    <t>- 2000A - Al - update MTO - rev 00.xlsx</t>
  </si>
  <si>
    <t>FEEDER-2000</t>
  </si>
  <si>
    <t>- 2500A - Al - update MTO - rev 00.xlsx</t>
  </si>
  <si>
    <t>FEEDER-2500</t>
  </si>
  <si>
    <t>- 3200A - Al - update MTO - rev 00.xlsx</t>
  </si>
  <si>
    <t>FEEDER-3200</t>
  </si>
  <si>
    <t>- 400A -630A - Al - update MTO - rev 00.xlsx</t>
  </si>
  <si>
    <t>FEEDER-630</t>
  </si>
  <si>
    <t>- 800A - Al - update MTO - rev 00.xlsx</t>
  </si>
  <si>
    <t>FEEDER-800</t>
  </si>
  <si>
    <t>ردیف</t>
  </si>
  <si>
    <t>دسته</t>
  </si>
  <si>
    <t>متریال</t>
  </si>
  <si>
    <t>DIMENTION</t>
  </si>
  <si>
    <t>QTY</t>
  </si>
  <si>
    <t>VALUE</t>
  </si>
  <si>
    <t>UNIT</t>
  </si>
  <si>
    <t>UNIT PRICE</t>
  </si>
  <si>
    <t>TOTAL PRICE</t>
  </si>
  <si>
    <t>آلومینیوم</t>
  </si>
  <si>
    <t>پروفیل  یو شکل</t>
  </si>
  <si>
    <t>Kg</t>
  </si>
  <si>
    <t>پروفیل  آی شکل</t>
  </si>
  <si>
    <t>هیت سینگ 163</t>
  </si>
  <si>
    <t>دایکاست (نگهدارنده کاور)</t>
  </si>
  <si>
    <t xml:space="preserve">گارد </t>
  </si>
  <si>
    <t xml:space="preserve">شینه آلومینیوم 6 میلیمتری </t>
  </si>
  <si>
    <t>عایق ها</t>
  </si>
  <si>
    <t xml:space="preserve">عایق میکا </t>
  </si>
  <si>
    <t>M2</t>
  </si>
  <si>
    <t xml:space="preserve">عایق نومکس یا مایلار </t>
  </si>
  <si>
    <t>رنگ بدنه</t>
  </si>
  <si>
    <t>رنگ پودری</t>
  </si>
  <si>
    <t>قلع</t>
  </si>
  <si>
    <t>ابکاری پلیت</t>
  </si>
  <si>
    <t>ابکاری شینه ها سراسر</t>
  </si>
  <si>
    <t>PCS</t>
  </si>
  <si>
    <t>چسب</t>
  </si>
  <si>
    <t>چسب عایق ها</t>
  </si>
  <si>
    <t>چسب سیلیکون</t>
  </si>
  <si>
    <t>پیچ و مهره</t>
  </si>
  <si>
    <t>پیچ  8x20</t>
  </si>
  <si>
    <t>80</t>
  </si>
  <si>
    <t>پیچ  8x25</t>
  </si>
  <si>
    <t>مهره خاردار 8</t>
  </si>
  <si>
    <t>پیچ  6x10</t>
  </si>
  <si>
    <t>مهره پرچی ته بسته 6</t>
  </si>
  <si>
    <t>پیچ  6x15</t>
  </si>
  <si>
    <t>مس</t>
  </si>
  <si>
    <t>پلیت مونو بلاک</t>
  </si>
  <si>
    <t>آهن</t>
  </si>
  <si>
    <t>کاورهای کناری</t>
  </si>
  <si>
    <t>115 X 185</t>
  </si>
  <si>
    <t>کاور بالا و پایین</t>
  </si>
  <si>
    <t>425 X 265</t>
  </si>
  <si>
    <t>الومینیوم</t>
  </si>
  <si>
    <t>هولدر مونوبلاک</t>
  </si>
  <si>
    <t>163*157</t>
  </si>
  <si>
    <t>پلی امید</t>
  </si>
  <si>
    <t>عایق یک طرفه</t>
  </si>
  <si>
    <t>2</t>
  </si>
  <si>
    <t>عایق دو طرفه</t>
  </si>
  <si>
    <t>3</t>
  </si>
  <si>
    <t>ABS</t>
  </si>
  <si>
    <t>قطعه شش ضلعی</t>
  </si>
  <si>
    <t>80 mm</t>
  </si>
  <si>
    <t>پیچ 12x120</t>
  </si>
  <si>
    <t>مهره مربعی</t>
  </si>
  <si>
    <t>واشر قابلمه ای 74 به ضخامت 5 میلیمتر</t>
  </si>
  <si>
    <t>نوار IP</t>
  </si>
  <si>
    <t>نوار چسبی مونوبلاک ها</t>
  </si>
  <si>
    <t xml:space="preserve">نوار آی پی 25 میل </t>
  </si>
  <si>
    <t>m</t>
  </si>
  <si>
    <t>ترموفیت</t>
  </si>
  <si>
    <t>ترموفیت سر و ته باسداکت</t>
  </si>
  <si>
    <t xml:space="preserve">m </t>
  </si>
  <si>
    <t>ساعت کار ( ساعت )</t>
  </si>
  <si>
    <t>h</t>
  </si>
  <si>
    <t>8</t>
  </si>
  <si>
    <t>جوش</t>
  </si>
  <si>
    <t>جوشکاری آلومینیوم</t>
  </si>
  <si>
    <t>جوش اصطکاکی</t>
  </si>
  <si>
    <t>ضریب ٪</t>
  </si>
  <si>
    <t>%</t>
  </si>
  <si>
    <t xml:space="preserve">بدنه </t>
  </si>
  <si>
    <t>مسی</t>
  </si>
  <si>
    <t>شینه های خروجی</t>
  </si>
  <si>
    <t>پیچ  6x20</t>
  </si>
  <si>
    <t>مهره 6</t>
  </si>
  <si>
    <t>واشر تخت 6</t>
  </si>
  <si>
    <t>مهره فلنجی</t>
  </si>
  <si>
    <t>بالبو</t>
  </si>
  <si>
    <t>صفحه چاک دار</t>
  </si>
  <si>
    <t>فیکسینگ</t>
  </si>
  <si>
    <t xml:space="preserve">پیچ m10 70 </t>
  </si>
  <si>
    <t>واشر تخت 10</t>
  </si>
  <si>
    <t>واشر فنری 10</t>
  </si>
  <si>
    <t>هولدر گالوانیزه</t>
  </si>
  <si>
    <t xml:space="preserve">طلق پلاستیکی حفاظتی 1 میل </t>
  </si>
  <si>
    <t>سیم ارت 5 میل</t>
  </si>
  <si>
    <t>لولا رزایران hl 05 - 3</t>
  </si>
  <si>
    <t>دستگیره پلاستیکی</t>
  </si>
  <si>
    <t>قفل زیمنسی آویز خور کوتاه</t>
  </si>
  <si>
    <t>دسته گردان</t>
  </si>
  <si>
    <t>مس بافته شده</t>
  </si>
  <si>
    <t>فلکسی جهت اتصال به طول 500 میلیمتر</t>
  </si>
  <si>
    <t>SET</t>
  </si>
  <si>
    <t>پیچ  12X60</t>
  </si>
  <si>
    <t>مهره 12</t>
  </si>
  <si>
    <t>واشر تخت 12</t>
  </si>
  <si>
    <t>واشر فنری 12</t>
  </si>
  <si>
    <t>شینه کشی جهت اتصال باسداکت -به مقدار 70 کیلو</t>
  </si>
  <si>
    <t>شینه کشی جهت اتصال باسداکت -تا مقدار 70 کیلو</t>
  </si>
  <si>
    <t>ابعاد بدنه باکس (2000X500)</t>
  </si>
  <si>
    <t>ابعاد درپوش (500X500)</t>
  </si>
  <si>
    <t>پیچ  6X20</t>
  </si>
  <si>
    <t>واشر تخت 8</t>
  </si>
  <si>
    <t>مهره خاردار 6</t>
  </si>
  <si>
    <t>مهره پرچی</t>
  </si>
  <si>
    <t>گالوانیزه</t>
  </si>
  <si>
    <t>ناوردانی گالوانیزه</t>
  </si>
  <si>
    <t>300 X 200 X 3</t>
  </si>
  <si>
    <t>نبشی گالوانیزه</t>
  </si>
  <si>
    <t>200 X 100 X 3</t>
  </si>
  <si>
    <t>فنر 12 به طول 10 سانت</t>
  </si>
  <si>
    <t>پیچ M12</t>
  </si>
  <si>
    <t>M</t>
  </si>
  <si>
    <t>مهره M12</t>
  </si>
  <si>
    <t>پیچ  10x20</t>
  </si>
  <si>
    <t>مهره واشر دار و خاردار10</t>
  </si>
  <si>
    <t>ابعاد ناودانی</t>
  </si>
  <si>
    <t>ابعاد نبشی</t>
  </si>
  <si>
    <t>ناودانی به عرض 60 و ارتفاع 40 و طول 500</t>
  </si>
  <si>
    <t>پیچ دو سر رزوه 12 به طول 700</t>
  </si>
  <si>
    <t>بولت 12</t>
  </si>
  <si>
    <t>بست برای فیکس کردن بدنه</t>
  </si>
  <si>
    <t>پیچ 6X20</t>
  </si>
  <si>
    <t>300 X 100 X 2.5</t>
  </si>
  <si>
    <t>گلمپ های نگهدارنده</t>
  </si>
  <si>
    <t>50 X 60</t>
  </si>
  <si>
    <t>مهره واشر دار و خاردار</t>
  </si>
  <si>
    <t>هیت سینگ 203</t>
  </si>
  <si>
    <t>203*157</t>
  </si>
  <si>
    <t>هیت سینگ 263</t>
  </si>
  <si>
    <t>263*157</t>
  </si>
  <si>
    <t>هیت سینگ 293</t>
  </si>
  <si>
    <t>293*157</t>
  </si>
  <si>
    <t>هیت سینگ 421</t>
  </si>
  <si>
    <t>2970</t>
  </si>
  <si>
    <t>118*157</t>
  </si>
  <si>
    <t>هیت سینگ 118</t>
  </si>
  <si>
    <t>Row Labels</t>
  </si>
  <si>
    <t>Grand Total</t>
  </si>
  <si>
    <t>قیمت واحد (ریال)</t>
  </si>
  <si>
    <t>- 4000A - Al - update MTO - rev 00.xlsx</t>
  </si>
  <si>
    <t>FEEDER-4000</t>
  </si>
  <si>
    <t>هیت سینگ 535</t>
  </si>
  <si>
    <t>- 5000A - Al - update MTO - rev 00.xlsx</t>
  </si>
  <si>
    <t>FEEDER-5000</t>
  </si>
  <si>
    <t>هیت سینگ 603</t>
  </si>
  <si>
    <t>Sum of TOTAL PRICE</t>
  </si>
  <si>
    <t>Line name</t>
  </si>
  <si>
    <t>Line1</t>
  </si>
  <si>
    <t>Line Name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</si>
  <si>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</si>
  <si>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</si>
  <si>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</si>
  <si>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</si>
  <si>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</si>
  <si>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</si>
  <si>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</si>
  <si>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</si>
  <si>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Qty</t>
  </si>
  <si>
    <t>Total Price</t>
  </si>
  <si>
    <t>Sum of Qty</t>
  </si>
  <si>
    <t>Sum of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</si>
</sst>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0" fillId="3" borderId="0" xfId="0" applyFill="1"/>
    <xf numFmtId="0" fontId="0" fillId="0" borderId="0" xfId="0" applyAlignment="1">
      <alignment horizontal="left" indent="1"/>
    </xf>
    <xf numFmtId="0" fontId="0" fillId="0" borderId="0" xfId="0" applyNumberFormat="1"/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2" borderId="0" xfId="0" applyFill="1" applyBorder="1"/>
    <xf numFmtId="164" fontId="0" fillId="3" borderId="0" xfId="1" applyNumberFormat="1" applyFont="1" applyFill="1"/>
    <xf numFmtId="164" fontId="0" fillId="0" borderId="0" xfId="1" applyNumberFormat="1" applyFont="1" applyAlignment="1">
      <alignment horizontal="center"/>
    </xf>
    <xf numFmtId="0" fontId="3" fillId="4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2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di" refreshedDate="46144.495986574075" createdVersion="8" refreshedVersion="8" minRefreshableVersion="3" recordCount="2398" xr:uid="{399B9EA9-7157-47C2-A585-AB789847D6DC}">
  <cacheSource type="worksheet">
    <worksheetSource name="Al_update_MTO___05_1_30"/>
  </cacheSource>
  <cacheFields count="14">
    <cacheField name="Source.Name" numFmtId="0">
      <sharedItems count="10">
        <s v="- 1000A - Al - update MTO - rev 00.xlsx"/>
        <s v="- 1250A - Al - update MTO - rev 00.xlsx"/>
        <s v="- 1600A - Al - update MTO - rev 00.xlsx"/>
        <s v="- 2000A - Al - update MTO - rev 00.xlsx"/>
        <s v="- 2500A - Al - update MTO - rev 00.xlsx"/>
        <s v="- 3200A - Al - update MTO - rev 00.xlsx"/>
        <s v="- 4000A - Al - update MTO - rev 00.xlsx"/>
        <s v="- 400A -630A - Al - update MTO - rev 00.xlsx"/>
        <s v="- 5000A - Al - update MTO - rev 00.xlsx"/>
        <s v="- 800A - Al - update MTO - rev 00.xlsx"/>
      </sharedItems>
    </cacheField>
    <cacheField name="Name" numFmtId="0">
      <sharedItems count="23">
        <s v="FEEDER-1000"/>
        <s v="Vertical elbow"/>
        <s v="Horizontal elbow"/>
        <s v="Flange end "/>
        <s v="TOP OFF BOX 250"/>
        <s v="Flexible connection"/>
        <s v="DISTRIBUTION BOARD"/>
        <s v="Transformer connection"/>
        <s v="Connection protection unit"/>
        <s v="SPRINH HANGER"/>
        <s v="Suspension unit ceiling"/>
        <s v="Universal fixing unit"/>
        <s v="FEEDER-1250"/>
        <s v="FEEDER-1600"/>
        <s v="FEEDER-1600 1m 4w"/>
        <s v="FEEDER-1600 1m 5w"/>
        <s v="FEEDER-2000"/>
        <s v="FEEDER-2500"/>
        <s v="FEEDER-3200"/>
        <s v="FEEDER-4000"/>
        <s v="FEEDER-630"/>
        <s v="FEEDER-5000"/>
        <s v="FEEDER-800"/>
      </sharedItems>
    </cacheField>
    <cacheField name="ردیف" numFmtId="0">
      <sharedItems containsString="0" containsBlank="1" containsNumber="1" containsInteger="1" minValue="1" maxValue="35"/>
    </cacheField>
    <cacheField name="دسته" numFmtId="0">
      <sharedItems containsBlank="1"/>
    </cacheField>
    <cacheField name="متریال" numFmtId="0">
      <sharedItems count="90">
        <s v="پروفیل  یو شکل"/>
        <s v="پروفیل  آی شکل"/>
        <s v="هیت سینگ 163"/>
        <s v="دایکاست (نگهدارنده کاور)"/>
        <s v="گارد "/>
        <s v="شینه آلومینیوم 6 میلیمتری "/>
        <s v="عایق میکا "/>
        <s v="عایق نومکس یا مایلار "/>
        <s v="رنگ پودری"/>
        <s v="ابکاری پلیت"/>
        <s v="ابکاری شینه ها سراسر"/>
        <s v="چسب عایق ها"/>
        <s v="چسب سیلیکون"/>
        <s v="پیچ  8x20"/>
        <s v="پیچ  8x25"/>
        <s v="مهره خاردار 8"/>
        <s v="پیچ  6x10"/>
        <s v="مهره پرچی ته بسته 6"/>
        <s v="پیچ  6x15"/>
        <s v="پلیت مونو بلاک"/>
        <s v="کاورهای کناری"/>
        <s v="کاور بالا و پایین"/>
        <s v="هولدر مونوبلاک"/>
        <s v="عایق یک طرفه"/>
        <s v="عایق دو طرفه"/>
        <s v="قطعه شش ضلعی"/>
        <s v="پیچ 12x120"/>
        <s v="مهره مربعی"/>
        <s v="واشر قابلمه ای 74 به ضخامت 5 میلیمتر"/>
        <s v="نوار چسبی مونوبلاک ها"/>
        <s v="نوار آی پی 25 میل "/>
        <s v="ترموفیت سر و ته باسداکت"/>
        <s v="ساعت کار ( ساعت )"/>
        <s v="جوشکاری آلومینیوم"/>
        <s v="جوش اصطکاکی"/>
        <s v="ضریب ٪"/>
        <s v="بدنه "/>
        <s v="شینه های خروجی"/>
        <s v="پیچ  6x20"/>
        <s v="مهره 6"/>
        <s v="واشر تخت 6"/>
        <s v="مهره فلنجی"/>
        <s v="بالبو"/>
        <s v="صفحه چاک دار"/>
        <s v="فیکسینگ"/>
        <s v="پیچ m10 70 "/>
        <s v="واشر تخت 10"/>
        <s v="واشر فنری 10"/>
        <s v="هولدر گالوانیزه"/>
        <s v="طلق پلاستیکی حفاظتی 1 میل "/>
        <s v="سیم ارت 5 میل"/>
        <s v="لولا رزایران hl 05 - 3"/>
        <s v="دستگیره پلاستیکی"/>
        <s v="قفل زیمنسی آویز خور کوتاه"/>
        <s v="دسته گردان"/>
        <s v="فلکسی جهت اتصال به طول 500 میلیمتر"/>
        <s v="پیچ  12X60"/>
        <s v="مهره 12"/>
        <s v="واشر تخت 12"/>
        <s v="واشر فنری 12"/>
        <s v="شینه کشی جهت اتصال باسداکت -به مقدار 70 کیلو"/>
        <s v="شینه کشی جهت اتصال باسداکت -تا مقدار 70 کیلو"/>
        <s v="ابعاد بدنه باکس (2000X500)"/>
        <s v="ابعاد درپوش (500X500)"/>
        <s v="واشر تخت 8"/>
        <s v="مهره خاردار 6"/>
        <s v="مهره پرچی"/>
        <s v="ناوردانی گالوانیزه"/>
        <s v="نبشی گالوانیزه"/>
        <s v="فنر 12 به طول 10 سانت"/>
        <s v="پیچ M12"/>
        <s v="مهره M12"/>
        <s v="پیچ  10x20"/>
        <s v="مهره واشر دار و خاردار10"/>
        <s v="ابعاد ناودانی"/>
        <s v="ابعاد نبشی"/>
        <s v="ناودانی به عرض 60 و ارتفاع 40 و طول 500"/>
        <s v="پیچ دو سر رزوه 12 به طول 700"/>
        <s v="بولت 12"/>
        <s v="بست برای فیکس کردن بدنه"/>
        <s v="پیچ 6X20"/>
        <s v="گلمپ های نگهدارنده"/>
        <s v="مهره واشر دار و خاردار"/>
        <s v="هیت سینگ 203"/>
        <s v="هیت سینگ 263"/>
        <s v="هیت سینگ 293"/>
        <s v="هیت سینگ 421"/>
        <s v="هیت سینگ 118"/>
        <s v="هیت سینگ 535"/>
        <s v="هیت سینگ 603"/>
      </sharedItems>
    </cacheField>
    <cacheField name="DIMENTION" numFmtId="0">
      <sharedItems containsBlank="1" containsMixedTypes="1" containsNumber="1" minValue="0" maxValue="2970"/>
    </cacheField>
    <cacheField name="QTY" numFmtId="0">
      <sharedItems containsBlank="1" containsMixedTypes="1" containsNumber="1" minValue="0" maxValue="200"/>
    </cacheField>
    <cacheField name="VALUE" numFmtId="0">
      <sharedItems containsBlank="1" containsMixedTypes="1" containsNumber="1" minValue="0" maxValue="101.61676799999999"/>
    </cacheField>
    <cacheField name="UNIT" numFmtId="0">
      <sharedItems containsBlank="1" containsMixedTypes="1" containsNumber="1" minValue="7.86" maxValue="7.86"/>
    </cacheField>
    <cacheField name="UNIT PRICE" numFmtId="0">
      <sharedItems containsString="0" containsBlank="1" containsNumber="1" minValue="5000" maxValue="74000000"/>
    </cacheField>
    <cacheField name="TOTAL PRICE" numFmtId="0">
      <sharedItems containsSemiMixedTypes="0" containsString="0" containsNumber="1" minValue="0" maxValue="863742528.00000012"/>
    </cacheField>
    <cacheField name="Item" numFmtId="0">
      <sharedItems/>
    </cacheField>
    <cacheField name="Kind" numFmtId="0">
      <sharedItems/>
    </cacheField>
    <cacheField name="Hidd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di" refreshedDate="46144.496034374999" createdVersion="8" refreshedVersion="8" minRefreshableVersion="3" recordCount="17" xr:uid="{2B9C38CD-0018-4B64-8CB1-0FAA2DEDF564}">
  <cacheSource type="worksheet">
    <worksheetSource ref="A1:F1048576" sheet="Line"/>
  </cacheSource>
  <cacheFields count="6">
    <cacheField name="Source.Name" numFmtId="0">
      <sharedItems containsBlank="1" count="3">
        <s v="- 1000A - Al - update MTO - rev 00.xlsx"/>
        <s v="- 1600A - Al - update MTO - rev 00.xlsx"/>
        <m/>
      </sharedItems>
    </cacheField>
    <cacheField name="Line name" numFmtId="0">
      <sharedItems containsBlank="1" count="3">
        <s v="Line1"/>
        <s v="Line2"/>
        <m/>
      </sharedItems>
    </cacheField>
    <cacheField name="Name" numFmtId="0">
      <sharedItems containsBlank="1" count="7">
        <s v="FEEDER-1000"/>
        <s v="Flexible connection"/>
        <s v="TOP OFF BOX 250"/>
        <s v="Transformer connection"/>
        <s v="Horizontal elbow"/>
        <s v="FEEDER-1600"/>
        <m/>
      </sharedItems>
    </cacheField>
    <cacheField name="Qty" numFmtId="0">
      <sharedItems containsString="0" containsBlank="1" containsNumber="1" containsInteger="1" minValue="1" maxValue="2"/>
    </cacheField>
    <cacheField name="UNIT PRICE" numFmtId="0">
      <sharedItems containsString="0" containsBlank="1" containsNumber="1" minValue="125880000" maxValue="1192956814"/>
    </cacheField>
    <cacheField name="Total Price" numFmtId="0">
      <sharedItems containsString="0" containsBlank="1" containsNumber="1" minValue="125880000" maxValue="11929568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8">
  <r>
    <x v="0"/>
    <x v="0"/>
    <n v="1"/>
    <s v="آلومینیوم"/>
    <x v="0"/>
    <n v="2735"/>
    <n v="2"/>
    <n v="7.6580000000000004"/>
    <s v="Kg"/>
    <n v="8500000"/>
    <n v="65092999.999999993"/>
    <s v="FEEDER-1000"/>
    <s v="Sheet"/>
    <b v="0"/>
  </r>
  <r>
    <x v="0"/>
    <x v="0"/>
    <n v="2"/>
    <m/>
    <x v="1"/>
    <n v="2735"/>
    <n v="0"/>
    <n v="0"/>
    <s v="Kg"/>
    <n v="8500000"/>
    <n v="0"/>
    <s v="FEEDER-1000"/>
    <s v="Sheet"/>
    <b v="0"/>
  </r>
  <r>
    <x v="0"/>
    <x v="0"/>
    <n v="3"/>
    <m/>
    <x v="2"/>
    <n v="2703"/>
    <n v="2"/>
    <n v="9.1902000000000008"/>
    <s v="Kg"/>
    <n v="8500000"/>
    <n v="78116699.999999985"/>
    <s v="FEEDER-1000"/>
    <s v="Sheet"/>
    <b v="0"/>
  </r>
  <r>
    <x v="0"/>
    <x v="0"/>
    <n v="4"/>
    <m/>
    <x v="3"/>
    <n v="120"/>
    <n v="4"/>
    <n v="0.48"/>
    <s v="Kg"/>
    <n v="8500000"/>
    <n v="4080000"/>
    <s v="FEEDER-1000"/>
    <s v="Sheet"/>
    <b v="0"/>
  </r>
  <r>
    <x v="0"/>
    <x v="0"/>
    <n v="5"/>
    <m/>
    <x v="4"/>
    <n v="180"/>
    <n v="4"/>
    <n v="0.95061600000000013"/>
    <s v="Kg"/>
    <n v="8500000"/>
    <n v="8080236.0000000019"/>
    <s v="FEEDER-1000"/>
    <s v="Sheet"/>
    <b v="0"/>
  </r>
  <r>
    <x v="0"/>
    <x v="0"/>
    <n v="6"/>
    <m/>
    <x v="5"/>
    <n v="2970"/>
    <n v="4"/>
    <n v="19.245600000000007"/>
    <s v="Kg"/>
    <n v="8500000"/>
    <n v="163587600.00000006"/>
    <s v="FEEDER-1000"/>
    <s v="Sheet"/>
    <b v="0"/>
  </r>
  <r>
    <x v="0"/>
    <x v="0"/>
    <n v="7"/>
    <s v="عایق ها"/>
    <x v="6"/>
    <n v="0.13"/>
    <n v="2.7561600000000004"/>
    <n v="2.7561600000000004"/>
    <s v="M2"/>
    <n v="4275000"/>
    <n v="11782584.000000002"/>
    <s v="FEEDER-1000"/>
    <s v="Sheet"/>
    <b v="0"/>
  </r>
  <r>
    <x v="0"/>
    <x v="0"/>
    <n v="8"/>
    <m/>
    <x v="7"/>
    <n v="0.35"/>
    <n v="1.2127104000000002"/>
    <n v="1.2127104000000002"/>
    <s v="Kg"/>
    <n v="35750000"/>
    <n v="43354396.799999997"/>
    <s v="FEEDER-1000"/>
    <s v="Sheet"/>
    <b v="0"/>
  </r>
  <r>
    <x v="0"/>
    <x v="0"/>
    <n v="9"/>
    <m/>
    <x v="7"/>
    <n v="0.2"/>
    <n v="0"/>
    <n v="0"/>
    <s v="Kg"/>
    <n v="45760000"/>
    <n v="0"/>
    <s v="FEEDER-1000"/>
    <s v="Sheet"/>
    <b v="0"/>
  </r>
  <r>
    <x v="0"/>
    <x v="0"/>
    <n v="10"/>
    <s v="رنگ بدنه"/>
    <x v="8"/>
    <m/>
    <n v="16.848199999999999"/>
    <n v="16.848199999999999"/>
    <s v="Kg"/>
    <n v="1430000"/>
    <n v="24092925.999999996"/>
    <s v="FEEDER-1000"/>
    <s v="Sheet"/>
    <b v="0"/>
  </r>
  <r>
    <x v="0"/>
    <x v="0"/>
    <n v="11"/>
    <s v="قلع"/>
    <x v="9"/>
    <m/>
    <n v="8"/>
    <n v="8"/>
    <s v="Kg"/>
    <n v="1600000"/>
    <n v="12800000"/>
    <s v="FEEDER-1000"/>
    <s v="Sheet"/>
    <b v="0"/>
  </r>
  <r>
    <x v="0"/>
    <x v="0"/>
    <n v="12"/>
    <m/>
    <x v="10"/>
    <m/>
    <n v="19.245600000000007"/>
    <n v="19.245600000000007"/>
    <s v="PCS"/>
    <n v="3600000"/>
    <n v="69284160.00000003"/>
    <s v="FEEDER-1000"/>
    <s v="Sheet"/>
    <b v="0"/>
  </r>
  <r>
    <x v="0"/>
    <x v="0"/>
    <n v="13"/>
    <s v="چسب"/>
    <x v="11"/>
    <m/>
    <n v="11.88"/>
    <n v="11.88"/>
    <s v="PCS"/>
    <n v="3600000"/>
    <n v="42768000"/>
    <s v="FEEDER-1000"/>
    <s v="Sheet"/>
    <b v="0"/>
  </r>
  <r>
    <x v="0"/>
    <x v="0"/>
    <n v="14"/>
    <m/>
    <x v="12"/>
    <m/>
    <n v="0.1"/>
    <n v="0.1"/>
    <s v="PCS"/>
    <n v="5500000"/>
    <n v="550000"/>
    <s v="FEEDER-1000"/>
    <s v="Sheet"/>
    <b v="0"/>
  </r>
  <r>
    <x v="0"/>
    <x v="0"/>
    <n v="15"/>
    <s v="پیچ و مهره"/>
    <x v="13"/>
    <m/>
    <s v="80"/>
    <s v="80"/>
    <s v="PCS"/>
    <n v="200000"/>
    <n v="16000000"/>
    <s v="FEEDER-1000"/>
    <s v="Sheet"/>
    <b v="0"/>
  </r>
  <r>
    <x v="0"/>
    <x v="0"/>
    <n v="16"/>
    <m/>
    <x v="14"/>
    <m/>
    <n v="8"/>
    <n v="8"/>
    <s v="PCS"/>
    <n v="200000"/>
    <n v="1600000"/>
    <s v="FEEDER-1000"/>
    <s v="Sheet"/>
    <b v="0"/>
  </r>
  <r>
    <x v="0"/>
    <x v="0"/>
    <n v="17"/>
    <m/>
    <x v="15"/>
    <m/>
    <n v="88"/>
    <n v="88"/>
    <s v="PCS"/>
    <n v="200000"/>
    <n v="17600000"/>
    <s v="FEEDER-1000"/>
    <s v="Sheet"/>
    <b v="0"/>
  </r>
  <r>
    <x v="0"/>
    <x v="0"/>
    <n v="18"/>
    <m/>
    <x v="16"/>
    <m/>
    <n v="16"/>
    <n v="16"/>
    <s v="PCS"/>
    <n v="400000"/>
    <n v="6400000"/>
    <s v="FEEDER-1000"/>
    <s v="Sheet"/>
    <b v="0"/>
  </r>
  <r>
    <x v="0"/>
    <x v="0"/>
    <n v="19"/>
    <m/>
    <x v="17"/>
    <m/>
    <n v="16"/>
    <n v="16"/>
    <s v="PCS"/>
    <n v="120000"/>
    <n v="1920000"/>
    <s v="FEEDER-1000"/>
    <s v="Sheet"/>
    <b v="0"/>
  </r>
  <r>
    <x v="0"/>
    <x v="0"/>
    <n v="20"/>
    <m/>
    <x v="18"/>
    <m/>
    <n v="24"/>
    <n v="24"/>
    <s v="PCS"/>
    <n v="400000"/>
    <n v="9600000"/>
    <s v="FEEDER-1000"/>
    <s v="Sheet"/>
    <b v="0"/>
  </r>
  <r>
    <x v="0"/>
    <x v="0"/>
    <n v="21"/>
    <s v="مس"/>
    <x v="19"/>
    <n v="132"/>
    <n v="8"/>
    <n v="2.8385280000000006"/>
    <s v="Kg"/>
    <n v="35000000"/>
    <n v="99348480.000000015"/>
    <s v="FEEDER-1000"/>
    <s v="Sheet"/>
    <b v="0"/>
  </r>
  <r>
    <x v="0"/>
    <x v="0"/>
    <n v="22"/>
    <s v="آهن"/>
    <x v="20"/>
    <s v="115 X 185"/>
    <n v="2"/>
    <n v="1"/>
    <s v="Kg"/>
    <n v="5200000"/>
    <n v="5200000"/>
    <s v="FEEDER-1000"/>
    <s v="Sheet"/>
    <b v="0"/>
  </r>
  <r>
    <x v="0"/>
    <x v="0"/>
    <n v="23"/>
    <m/>
    <x v="21"/>
    <s v="425 X 265"/>
    <n v="2"/>
    <n v="1.2"/>
    <s v="Kg"/>
    <n v="5200000"/>
    <n v="6240000"/>
    <s v="FEEDER-1000"/>
    <s v="Sheet"/>
    <b v="0"/>
  </r>
  <r>
    <x v="0"/>
    <x v="0"/>
    <n v="24"/>
    <s v="الومینیوم"/>
    <x v="22"/>
    <s v="163*157"/>
    <n v="2"/>
    <n v="0.57587900000000003"/>
    <s v="Kg"/>
    <n v="8500000"/>
    <n v="4894971.5"/>
    <s v="FEEDER-1000"/>
    <s v="Sheet"/>
    <b v="0"/>
  </r>
  <r>
    <x v="0"/>
    <x v="0"/>
    <n v="25"/>
    <s v="پلی امید"/>
    <x v="23"/>
    <n v="0.18"/>
    <s v="2"/>
    <s v="2"/>
    <s v="PCS"/>
    <n v="715000"/>
    <n v="1430000"/>
    <s v="FEEDER-1000"/>
    <s v="Sheet"/>
    <b v="0"/>
  </r>
  <r>
    <x v="0"/>
    <x v="0"/>
    <n v="26"/>
    <m/>
    <x v="24"/>
    <n v="0.2"/>
    <s v="3"/>
    <s v="3"/>
    <s v="PCS"/>
    <n v="715000"/>
    <n v="2145000"/>
    <s v="FEEDER-1000"/>
    <s v="Sheet"/>
    <b v="0"/>
  </r>
  <r>
    <x v="0"/>
    <x v="0"/>
    <n v="27"/>
    <s v="ABS"/>
    <x v="25"/>
    <s v="80 mm"/>
    <n v="1"/>
    <n v="1"/>
    <s v="PCS"/>
    <n v="100000"/>
    <n v="100000"/>
    <s v="FEEDER-1000"/>
    <s v="Sheet"/>
    <b v="0"/>
  </r>
  <r>
    <x v="0"/>
    <x v="0"/>
    <n v="28"/>
    <s v="پیچ و مهره"/>
    <x v="26"/>
    <m/>
    <n v="2"/>
    <n v="2"/>
    <s v="PCS"/>
    <n v="2400000"/>
    <n v="4800000"/>
    <s v="FEEDER-1000"/>
    <s v="Sheet"/>
    <b v="0"/>
  </r>
  <r>
    <x v="0"/>
    <x v="0"/>
    <n v="29"/>
    <m/>
    <x v="27"/>
    <m/>
    <n v="2"/>
    <n v="2"/>
    <s v="PCS"/>
    <n v="2400000"/>
    <n v="4800000"/>
    <s v="FEEDER-1000"/>
    <s v="Sheet"/>
    <b v="0"/>
  </r>
  <r>
    <x v="0"/>
    <x v="0"/>
    <n v="30"/>
    <m/>
    <x v="28"/>
    <m/>
    <n v="2"/>
    <n v="2"/>
    <s v="PCS"/>
    <n v="3000000"/>
    <n v="6000000"/>
    <s v="FEEDER-1000"/>
    <s v="Sheet"/>
    <b v="0"/>
  </r>
  <r>
    <x v="0"/>
    <x v="0"/>
    <n v="31"/>
    <s v="نوار IP"/>
    <x v="29"/>
    <m/>
    <n v="2"/>
    <n v="2"/>
    <s v="PCS"/>
    <n v="1300000"/>
    <n v="2600000"/>
    <s v="FEEDER-1000"/>
    <s v="Sheet"/>
    <b v="0"/>
  </r>
  <r>
    <x v="0"/>
    <x v="0"/>
    <n v="32"/>
    <s v="نوار IP"/>
    <x v="30"/>
    <m/>
    <n v="4"/>
    <n v="10.811999999999999"/>
    <s v="m"/>
    <n v="460000"/>
    <n v="4973520"/>
    <s v="FEEDER-1000"/>
    <s v="Sheet"/>
    <b v="0"/>
  </r>
  <r>
    <x v="0"/>
    <x v="0"/>
    <n v="33"/>
    <s v="ترموفیت"/>
    <x v="31"/>
    <n v="50"/>
    <n v="8"/>
    <n v="0.8"/>
    <s v="m "/>
    <n v="6823080.0000000009"/>
    <n v="5458464.0000000009"/>
    <s v="FEEDER-1000"/>
    <s v="Sheet"/>
    <b v="0"/>
  </r>
  <r>
    <x v="0"/>
    <x v="0"/>
    <n v="28"/>
    <m/>
    <x v="32"/>
    <m/>
    <m/>
    <n v="6"/>
    <s v="h"/>
    <n v="13000000"/>
    <n v="78000000"/>
    <s v="FEEDER-1000"/>
    <s v="Sheet"/>
    <b v="0"/>
  </r>
  <r>
    <x v="0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0"/>
    <x v="1"/>
    <n v="2"/>
    <m/>
    <x v="1"/>
    <n v="0"/>
    <n v="0"/>
    <n v="0"/>
    <s v="Kg"/>
    <n v="8500000"/>
    <n v="0"/>
    <s v="Vertical elbow"/>
    <s v="Sheet"/>
    <b v="0"/>
  </r>
  <r>
    <x v="0"/>
    <x v="1"/>
    <n v="3"/>
    <m/>
    <x v="2"/>
    <n v="0.70299999999999996"/>
    <n v="2"/>
    <n v="2.3901999999999997"/>
    <s v="Kg"/>
    <n v="8500000"/>
    <n v="20316699.999999996"/>
    <s v="Vertical elbow"/>
    <s v="Sheet"/>
    <b v="0"/>
  </r>
  <r>
    <x v="0"/>
    <x v="1"/>
    <n v="4"/>
    <m/>
    <x v="3"/>
    <n v="120"/>
    <n v="4"/>
    <n v="0.48"/>
    <s v="Kg"/>
    <n v="8500000"/>
    <n v="4080000"/>
    <s v="Vertical elbow"/>
    <s v="Sheet"/>
    <b v="0"/>
  </r>
  <r>
    <x v="0"/>
    <x v="1"/>
    <n v="5"/>
    <m/>
    <x v="4"/>
    <n v="180"/>
    <n v="4"/>
    <n v="0.95061600000000013"/>
    <s v="Kg"/>
    <n v="8500000"/>
    <n v="8080236.0000000019"/>
    <s v="Vertical elbow"/>
    <s v="Sheet"/>
    <b v="0"/>
  </r>
  <r>
    <x v="0"/>
    <x v="1"/>
    <n v="6"/>
    <m/>
    <x v="5"/>
    <n v="0.96299999999999997"/>
    <n v="4"/>
    <n v="6.2402400000000009"/>
    <s v="Kg"/>
    <n v="8500000"/>
    <n v="53042040.000000007"/>
    <s v="Vertical elbow"/>
    <s v="Sheet"/>
    <b v="0"/>
  </r>
  <r>
    <x v="0"/>
    <x v="1"/>
    <n v="7"/>
    <s v="عایق ها"/>
    <x v="6"/>
    <n v="0.13"/>
    <n v="0.89366400000000001"/>
    <n v="0.89366400000000001"/>
    <s v="M2"/>
    <n v="4275000"/>
    <n v="3820413.6"/>
    <s v="Vertical elbow"/>
    <s v="Sheet"/>
    <b v="0"/>
  </r>
  <r>
    <x v="0"/>
    <x v="1"/>
    <n v="8"/>
    <m/>
    <x v="7"/>
    <n v="0.35"/>
    <n v="0"/>
    <n v="0"/>
    <s v="Kg"/>
    <n v="35750000"/>
    <n v="0"/>
    <s v="Vertical elbow"/>
    <s v="Sheet"/>
    <b v="0"/>
  </r>
  <r>
    <x v="0"/>
    <x v="1"/>
    <n v="9"/>
    <m/>
    <x v="7"/>
    <n v="0.2"/>
    <n v="0.44683200000000001"/>
    <n v="0.44683200000000001"/>
    <s v="Kg"/>
    <n v="45760000"/>
    <n v="20447032.32"/>
    <s v="Vertical elbow"/>
    <s v="Sheet"/>
    <b v="0"/>
  </r>
  <r>
    <x v="0"/>
    <x v="1"/>
    <n v="10"/>
    <s v="رنگ بدنه"/>
    <x v="8"/>
    <m/>
    <n v="4.5405999999999995"/>
    <n v="4.5405999999999995"/>
    <s v="PCS"/>
    <n v="1430000"/>
    <n v="6493057.9999999991"/>
    <s v="Vertical elbow"/>
    <s v="Sheet"/>
    <b v="0"/>
  </r>
  <r>
    <x v="0"/>
    <x v="1"/>
    <n v="11"/>
    <s v="قلع"/>
    <x v="9"/>
    <m/>
    <s v="8"/>
    <s v="8"/>
    <s v="Kg"/>
    <n v="1600000"/>
    <n v="12800000"/>
    <s v="Vertical elbow"/>
    <s v="Sheet"/>
    <b v="0"/>
  </r>
  <r>
    <x v="0"/>
    <x v="1"/>
    <n v="12"/>
    <m/>
    <x v="10"/>
    <m/>
    <n v="6.2402400000000009"/>
    <n v="6.2402400000000009"/>
    <s v="PCS"/>
    <n v="3600000"/>
    <n v="22464864.000000004"/>
    <s v="Vertical elbow"/>
    <s v="Sheet"/>
    <b v="0"/>
  </r>
  <r>
    <x v="0"/>
    <x v="1"/>
    <n v="13"/>
    <s v="چسب"/>
    <x v="11"/>
    <m/>
    <n v="3.8519999999999999"/>
    <n v="3.8519999999999999"/>
    <s v="PCS"/>
    <n v="3600000"/>
    <n v="13867200"/>
    <s v="Vertical elbow"/>
    <s v="Sheet"/>
    <b v="0"/>
  </r>
  <r>
    <x v="0"/>
    <x v="1"/>
    <n v="14"/>
    <m/>
    <x v="12"/>
    <m/>
    <n v="0.1"/>
    <n v="0.1"/>
    <s v="PCS"/>
    <n v="5500000"/>
    <n v="550000"/>
    <s v="Vertical elbow"/>
    <s v="Sheet"/>
    <b v="0"/>
  </r>
  <r>
    <x v="0"/>
    <x v="1"/>
    <n v="15"/>
    <s v="پیچ و مهره"/>
    <x v="13"/>
    <m/>
    <n v="20"/>
    <n v="20"/>
    <s v="PCS"/>
    <n v="200000"/>
    <n v="4000000"/>
    <s v="Vertical elbow"/>
    <s v="Sheet"/>
    <b v="0"/>
  </r>
  <r>
    <x v="0"/>
    <x v="1"/>
    <n v="16"/>
    <m/>
    <x v="14"/>
    <m/>
    <n v="8"/>
    <n v="8"/>
    <s v="PCS"/>
    <n v="200000"/>
    <n v="1600000"/>
    <s v="Vertical elbow"/>
    <s v="Sheet"/>
    <b v="0"/>
  </r>
  <r>
    <x v="0"/>
    <x v="1"/>
    <n v="17"/>
    <m/>
    <x v="15"/>
    <m/>
    <n v="28"/>
    <n v="28"/>
    <s v="PCS"/>
    <n v="200000"/>
    <n v="5600000"/>
    <s v="Vertical elbow"/>
    <s v="Sheet"/>
    <b v="0"/>
  </r>
  <r>
    <x v="0"/>
    <x v="1"/>
    <n v="18"/>
    <m/>
    <x v="16"/>
    <m/>
    <n v="16"/>
    <n v="16"/>
    <s v="PCS"/>
    <n v="400000"/>
    <n v="6400000"/>
    <s v="Vertical elbow"/>
    <s v="Sheet"/>
    <b v="0"/>
  </r>
  <r>
    <x v="0"/>
    <x v="1"/>
    <n v="19"/>
    <m/>
    <x v="17"/>
    <m/>
    <n v="16"/>
    <n v="16"/>
    <s v="PCS"/>
    <n v="120000"/>
    <n v="1920000"/>
    <s v="Vertical elbow"/>
    <s v="Sheet"/>
    <b v="0"/>
  </r>
  <r>
    <x v="0"/>
    <x v="1"/>
    <n v="20"/>
    <m/>
    <x v="18"/>
    <m/>
    <n v="24"/>
    <n v="24"/>
    <s v="PCS"/>
    <n v="400000"/>
    <n v="9600000"/>
    <s v="Vertical elbow"/>
    <s v="Sheet"/>
    <b v="0"/>
  </r>
  <r>
    <x v="0"/>
    <x v="1"/>
    <n v="21"/>
    <s v="مس"/>
    <x v="19"/>
    <n v="132"/>
    <s v="8"/>
    <n v="2.8385280000000006"/>
    <s v="Kg"/>
    <n v="35000000"/>
    <n v="99348480.000000015"/>
    <s v="Vertical elbow"/>
    <s v="Sheet"/>
    <b v="0"/>
  </r>
  <r>
    <x v="0"/>
    <x v="1"/>
    <n v="22"/>
    <s v="آهن"/>
    <x v="20"/>
    <s v="115 X 185"/>
    <n v="2"/>
    <n v="1"/>
    <s v="Kg"/>
    <n v="5200000"/>
    <n v="5200000"/>
    <s v="Vertical elbow"/>
    <s v="Sheet"/>
    <b v="0"/>
  </r>
  <r>
    <x v="0"/>
    <x v="1"/>
    <n v="23"/>
    <m/>
    <x v="21"/>
    <s v="425 X 265"/>
    <n v="2"/>
    <n v="1.2"/>
    <s v="Kg"/>
    <n v="5200000"/>
    <n v="6240000"/>
    <s v="Vertical elbow"/>
    <s v="Sheet"/>
    <b v="0"/>
  </r>
  <r>
    <x v="0"/>
    <x v="1"/>
    <n v="24"/>
    <s v="الومینیوم"/>
    <x v="22"/>
    <s v="163*157"/>
    <n v="2"/>
    <n v="0.57587900000000003"/>
    <s v="Kg"/>
    <n v="8500000"/>
    <n v="4894971.5"/>
    <s v="Vertical elbow"/>
    <s v="Sheet"/>
    <b v="0"/>
  </r>
  <r>
    <x v="0"/>
    <x v="1"/>
    <n v="25"/>
    <s v="پلی امید"/>
    <x v="23"/>
    <n v="0.18"/>
    <n v="2"/>
    <n v="2"/>
    <s v="PCS"/>
    <n v="715000"/>
    <n v="1430000"/>
    <s v="Vertical elbow"/>
    <s v="Sheet"/>
    <b v="0"/>
  </r>
  <r>
    <x v="0"/>
    <x v="1"/>
    <n v="26"/>
    <m/>
    <x v="24"/>
    <n v="0.2"/>
    <n v="3"/>
    <n v="3"/>
    <s v="PCS"/>
    <n v="715000"/>
    <n v="2145000"/>
    <s v="Vertical elbow"/>
    <s v="Sheet"/>
    <b v="0"/>
  </r>
  <r>
    <x v="0"/>
    <x v="1"/>
    <n v="27"/>
    <s v="ABS"/>
    <x v="25"/>
    <s v="80 mm"/>
    <n v="1"/>
    <n v="1"/>
    <s v="PCS"/>
    <n v="100000"/>
    <n v="100000"/>
    <s v="Vertical elbow"/>
    <s v="Sheet"/>
    <b v="0"/>
  </r>
  <r>
    <x v="0"/>
    <x v="1"/>
    <n v="28"/>
    <s v="پیچ و مهره"/>
    <x v="26"/>
    <m/>
    <n v="2"/>
    <n v="2"/>
    <s v="PCS"/>
    <n v="2400000"/>
    <n v="4800000"/>
    <s v="Vertical elbow"/>
    <s v="Sheet"/>
    <b v="0"/>
  </r>
  <r>
    <x v="0"/>
    <x v="1"/>
    <n v="29"/>
    <m/>
    <x v="27"/>
    <m/>
    <n v="2"/>
    <n v="2"/>
    <s v="PCS"/>
    <n v="2400000"/>
    <n v="4800000"/>
    <s v="Vertical elbow"/>
    <s v="Sheet"/>
    <b v="0"/>
  </r>
  <r>
    <x v="0"/>
    <x v="1"/>
    <n v="30"/>
    <m/>
    <x v="28"/>
    <m/>
    <n v="2"/>
    <n v="2"/>
    <s v="PCS"/>
    <n v="3000000"/>
    <n v="6000000"/>
    <s v="Vertical elbow"/>
    <s v="Sheet"/>
    <b v="0"/>
  </r>
  <r>
    <x v="0"/>
    <x v="1"/>
    <n v="31"/>
    <s v="جوش"/>
    <x v="33"/>
    <m/>
    <n v="1"/>
    <n v="2"/>
    <s v="PCS"/>
    <n v="30000000"/>
    <n v="60000000"/>
    <s v="Vertical elbow"/>
    <s v="Sheet"/>
    <b v="0"/>
  </r>
  <r>
    <x v="0"/>
    <x v="1"/>
    <n v="32"/>
    <m/>
    <x v="34"/>
    <m/>
    <n v="1"/>
    <n v="4"/>
    <m/>
    <n v="14000000"/>
    <n v="56000000"/>
    <s v="Vertical elbow"/>
    <s v="Sheet"/>
    <b v="0"/>
  </r>
  <r>
    <x v="0"/>
    <x v="1"/>
    <n v="33"/>
    <s v="نوار IP"/>
    <x v="29"/>
    <m/>
    <n v="2"/>
    <n v="2"/>
    <s v="PCS"/>
    <n v="1300000"/>
    <n v="2600000"/>
    <s v="Vertical elbow"/>
    <s v="Sheet"/>
    <b v="0"/>
  </r>
  <r>
    <x v="0"/>
    <x v="1"/>
    <n v="34"/>
    <s v="نوار IP"/>
    <x v="30"/>
    <m/>
    <n v="4"/>
    <n v="2.8119999999999998"/>
    <s v="m"/>
    <n v="460000"/>
    <n v="1293520"/>
    <s v="Vertical elbow"/>
    <s v="Sheet"/>
    <b v="0"/>
  </r>
  <r>
    <x v="0"/>
    <x v="1"/>
    <n v="35"/>
    <s v="ترموفیت"/>
    <x v="31"/>
    <n v="50"/>
    <n v="8"/>
    <n v="0.8"/>
    <s v="m "/>
    <n v="6823080.0000000009"/>
    <n v="5458464.0000000009"/>
    <s v="Vertical elbow"/>
    <s v="Sheet"/>
    <b v="0"/>
  </r>
  <r>
    <x v="0"/>
    <x v="1"/>
    <n v="28"/>
    <m/>
    <x v="32"/>
    <m/>
    <m/>
    <n v="10"/>
    <s v="h"/>
    <n v="13000000"/>
    <n v="130000000"/>
    <s v="Vertical elbow"/>
    <s v="Sheet"/>
    <b v="0"/>
  </r>
  <r>
    <x v="0"/>
    <x v="1"/>
    <n v="29"/>
    <m/>
    <x v="35"/>
    <m/>
    <m/>
    <n v="0"/>
    <s v="%"/>
    <m/>
    <n v="0"/>
    <s v="Vertical elbow"/>
    <s v="Sheet"/>
    <b v="0"/>
  </r>
  <r>
    <x v="0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0"/>
    <x v="2"/>
    <n v="2"/>
    <m/>
    <x v="1"/>
    <n v="0"/>
    <n v="0"/>
    <n v="0"/>
    <s v="Kg"/>
    <n v="8500000"/>
    <n v="0"/>
    <s v="Horizontal elbow"/>
    <s v="Sheet"/>
    <b v="0"/>
  </r>
  <r>
    <x v="0"/>
    <x v="2"/>
    <n v="3"/>
    <m/>
    <x v="2"/>
    <n v="0.33500000000000002"/>
    <n v="2"/>
    <n v="1.139"/>
    <s v="Kg"/>
    <n v="8500000"/>
    <n v="9681500"/>
    <s v="Horizontal elbow"/>
    <s v="Sheet"/>
    <b v="0"/>
  </r>
  <r>
    <x v="0"/>
    <x v="2"/>
    <n v="4"/>
    <m/>
    <x v="3"/>
    <n v="120"/>
    <n v="4"/>
    <n v="0.48"/>
    <s v="Kg"/>
    <n v="8500000"/>
    <n v="4080000"/>
    <s v="Horizontal elbow"/>
    <s v="Sheet"/>
    <b v="0"/>
  </r>
  <r>
    <x v="0"/>
    <x v="2"/>
    <n v="5"/>
    <m/>
    <x v="4"/>
    <n v="180"/>
    <n v="4"/>
    <n v="0.95061600000000013"/>
    <s v="Kg"/>
    <n v="8500000"/>
    <n v="8080236.0000000019"/>
    <s v="Horizontal elbow"/>
    <s v="Sheet"/>
    <b v="0"/>
  </r>
  <r>
    <x v="0"/>
    <x v="2"/>
    <n v="6"/>
    <m/>
    <x v="5"/>
    <n v="0.55800000000000005"/>
    <n v="4"/>
    <n v="3.6158399999999999"/>
    <s v="Kg"/>
    <n v="8500000"/>
    <n v="30734640"/>
    <s v="Horizontal elbow"/>
    <s v="Sheet"/>
    <b v="0"/>
  </r>
  <r>
    <x v="0"/>
    <x v="2"/>
    <n v="7"/>
    <s v="عایق ها"/>
    <x v="6"/>
    <n v="0.13"/>
    <n v="0.51782400000000006"/>
    <n v="0.51782400000000006"/>
    <s v="M2"/>
    <n v="4275000"/>
    <n v="2213697.6"/>
    <s v="Horizontal elbow"/>
    <s v="Sheet"/>
    <b v="0"/>
  </r>
  <r>
    <x v="0"/>
    <x v="2"/>
    <n v="8"/>
    <m/>
    <x v="7"/>
    <n v="0.35"/>
    <n v="0"/>
    <n v="0"/>
    <s v="Kg"/>
    <n v="35750000"/>
    <n v="0"/>
    <s v="Horizontal elbow"/>
    <s v="Sheet"/>
    <b v="0"/>
  </r>
  <r>
    <x v="0"/>
    <x v="2"/>
    <n v="9"/>
    <m/>
    <x v="7"/>
    <n v="0.2"/>
    <n v="0.25891200000000003"/>
    <n v="0.25891200000000003"/>
    <s v="Kg"/>
    <n v="45760000"/>
    <n v="11847813.119999999"/>
    <s v="Horizontal elbow"/>
    <s v="Sheet"/>
    <b v="0"/>
  </r>
  <r>
    <x v="0"/>
    <x v="2"/>
    <n v="10"/>
    <s v="رنگ بدنه"/>
    <x v="8"/>
    <m/>
    <n v="2.077"/>
    <n v="2.077"/>
    <s v="PCS"/>
    <n v="1430000"/>
    <n v="2970110"/>
    <s v="Horizontal elbow"/>
    <s v="Sheet"/>
    <b v="0"/>
  </r>
  <r>
    <x v="0"/>
    <x v="2"/>
    <n v="11"/>
    <s v="قلع"/>
    <x v="9"/>
    <m/>
    <s v="8"/>
    <s v="8"/>
    <s v="Kg"/>
    <n v="1600000"/>
    <n v="12800000"/>
    <s v="Horizontal elbow"/>
    <s v="Sheet"/>
    <b v="0"/>
  </r>
  <r>
    <x v="0"/>
    <x v="2"/>
    <n v="12"/>
    <m/>
    <x v="10"/>
    <m/>
    <n v="3.6158399999999999"/>
    <n v="3.6158399999999999"/>
    <s v="PCS"/>
    <n v="3600000"/>
    <n v="13017024"/>
    <s v="Horizontal elbow"/>
    <s v="Sheet"/>
    <b v="0"/>
  </r>
  <r>
    <x v="0"/>
    <x v="2"/>
    <n v="13"/>
    <s v="چسب"/>
    <x v="11"/>
    <m/>
    <n v="2.2320000000000002"/>
    <n v="2.2320000000000002"/>
    <s v="PCS"/>
    <n v="3600000"/>
    <n v="8035200.0000000019"/>
    <s v="Horizontal elbow"/>
    <s v="Sheet"/>
    <b v="0"/>
  </r>
  <r>
    <x v="0"/>
    <x v="2"/>
    <n v="14"/>
    <m/>
    <x v="12"/>
    <m/>
    <n v="0.1"/>
    <n v="0.1"/>
    <s v="PCS"/>
    <n v="5500000"/>
    <n v="550000"/>
    <s v="Horizontal elbow"/>
    <s v="Sheet"/>
    <b v="0"/>
  </r>
  <r>
    <x v="0"/>
    <x v="2"/>
    <n v="15"/>
    <s v="پیچ و مهره"/>
    <x v="13"/>
    <m/>
    <n v="20"/>
    <n v="20"/>
    <s v="PCS"/>
    <n v="200000"/>
    <n v="4000000"/>
    <s v="Horizontal elbow"/>
    <s v="Sheet"/>
    <b v="0"/>
  </r>
  <r>
    <x v="0"/>
    <x v="2"/>
    <n v="16"/>
    <m/>
    <x v="14"/>
    <m/>
    <n v="8"/>
    <n v="8"/>
    <s v="PCS"/>
    <n v="200000"/>
    <n v="1600000"/>
    <s v="Horizontal elbow"/>
    <s v="Sheet"/>
    <b v="0"/>
  </r>
  <r>
    <x v="0"/>
    <x v="2"/>
    <n v="17"/>
    <m/>
    <x v="15"/>
    <m/>
    <n v="16"/>
    <n v="16"/>
    <s v="PCS"/>
    <n v="200000"/>
    <n v="3200000"/>
    <s v="Horizontal elbow"/>
    <s v="Sheet"/>
    <b v="0"/>
  </r>
  <r>
    <x v="0"/>
    <x v="2"/>
    <n v="18"/>
    <m/>
    <x v="16"/>
    <m/>
    <n v="16"/>
    <n v="16"/>
    <s v="PCS"/>
    <n v="400000"/>
    <n v="6400000"/>
    <s v="Horizontal elbow"/>
    <s v="Sheet"/>
    <b v="0"/>
  </r>
  <r>
    <x v="0"/>
    <x v="2"/>
    <n v="19"/>
    <m/>
    <x v="17"/>
    <m/>
    <n v="16"/>
    <n v="16"/>
    <s v="PCS"/>
    <n v="120000"/>
    <n v="1920000"/>
    <s v="Horizontal elbow"/>
    <s v="Sheet"/>
    <b v="0"/>
  </r>
  <r>
    <x v="0"/>
    <x v="2"/>
    <n v="20"/>
    <m/>
    <x v="18"/>
    <m/>
    <n v="24"/>
    <n v="24"/>
    <s v="PCS"/>
    <n v="400000"/>
    <n v="9600000"/>
    <s v="Horizontal elbow"/>
    <s v="Sheet"/>
    <b v="0"/>
  </r>
  <r>
    <x v="0"/>
    <x v="2"/>
    <n v="21"/>
    <s v="مس"/>
    <x v="19"/>
    <n v="132"/>
    <s v="8"/>
    <n v="2.8385280000000006"/>
    <s v="Kg"/>
    <n v="35000000"/>
    <n v="99348480.000000015"/>
    <s v="Horizontal elbow"/>
    <s v="Sheet"/>
    <b v="0"/>
  </r>
  <r>
    <x v="0"/>
    <x v="2"/>
    <n v="22"/>
    <s v="آهن"/>
    <x v="20"/>
    <s v="115 X 185"/>
    <n v="2"/>
    <n v="1"/>
    <s v="Kg"/>
    <n v="5200000"/>
    <n v="5200000"/>
    <s v="Horizontal elbow"/>
    <s v="Sheet"/>
    <b v="0"/>
  </r>
  <r>
    <x v="0"/>
    <x v="2"/>
    <n v="23"/>
    <m/>
    <x v="21"/>
    <s v="425 X 265"/>
    <n v="2"/>
    <n v="1.2"/>
    <s v="Kg"/>
    <n v="5200000"/>
    <n v="6240000"/>
    <s v="Horizontal elbow"/>
    <s v="Sheet"/>
    <b v="0"/>
  </r>
  <r>
    <x v="0"/>
    <x v="2"/>
    <n v="24"/>
    <s v="الومینیوم"/>
    <x v="22"/>
    <s v="163*157"/>
    <n v="2"/>
    <n v="0.57587900000000003"/>
    <s v="Kg"/>
    <n v="8500000"/>
    <n v="4894971.5"/>
    <s v="Horizontal elbow"/>
    <s v="Sheet"/>
    <b v="0"/>
  </r>
  <r>
    <x v="0"/>
    <x v="2"/>
    <n v="25"/>
    <s v="پلی امید"/>
    <x v="23"/>
    <n v="0.18"/>
    <n v="2"/>
    <n v="2"/>
    <s v="PCS"/>
    <n v="715000"/>
    <n v="1430000"/>
    <s v="Horizontal elbow"/>
    <s v="Sheet"/>
    <b v="0"/>
  </r>
  <r>
    <x v="0"/>
    <x v="2"/>
    <n v="26"/>
    <m/>
    <x v="24"/>
    <n v="0.2"/>
    <n v="3"/>
    <n v="3"/>
    <s v="PCS"/>
    <n v="715000"/>
    <n v="2145000"/>
    <s v="Horizontal elbow"/>
    <s v="Sheet"/>
    <b v="0"/>
  </r>
  <r>
    <x v="0"/>
    <x v="2"/>
    <n v="27"/>
    <s v="ABS"/>
    <x v="25"/>
    <s v="80 mm"/>
    <n v="1"/>
    <n v="1"/>
    <s v="PCS"/>
    <n v="100000"/>
    <n v="100000"/>
    <s v="Horizontal elbow"/>
    <s v="Sheet"/>
    <b v="0"/>
  </r>
  <r>
    <x v="0"/>
    <x v="2"/>
    <n v="28"/>
    <s v="پیچ و مهره"/>
    <x v="26"/>
    <m/>
    <n v="2"/>
    <n v="2"/>
    <s v="PCS"/>
    <n v="2400000"/>
    <n v="4800000"/>
    <s v="Horizontal elbow"/>
    <s v="Sheet"/>
    <b v="0"/>
  </r>
  <r>
    <x v="0"/>
    <x v="2"/>
    <n v="29"/>
    <m/>
    <x v="27"/>
    <m/>
    <n v="2"/>
    <n v="2"/>
    <s v="PCS"/>
    <n v="2400000"/>
    <n v="4800000"/>
    <s v="Horizontal elbow"/>
    <s v="Sheet"/>
    <b v="0"/>
  </r>
  <r>
    <x v="0"/>
    <x v="2"/>
    <n v="30"/>
    <m/>
    <x v="28"/>
    <m/>
    <n v="2"/>
    <n v="2"/>
    <s v="PCS"/>
    <n v="3000000"/>
    <n v="6000000"/>
    <s v="Horizontal elbow"/>
    <s v="Sheet"/>
    <b v="0"/>
  </r>
  <r>
    <x v="0"/>
    <x v="2"/>
    <n v="31"/>
    <s v="جوش"/>
    <x v="33"/>
    <m/>
    <n v="1"/>
    <n v="2"/>
    <s v="PCS"/>
    <n v="30000000"/>
    <n v="60000000"/>
    <s v="Horizontal elbow"/>
    <s v="Sheet"/>
    <b v="0"/>
  </r>
  <r>
    <x v="0"/>
    <x v="2"/>
    <n v="32"/>
    <m/>
    <x v="34"/>
    <m/>
    <n v="1"/>
    <n v="0"/>
    <s v="PCS"/>
    <n v="14000000"/>
    <n v="0"/>
    <s v="Horizontal elbow"/>
    <s v="Sheet"/>
    <b v="0"/>
  </r>
  <r>
    <x v="0"/>
    <x v="2"/>
    <n v="33"/>
    <s v="نوار IP"/>
    <x v="29"/>
    <m/>
    <n v="2"/>
    <n v="2"/>
    <s v="PCS"/>
    <n v="1300000"/>
    <n v="2600000"/>
    <s v="Horizontal elbow"/>
    <s v="Sheet"/>
    <b v="0"/>
  </r>
  <r>
    <x v="0"/>
    <x v="2"/>
    <n v="34"/>
    <s v="نوار IP"/>
    <x v="30"/>
    <m/>
    <n v="4"/>
    <n v="1.34"/>
    <s v="m"/>
    <n v="460000"/>
    <n v="616400"/>
    <s v="Horizontal elbow"/>
    <s v="Sheet"/>
    <b v="0"/>
  </r>
  <r>
    <x v="0"/>
    <x v="2"/>
    <n v="35"/>
    <s v="ترموفیت"/>
    <x v="31"/>
    <n v="50"/>
    <n v="8"/>
    <n v="0.8"/>
    <s v="m "/>
    <n v="6823080.0000000009"/>
    <n v="5458464.0000000009"/>
    <s v="Horizontal elbow"/>
    <s v="Sheet"/>
    <b v="0"/>
  </r>
  <r>
    <x v="0"/>
    <x v="2"/>
    <n v="28"/>
    <m/>
    <x v="32"/>
    <m/>
    <m/>
    <n v="8"/>
    <s v="h"/>
    <n v="13000000"/>
    <n v="104000000"/>
    <s v="Horizontal elbow"/>
    <s v="Sheet"/>
    <b v="0"/>
  </r>
  <r>
    <x v="0"/>
    <x v="2"/>
    <n v="29"/>
    <m/>
    <x v="35"/>
    <m/>
    <m/>
    <n v="0"/>
    <s v="%"/>
    <m/>
    <n v="0"/>
    <s v="Horizontal elbow"/>
    <s v="Sheet"/>
    <b v="0"/>
  </r>
  <r>
    <x v="0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0"/>
    <x v="3"/>
    <n v="2"/>
    <m/>
    <x v="1"/>
    <n v="0"/>
    <n v="0"/>
    <n v="0"/>
    <s v="Kg"/>
    <n v="8500000"/>
    <n v="0"/>
    <s v="Flange end "/>
    <s v="Sheet"/>
    <b v="0"/>
  </r>
  <r>
    <x v="0"/>
    <x v="3"/>
    <n v="3"/>
    <m/>
    <x v="2"/>
    <n v="168"/>
    <n v="2"/>
    <n v="0.57119999999999993"/>
    <s v="Kg"/>
    <n v="8500000"/>
    <n v="4855199.9999999991"/>
    <s v="Flange end "/>
    <s v="Sheet"/>
    <b v="0"/>
  </r>
  <r>
    <x v="0"/>
    <x v="3"/>
    <n v="4"/>
    <m/>
    <x v="3"/>
    <n v="120"/>
    <n v="4"/>
    <n v="0.48"/>
    <s v="Kg"/>
    <n v="8500000"/>
    <n v="4080000"/>
    <s v="Flange end "/>
    <s v="Sheet"/>
    <b v="0"/>
  </r>
  <r>
    <x v="0"/>
    <x v="3"/>
    <n v="5"/>
    <m/>
    <x v="4"/>
    <n v="180"/>
    <n v="2"/>
    <n v="0.47530800000000006"/>
    <s v="Kg"/>
    <n v="8500000"/>
    <n v="4040118.0000000009"/>
    <s v="Flange end "/>
    <s v="Sheet"/>
    <b v="0"/>
  </r>
  <r>
    <x v="0"/>
    <x v="3"/>
    <n v="6"/>
    <m/>
    <x v="5"/>
    <n v="0.58799999999999997"/>
    <n v="4"/>
    <n v="3.8102399999999998"/>
    <s v="Kg"/>
    <n v="8500000"/>
    <n v="32387040.000000004"/>
    <s v="Flange end "/>
    <s v="Sheet"/>
    <b v="0"/>
  </r>
  <r>
    <x v="0"/>
    <x v="3"/>
    <n v="7"/>
    <s v="عایق ها"/>
    <x v="6"/>
    <n v="0.13"/>
    <n v="0.54566400000000004"/>
    <n v="0.54566400000000004"/>
    <s v="M2"/>
    <n v="4275000"/>
    <n v="2332713.6"/>
    <s v="Flange end "/>
    <s v="Sheet"/>
    <b v="0"/>
  </r>
  <r>
    <x v="0"/>
    <x v="3"/>
    <n v="8"/>
    <m/>
    <x v="7"/>
    <n v="0.35"/>
    <n v="0"/>
    <n v="0"/>
    <s v="Kg"/>
    <n v="35750000"/>
    <n v="0"/>
    <s v="Flange end "/>
    <s v="Sheet"/>
    <b v="0"/>
  </r>
  <r>
    <x v="0"/>
    <x v="3"/>
    <n v="9"/>
    <m/>
    <x v="7"/>
    <n v="0.2"/>
    <n v="0.27283200000000002"/>
    <n v="0.27283200000000002"/>
    <s v="Kg"/>
    <n v="45760000"/>
    <n v="12484792.32"/>
    <s v="Flange end "/>
    <s v="Sheet"/>
    <b v="0"/>
  </r>
  <r>
    <x v="0"/>
    <x v="3"/>
    <n v="10"/>
    <s v="رنگ بدنه"/>
    <x v="8"/>
    <m/>
    <n v="1.0416000000000001"/>
    <n v="1.0416000000000001"/>
    <s v="Kg"/>
    <n v="1430000"/>
    <n v="1489487.9999999998"/>
    <s v="Flange end "/>
    <s v="Sheet"/>
    <b v="0"/>
  </r>
  <r>
    <x v="0"/>
    <x v="3"/>
    <n v="11"/>
    <s v="قلع"/>
    <x v="9"/>
    <m/>
    <n v="8"/>
    <n v="8"/>
    <s v="Kg"/>
    <n v="1600000"/>
    <n v="12800000"/>
    <s v="Flange end "/>
    <s v="Sheet"/>
    <b v="0"/>
  </r>
  <r>
    <x v="0"/>
    <x v="3"/>
    <n v="12"/>
    <m/>
    <x v="10"/>
    <m/>
    <n v="3.8102399999999998"/>
    <n v="3.8102399999999998"/>
    <s v="PCS"/>
    <n v="3600000"/>
    <n v="13716864.000000002"/>
    <s v="Flange end "/>
    <s v="Sheet"/>
    <b v="0"/>
  </r>
  <r>
    <x v="0"/>
    <x v="3"/>
    <n v="13"/>
    <s v="چسب"/>
    <x v="11"/>
    <m/>
    <n v="2.3519999999999999"/>
    <n v="2.3519999999999999"/>
    <s v="PCS"/>
    <n v="3600000"/>
    <n v="8467200"/>
    <s v="Flange end "/>
    <s v="Sheet"/>
    <b v="0"/>
  </r>
  <r>
    <x v="0"/>
    <x v="3"/>
    <n v="14"/>
    <m/>
    <x v="12"/>
    <m/>
    <n v="0.1"/>
    <n v="0.1"/>
    <s v="PCS"/>
    <n v="5500000"/>
    <n v="550000"/>
    <s v="Flange end "/>
    <s v="Sheet"/>
    <b v="0"/>
  </r>
  <r>
    <x v="0"/>
    <x v="3"/>
    <n v="15"/>
    <s v="پیچ و مهره"/>
    <x v="13"/>
    <m/>
    <s v="80"/>
    <n v="8"/>
    <s v="PCS"/>
    <n v="200000"/>
    <n v="1600000"/>
    <s v="Flange end "/>
    <s v="Sheet"/>
    <b v="0"/>
  </r>
  <r>
    <x v="0"/>
    <x v="3"/>
    <n v="16"/>
    <m/>
    <x v="14"/>
    <m/>
    <n v="8"/>
    <n v="8"/>
    <s v="PCS"/>
    <n v="200000"/>
    <n v="1600000"/>
    <s v="Flange end "/>
    <s v="Sheet"/>
    <b v="0"/>
  </r>
  <r>
    <x v="0"/>
    <x v="3"/>
    <n v="17"/>
    <m/>
    <x v="15"/>
    <m/>
    <n v="88"/>
    <n v="16"/>
    <s v="PCS"/>
    <n v="200000"/>
    <n v="3200000"/>
    <s v="Flange end "/>
    <s v="Sheet"/>
    <b v="0"/>
  </r>
  <r>
    <x v="0"/>
    <x v="3"/>
    <n v="18"/>
    <m/>
    <x v="16"/>
    <m/>
    <n v="16"/>
    <n v="16"/>
    <s v="PCS"/>
    <n v="400000"/>
    <n v="6400000"/>
    <s v="Flange end "/>
    <s v="Sheet"/>
    <b v="0"/>
  </r>
  <r>
    <x v="0"/>
    <x v="3"/>
    <n v="19"/>
    <m/>
    <x v="17"/>
    <m/>
    <n v="16"/>
    <n v="16"/>
    <s v="PCS"/>
    <n v="120000"/>
    <n v="1920000"/>
    <s v="Flange end "/>
    <s v="Sheet"/>
    <b v="0"/>
  </r>
  <r>
    <x v="0"/>
    <x v="3"/>
    <n v="20"/>
    <m/>
    <x v="18"/>
    <m/>
    <n v="24"/>
    <n v="24"/>
    <s v="PCS"/>
    <n v="400000"/>
    <n v="9600000"/>
    <s v="Flange end "/>
    <s v="Sheet"/>
    <b v="0"/>
  </r>
  <r>
    <x v="0"/>
    <x v="3"/>
    <n v="21"/>
    <s v="مس"/>
    <x v="19"/>
    <n v="132"/>
    <n v="8"/>
    <n v="2.8385280000000006"/>
    <s v="Kg"/>
    <n v="35000000"/>
    <n v="99348480.000000015"/>
    <s v="Flange end "/>
    <s v="Sheet"/>
    <b v="0"/>
  </r>
  <r>
    <x v="0"/>
    <x v="3"/>
    <n v="22"/>
    <s v="آهن"/>
    <x v="20"/>
    <s v="115 X 185"/>
    <n v="2"/>
    <n v="1"/>
    <s v="Kg"/>
    <n v="5200000"/>
    <n v="5200000"/>
    <s v="Flange end "/>
    <s v="Sheet"/>
    <b v="0"/>
  </r>
  <r>
    <x v="0"/>
    <x v="3"/>
    <n v="23"/>
    <m/>
    <x v="21"/>
    <s v="425 X 265"/>
    <n v="2"/>
    <n v="1.2"/>
    <s v="Kg"/>
    <n v="5200000"/>
    <n v="6240000"/>
    <s v="Flange end "/>
    <s v="Sheet"/>
    <b v="0"/>
  </r>
  <r>
    <x v="0"/>
    <x v="3"/>
    <n v="24"/>
    <s v="الومینیوم"/>
    <x v="22"/>
    <s v="163*157"/>
    <n v="2"/>
    <n v="0.57587900000000003"/>
    <s v="Kg"/>
    <n v="8500000"/>
    <n v="4894971.5"/>
    <s v="Flange end "/>
    <s v="Sheet"/>
    <b v="0"/>
  </r>
  <r>
    <x v="0"/>
    <x v="3"/>
    <n v="25"/>
    <s v="پلی امید"/>
    <x v="23"/>
    <n v="0.18"/>
    <s v="2"/>
    <s v="2"/>
    <s v="PCS"/>
    <n v="715000"/>
    <n v="1430000"/>
    <s v="Flange end "/>
    <s v="Sheet"/>
    <b v="0"/>
  </r>
  <r>
    <x v="0"/>
    <x v="3"/>
    <n v="26"/>
    <m/>
    <x v="24"/>
    <n v="0.2"/>
    <s v="3"/>
    <s v="3"/>
    <s v="PCS"/>
    <n v="715000"/>
    <n v="2145000"/>
    <s v="Flange end "/>
    <s v="Sheet"/>
    <b v="0"/>
  </r>
  <r>
    <x v="0"/>
    <x v="3"/>
    <n v="27"/>
    <s v="ABS"/>
    <x v="25"/>
    <s v="80 mm"/>
    <n v="1"/>
    <n v="1"/>
    <s v="PCS"/>
    <n v="100000"/>
    <n v="100000"/>
    <s v="Flange end "/>
    <s v="Sheet"/>
    <b v="0"/>
  </r>
  <r>
    <x v="0"/>
    <x v="3"/>
    <n v="28"/>
    <s v="پیچ و مهره"/>
    <x v="26"/>
    <m/>
    <n v="2"/>
    <n v="2"/>
    <s v="PCS"/>
    <n v="2400000"/>
    <n v="4800000"/>
    <s v="Flange end "/>
    <s v="Sheet"/>
    <b v="0"/>
  </r>
  <r>
    <x v="0"/>
    <x v="3"/>
    <n v="29"/>
    <m/>
    <x v="27"/>
    <m/>
    <n v="2"/>
    <n v="2"/>
    <s v="PCS"/>
    <n v="2400000"/>
    <n v="4800000"/>
    <s v="Flange end "/>
    <s v="Sheet"/>
    <b v="0"/>
  </r>
  <r>
    <x v="0"/>
    <x v="3"/>
    <n v="30"/>
    <m/>
    <x v="28"/>
    <m/>
    <n v="2"/>
    <n v="2"/>
    <s v="PCS"/>
    <n v="3000000"/>
    <n v="6000000"/>
    <s v="Flange end "/>
    <s v="Sheet"/>
    <b v="0"/>
  </r>
  <r>
    <x v="0"/>
    <x v="3"/>
    <n v="31"/>
    <s v="نوار IP"/>
    <x v="29"/>
    <m/>
    <n v="2"/>
    <n v="2"/>
    <s v="PCS"/>
    <n v="1300000"/>
    <n v="2600000"/>
    <s v="Flange end "/>
    <s v="Sheet"/>
    <b v="0"/>
  </r>
  <r>
    <x v="0"/>
    <x v="3"/>
    <n v="32"/>
    <s v="نوار IP"/>
    <x v="30"/>
    <m/>
    <n v="4"/>
    <n v="0.67200000000000004"/>
    <s v="m"/>
    <n v="460000"/>
    <n v="309120"/>
    <s v="Flange end "/>
    <s v="Sheet"/>
    <b v="0"/>
  </r>
  <r>
    <x v="0"/>
    <x v="3"/>
    <n v="33"/>
    <s v="ترموفیت"/>
    <x v="31"/>
    <n v="50"/>
    <n v="8"/>
    <n v="0.8"/>
    <s v="m "/>
    <n v="6823080.0000000009"/>
    <n v="5458464.0000000009"/>
    <s v="Flange end "/>
    <s v="Sheet"/>
    <b v="0"/>
  </r>
  <r>
    <x v="0"/>
    <x v="3"/>
    <n v="28"/>
    <m/>
    <x v="32"/>
    <m/>
    <m/>
    <n v="8"/>
    <s v="h"/>
    <n v="13000000"/>
    <n v="104000000"/>
    <s v="Flange end "/>
    <s v="Sheet"/>
    <b v="0"/>
  </r>
  <r>
    <x v="0"/>
    <x v="3"/>
    <n v="29"/>
    <m/>
    <x v="35"/>
    <m/>
    <m/>
    <n v="0"/>
    <s v="%"/>
    <m/>
    <n v="0"/>
    <s v="Flange end "/>
    <s v="Sheet"/>
    <b v="0"/>
  </r>
  <r>
    <x v="0"/>
    <x v="4"/>
    <n v="1"/>
    <s v="آهن"/>
    <x v="36"/>
    <m/>
    <n v="1"/>
    <n v="9"/>
    <s v="Kg"/>
    <n v="5200000"/>
    <n v="46800000"/>
    <s v="TOP OFF BOX 250"/>
    <s v="Sheet"/>
    <b v="0"/>
  </r>
  <r>
    <x v="0"/>
    <x v="4"/>
    <n v="4"/>
    <s v="مسی"/>
    <x v="37"/>
    <m/>
    <n v="4"/>
    <n v="0.5"/>
    <s v="Kg"/>
    <n v="22000000"/>
    <n v="11000000"/>
    <s v="TOP OFF BOX 250"/>
    <s v="Sheet"/>
    <b v="0"/>
  </r>
  <r>
    <x v="0"/>
    <x v="4"/>
    <n v="5"/>
    <m/>
    <x v="38"/>
    <m/>
    <n v="20"/>
    <n v="20"/>
    <s v="PCS"/>
    <n v="26000"/>
    <n v="520000"/>
    <s v="TOP OFF BOX 250"/>
    <s v="Sheet"/>
    <b v="0"/>
  </r>
  <r>
    <x v="0"/>
    <x v="4"/>
    <n v="6"/>
    <m/>
    <x v="39"/>
    <m/>
    <n v="6"/>
    <n v="6"/>
    <s v="PCS"/>
    <n v="195000"/>
    <n v="1170000"/>
    <s v="TOP OFF BOX 250"/>
    <s v="Sheet"/>
    <b v="0"/>
  </r>
  <r>
    <x v="0"/>
    <x v="4"/>
    <n v="7"/>
    <m/>
    <x v="40"/>
    <m/>
    <n v="20"/>
    <n v="20"/>
    <s v="PCS"/>
    <n v="13000"/>
    <n v="260000"/>
    <s v="TOP OFF BOX 250"/>
    <s v="Sheet"/>
    <b v="0"/>
  </r>
  <r>
    <x v="0"/>
    <x v="4"/>
    <n v="8"/>
    <m/>
    <x v="41"/>
    <m/>
    <n v="20"/>
    <n v="20"/>
    <s v="PCS"/>
    <n v="75000"/>
    <n v="1500000"/>
    <s v="TOP OFF BOX 250"/>
    <s v="Sheet"/>
    <b v="0"/>
  </r>
  <r>
    <x v="0"/>
    <x v="4"/>
    <n v="9"/>
    <m/>
    <x v="42"/>
    <m/>
    <n v="1"/>
    <n v="1"/>
    <s v="PCS"/>
    <n v="11250000"/>
    <n v="11250000"/>
    <s v="TOP OFF BOX 250"/>
    <s v="Sheet"/>
    <b v="0"/>
  </r>
  <r>
    <x v="0"/>
    <x v="4"/>
    <n v="10"/>
    <m/>
    <x v="43"/>
    <m/>
    <n v="1"/>
    <n v="1"/>
    <s v="PCS"/>
    <n v="7500000"/>
    <n v="7500000"/>
    <s v="TOP OFF BOX 250"/>
    <s v="Sheet"/>
    <b v="0"/>
  </r>
  <r>
    <x v="0"/>
    <x v="4"/>
    <n v="11"/>
    <m/>
    <x v="44"/>
    <m/>
    <n v="2"/>
    <n v="2"/>
    <s v="PCS"/>
    <n v="150000"/>
    <n v="300000"/>
    <s v="TOP OFF BOX 250"/>
    <s v="Sheet"/>
    <b v="0"/>
  </r>
  <r>
    <x v="0"/>
    <x v="4"/>
    <n v="12"/>
    <m/>
    <x v="45"/>
    <m/>
    <n v="2"/>
    <n v="2"/>
    <s v="PCS"/>
    <n v="100000"/>
    <n v="200000"/>
    <s v="TOP OFF BOX 250"/>
    <s v="Sheet"/>
    <b v="0"/>
  </r>
  <r>
    <x v="0"/>
    <x v="4"/>
    <n v="13"/>
    <m/>
    <x v="46"/>
    <m/>
    <n v="4"/>
    <n v="4"/>
    <s v="PCS"/>
    <n v="50000"/>
    <n v="200000"/>
    <s v="TOP OFF BOX 250"/>
    <s v="Sheet"/>
    <b v="0"/>
  </r>
  <r>
    <x v="0"/>
    <x v="4"/>
    <n v="14"/>
    <m/>
    <x v="47"/>
    <m/>
    <n v="2"/>
    <n v="2"/>
    <s v="PCS"/>
    <n v="100000"/>
    <n v="200000"/>
    <s v="TOP OFF BOX 250"/>
    <s v="Sheet"/>
    <b v="0"/>
  </r>
  <r>
    <x v="0"/>
    <x v="4"/>
    <n v="15"/>
    <m/>
    <x v="48"/>
    <m/>
    <n v="1"/>
    <n v="0.1"/>
    <s v="Kg"/>
    <n v="4200000"/>
    <n v="420000"/>
    <s v="TOP OFF BOX 250"/>
    <s v="Sheet"/>
    <b v="0"/>
  </r>
  <r>
    <x v="0"/>
    <x v="4"/>
    <n v="16"/>
    <m/>
    <x v="49"/>
    <m/>
    <n v="1"/>
    <n v="0.3"/>
    <s v="m"/>
    <m/>
    <n v="0"/>
    <s v="TOP OFF BOX 250"/>
    <s v="Sheet"/>
    <b v="0"/>
  </r>
  <r>
    <x v="0"/>
    <x v="4"/>
    <n v="17"/>
    <m/>
    <x v="50"/>
    <m/>
    <n v="1"/>
    <n v="0.15"/>
    <s v="m"/>
    <m/>
    <n v="0"/>
    <s v="TOP OFF BOX 250"/>
    <s v="Sheet"/>
    <b v="0"/>
  </r>
  <r>
    <x v="0"/>
    <x v="4"/>
    <n v="18"/>
    <m/>
    <x v="51"/>
    <m/>
    <n v="1"/>
    <m/>
    <s v="PCS"/>
    <m/>
    <n v="0"/>
    <s v="TOP OFF BOX 250"/>
    <s v="Sheet"/>
    <b v="0"/>
  </r>
  <r>
    <x v="0"/>
    <x v="4"/>
    <n v="19"/>
    <m/>
    <x v="52"/>
    <m/>
    <n v="1"/>
    <m/>
    <s v="PCS"/>
    <m/>
    <n v="0"/>
    <s v="TOP OFF BOX 250"/>
    <s v="Sheet"/>
    <b v="0"/>
  </r>
  <r>
    <x v="0"/>
    <x v="4"/>
    <n v="20"/>
    <m/>
    <x v="53"/>
    <m/>
    <n v="1"/>
    <m/>
    <s v="PCS"/>
    <m/>
    <n v="0"/>
    <s v="TOP OFF BOX 250"/>
    <s v="Sheet"/>
    <b v="0"/>
  </r>
  <r>
    <x v="0"/>
    <x v="4"/>
    <n v="21"/>
    <m/>
    <x v="54"/>
    <m/>
    <n v="1"/>
    <n v="1"/>
    <s v="PCS"/>
    <n v="74000000"/>
    <n v="74000000"/>
    <s v="TOP OFF BOX 250"/>
    <s v="Sheet"/>
    <b v="0"/>
  </r>
  <r>
    <x v="0"/>
    <x v="4"/>
    <n v="7"/>
    <m/>
    <x v="32"/>
    <m/>
    <m/>
    <n v="5"/>
    <s v="h"/>
    <n v="13000000"/>
    <n v="65000000"/>
    <s v="TOP OFF BOX 250"/>
    <s v="Sheet"/>
    <b v="0"/>
  </r>
  <r>
    <x v="0"/>
    <x v="4"/>
    <n v="8"/>
    <m/>
    <x v="35"/>
    <m/>
    <m/>
    <n v="0"/>
    <s v="%"/>
    <m/>
    <n v="0"/>
    <s v="TOP OFF BOX 250"/>
    <s v="Sheet"/>
    <b v="0"/>
  </r>
  <r>
    <x v="0"/>
    <x v="5"/>
    <n v="1"/>
    <s v="مس بافته شده"/>
    <x v="55"/>
    <m/>
    <n v="1"/>
    <n v="4"/>
    <s v="SET"/>
    <n v="22500000"/>
    <n v="90000000"/>
    <s v="Flexible connection"/>
    <s v="Sheet"/>
    <b v="0"/>
  </r>
  <r>
    <x v="0"/>
    <x v="5"/>
    <m/>
    <s v="قلع"/>
    <x v="10"/>
    <m/>
    <n v="0"/>
    <n v="6"/>
    <s v="Kg"/>
    <n v="3600000"/>
    <n v="21600000"/>
    <s v="Flexible connection"/>
    <s v="Sheet"/>
    <b v="0"/>
  </r>
  <r>
    <x v="0"/>
    <x v="5"/>
    <n v="3"/>
    <m/>
    <x v="56"/>
    <m/>
    <n v="16"/>
    <m/>
    <s v="PCS"/>
    <n v="50000"/>
    <n v="800000"/>
    <s v="Flexible connection"/>
    <s v="Sheet"/>
    <b v="0"/>
  </r>
  <r>
    <x v="0"/>
    <x v="5"/>
    <n v="4"/>
    <m/>
    <x v="57"/>
    <m/>
    <n v="16"/>
    <m/>
    <s v="PCS"/>
    <n v="15000"/>
    <n v="240000"/>
    <s v="Flexible connection"/>
    <s v="Sheet"/>
    <b v="0"/>
  </r>
  <r>
    <x v="0"/>
    <x v="5"/>
    <n v="5"/>
    <m/>
    <x v="58"/>
    <m/>
    <n v="32"/>
    <m/>
    <s v="PCS"/>
    <n v="5000"/>
    <n v="160000"/>
    <s v="Flexible connection"/>
    <s v="Sheet"/>
    <b v="0"/>
  </r>
  <r>
    <x v="0"/>
    <x v="5"/>
    <n v="6"/>
    <m/>
    <x v="59"/>
    <m/>
    <n v="16"/>
    <m/>
    <s v="PCS"/>
    <n v="5000"/>
    <n v="80000"/>
    <s v="Flexible connection"/>
    <s v="Sheet"/>
    <b v="0"/>
  </r>
  <r>
    <x v="0"/>
    <x v="5"/>
    <n v="7"/>
    <m/>
    <x v="32"/>
    <m/>
    <m/>
    <n v="1"/>
    <s v="h"/>
    <n v="13000000"/>
    <n v="13000000"/>
    <s v="Flexible connection"/>
    <s v="Sheet"/>
    <b v="0"/>
  </r>
  <r>
    <x v="0"/>
    <x v="5"/>
    <n v="8"/>
    <m/>
    <x v="35"/>
    <m/>
    <m/>
    <n v="0"/>
    <s v="%"/>
    <m/>
    <n v="0"/>
    <s v="Flexible connection"/>
    <s v="Sheet"/>
    <b v="0"/>
  </r>
  <r>
    <x v="0"/>
    <x v="6"/>
    <n v="1"/>
    <s v="مس"/>
    <x v="60"/>
    <m/>
    <n v="1"/>
    <n v="6"/>
    <s v="Kg"/>
    <n v="8500000"/>
    <n v="51000000"/>
    <s v="DISTRIBUTION BOARD"/>
    <s v="Sheet"/>
    <b v="0"/>
  </r>
  <r>
    <x v="0"/>
    <x v="6"/>
    <m/>
    <s v="قلع"/>
    <x v="10"/>
    <m/>
    <n v="0"/>
    <n v="6"/>
    <s v="Kg"/>
    <n v="3600000"/>
    <n v="21600000"/>
    <s v="DISTRIBUTION BOARD"/>
    <s v="Sheet"/>
    <b v="0"/>
  </r>
  <r>
    <x v="0"/>
    <x v="6"/>
    <n v="3"/>
    <m/>
    <x v="56"/>
    <m/>
    <n v="4"/>
    <m/>
    <s v="PCS"/>
    <n v="50000"/>
    <n v="200000"/>
    <s v="DISTRIBUTION BOARD"/>
    <s v="Sheet"/>
    <b v="0"/>
  </r>
  <r>
    <x v="0"/>
    <x v="6"/>
    <n v="4"/>
    <m/>
    <x v="57"/>
    <m/>
    <n v="4"/>
    <m/>
    <s v="PCS"/>
    <n v="15000"/>
    <n v="60000"/>
    <s v="DISTRIBUTION BOARD"/>
    <s v="Sheet"/>
    <b v="0"/>
  </r>
  <r>
    <x v="0"/>
    <x v="6"/>
    <n v="5"/>
    <m/>
    <x v="58"/>
    <m/>
    <n v="8"/>
    <m/>
    <s v="PCS"/>
    <n v="5000"/>
    <n v="40000"/>
    <s v="DISTRIBUTION BOARD"/>
    <s v="Sheet"/>
    <b v="0"/>
  </r>
  <r>
    <x v="0"/>
    <x v="6"/>
    <n v="6"/>
    <m/>
    <x v="59"/>
    <m/>
    <n v="4"/>
    <m/>
    <s v="PCS"/>
    <n v="5000"/>
    <n v="20000"/>
    <s v="DISTRIBUTION BOARD"/>
    <s v="Sheet"/>
    <b v="0"/>
  </r>
  <r>
    <x v="0"/>
    <x v="6"/>
    <n v="7"/>
    <m/>
    <x v="32"/>
    <m/>
    <m/>
    <n v="5"/>
    <s v="h"/>
    <n v="13000000"/>
    <n v="65000000"/>
    <s v="DISTRIBUTION BOARD"/>
    <s v="Sheet"/>
    <b v="0"/>
  </r>
  <r>
    <x v="0"/>
    <x v="6"/>
    <n v="8"/>
    <m/>
    <x v="35"/>
    <m/>
    <m/>
    <n v="0"/>
    <s v="%"/>
    <m/>
    <n v="0"/>
    <s v="DISTRIBUTION BOARD"/>
    <s v="Sheet"/>
    <b v="0"/>
  </r>
  <r>
    <x v="0"/>
    <x v="7"/>
    <n v="1"/>
    <s v="مس"/>
    <x v="61"/>
    <m/>
    <n v="1"/>
    <n v="6"/>
    <s v="Kg"/>
    <n v="8500000"/>
    <n v="51000000"/>
    <s v="Transformer connection"/>
    <s v="Sheet"/>
    <b v="0"/>
  </r>
  <r>
    <x v="0"/>
    <x v="7"/>
    <m/>
    <s v="قلع"/>
    <x v="10"/>
    <m/>
    <n v="0"/>
    <n v="6"/>
    <s v="Kg"/>
    <n v="3600000"/>
    <n v="21600000"/>
    <s v="Transformer connection"/>
    <s v="Sheet"/>
    <b v="0"/>
  </r>
  <r>
    <x v="0"/>
    <x v="7"/>
    <n v="3"/>
    <m/>
    <x v="56"/>
    <m/>
    <n v="16"/>
    <m/>
    <s v="PCS"/>
    <n v="50000"/>
    <n v="800000"/>
    <s v="Transformer connection"/>
    <s v="Sheet"/>
    <b v="0"/>
  </r>
  <r>
    <x v="0"/>
    <x v="7"/>
    <n v="4"/>
    <m/>
    <x v="57"/>
    <m/>
    <n v="16"/>
    <m/>
    <s v="PCS"/>
    <n v="15000"/>
    <n v="240000"/>
    <s v="Transformer connection"/>
    <s v="Sheet"/>
    <b v="0"/>
  </r>
  <r>
    <x v="0"/>
    <x v="7"/>
    <n v="5"/>
    <m/>
    <x v="58"/>
    <m/>
    <n v="32"/>
    <m/>
    <s v="PCS"/>
    <n v="5000"/>
    <n v="160000"/>
    <s v="Transformer connection"/>
    <s v="Sheet"/>
    <b v="0"/>
  </r>
  <r>
    <x v="0"/>
    <x v="7"/>
    <n v="6"/>
    <m/>
    <x v="59"/>
    <m/>
    <n v="16"/>
    <m/>
    <s v="PCS"/>
    <n v="5000"/>
    <n v="80000"/>
    <s v="Transformer connection"/>
    <s v="Sheet"/>
    <b v="0"/>
  </r>
  <r>
    <x v="0"/>
    <x v="7"/>
    <n v="7"/>
    <m/>
    <x v="32"/>
    <m/>
    <m/>
    <n v="5"/>
    <s v="h"/>
    <n v="13000000"/>
    <n v="65000000"/>
    <s v="Transformer connection"/>
    <s v="Sheet"/>
    <b v="0"/>
  </r>
  <r>
    <x v="0"/>
    <x v="7"/>
    <n v="8"/>
    <m/>
    <x v="35"/>
    <m/>
    <m/>
    <n v="0"/>
    <s v="%"/>
    <m/>
    <n v="0"/>
    <s v="Transformer connection"/>
    <s v="Sheet"/>
    <b v="0"/>
  </r>
  <r>
    <x v="0"/>
    <x v="8"/>
    <n v="1"/>
    <s v="آهن"/>
    <x v="62"/>
    <m/>
    <n v="1"/>
    <n v="25"/>
    <s v="Kg"/>
    <n v="5200000"/>
    <n v="130000000"/>
    <s v="Connection protection unit"/>
    <s v="Sheet"/>
    <b v="0"/>
  </r>
  <r>
    <x v="0"/>
    <x v="8"/>
    <m/>
    <s v="آهن"/>
    <x v="63"/>
    <m/>
    <n v="1"/>
    <m/>
    <s v="Kg"/>
    <m/>
    <n v="0"/>
    <s v="Connection protection unit"/>
    <s v="Sheet"/>
    <b v="0"/>
  </r>
  <r>
    <x v="0"/>
    <x v="8"/>
    <n v="3"/>
    <m/>
    <x v="38"/>
    <m/>
    <n v="32"/>
    <m/>
    <s v="PCS"/>
    <n v="10000"/>
    <n v="320000"/>
    <s v="Connection protection unit"/>
    <s v="Sheet"/>
    <b v="0"/>
  </r>
  <r>
    <x v="0"/>
    <x v="8"/>
    <n v="4"/>
    <m/>
    <x v="15"/>
    <m/>
    <n v="32"/>
    <m/>
    <s v="PCS"/>
    <n v="60000"/>
    <n v="1920000"/>
    <s v="Connection protection unit"/>
    <s v="Sheet"/>
    <b v="0"/>
  </r>
  <r>
    <x v="0"/>
    <x v="8"/>
    <n v="5"/>
    <m/>
    <x v="64"/>
    <m/>
    <n v="32"/>
    <m/>
    <s v="PCS"/>
    <n v="60000"/>
    <n v="1920000"/>
    <s v="Connection protection unit"/>
    <s v="Sheet"/>
    <b v="0"/>
  </r>
  <r>
    <x v="0"/>
    <x v="8"/>
    <n v="6"/>
    <m/>
    <x v="38"/>
    <m/>
    <n v="12"/>
    <m/>
    <s v="PCS"/>
    <n v="10000"/>
    <n v="120000"/>
    <s v="Connection protection unit"/>
    <s v="Sheet"/>
    <b v="0"/>
  </r>
  <r>
    <x v="0"/>
    <x v="8"/>
    <n v="7"/>
    <m/>
    <x v="65"/>
    <m/>
    <n v="12"/>
    <m/>
    <s v="PCS"/>
    <n v="10000"/>
    <n v="120000"/>
    <s v="Connection protection unit"/>
    <s v="Sheet"/>
    <b v="0"/>
  </r>
  <r>
    <x v="0"/>
    <x v="8"/>
    <n v="8"/>
    <m/>
    <x v="40"/>
    <m/>
    <n v="12"/>
    <m/>
    <s v="PCS"/>
    <n v="60000"/>
    <n v="720000"/>
    <s v="Connection protection unit"/>
    <s v="Sheet"/>
    <b v="0"/>
  </r>
  <r>
    <x v="0"/>
    <x v="8"/>
    <n v="9"/>
    <m/>
    <x v="66"/>
    <m/>
    <n v="32"/>
    <m/>
    <s v="PCS"/>
    <n v="10000"/>
    <n v="320000"/>
    <s v="Connection protection unit"/>
    <s v="Sheet"/>
    <b v="0"/>
  </r>
  <r>
    <x v="0"/>
    <x v="8"/>
    <n v="10"/>
    <m/>
    <x v="8"/>
    <m/>
    <n v="25"/>
    <m/>
    <s v="Kg"/>
    <n v="1430000"/>
    <n v="35750000"/>
    <s v="Connection protection unit"/>
    <s v="Sheet"/>
    <b v="0"/>
  </r>
  <r>
    <x v="0"/>
    <x v="8"/>
    <m/>
    <m/>
    <x v="30"/>
    <m/>
    <n v="1"/>
    <n v="6"/>
    <s v="m"/>
    <n v="460000"/>
    <n v="2760000"/>
    <s v="Connection protection unit"/>
    <s v="Sheet"/>
    <b v="0"/>
  </r>
  <r>
    <x v="0"/>
    <x v="8"/>
    <n v="11"/>
    <m/>
    <x v="32"/>
    <m/>
    <m/>
    <n v="5"/>
    <s v="h"/>
    <n v="13000000"/>
    <n v="65000000"/>
    <s v="Connection protection unit"/>
    <s v="Sheet"/>
    <b v="0"/>
  </r>
  <r>
    <x v="0"/>
    <x v="8"/>
    <n v="12"/>
    <m/>
    <x v="35"/>
    <m/>
    <m/>
    <n v="0"/>
    <s v="%"/>
    <m/>
    <n v="0"/>
    <s v="Connection protection unit"/>
    <s v="Sheet"/>
    <b v="0"/>
  </r>
  <r>
    <x v="0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0"/>
    <x v="9"/>
    <m/>
    <m/>
    <x v="68"/>
    <s v="200 X 100 X 3"/>
    <n v="2"/>
    <n v="0.94320000000000004"/>
    <s v="Kg"/>
    <n v="800000"/>
    <n v="754560"/>
    <s v="SPRINH HANGER"/>
    <s v="Sheet"/>
    <b v="0"/>
  </r>
  <r>
    <x v="0"/>
    <x v="9"/>
    <m/>
    <m/>
    <x v="69"/>
    <m/>
    <n v="2"/>
    <m/>
    <s v="PCS"/>
    <n v="5000000"/>
    <n v="10000000"/>
    <s v="SPRINH HANGER"/>
    <s v="Sheet"/>
    <b v="0"/>
  </r>
  <r>
    <x v="0"/>
    <x v="9"/>
    <n v="2"/>
    <m/>
    <x v="70"/>
    <n v="260"/>
    <n v="2"/>
    <n v="0.52"/>
    <s v="m"/>
    <n v="2000000"/>
    <n v="1040000"/>
    <s v="SPRINH HANGER"/>
    <s v="Sheet"/>
    <b v="0"/>
  </r>
  <r>
    <x v="0"/>
    <x v="9"/>
    <m/>
    <m/>
    <x v="71"/>
    <m/>
    <n v="10"/>
    <m/>
    <s v="PCS"/>
    <n v="200000"/>
    <n v="2000000"/>
    <s v="SPRINH HANGER"/>
    <s v="Sheet"/>
    <b v="0"/>
  </r>
  <r>
    <x v="0"/>
    <x v="9"/>
    <n v="7"/>
    <m/>
    <x v="72"/>
    <m/>
    <n v="4"/>
    <n v="4"/>
    <s v="PCS"/>
    <n v="300000"/>
    <n v="1200000"/>
    <s v="SPRINH HANGER"/>
    <s v="Sheet"/>
    <b v="0"/>
  </r>
  <r>
    <x v="0"/>
    <x v="9"/>
    <n v="8"/>
    <m/>
    <x v="58"/>
    <m/>
    <n v="10"/>
    <n v="10"/>
    <s v="PCS"/>
    <n v="30000"/>
    <n v="300000"/>
    <s v="SPRINH HANGER"/>
    <s v="Sheet"/>
    <b v="0"/>
  </r>
  <r>
    <x v="0"/>
    <x v="9"/>
    <n v="9"/>
    <m/>
    <x v="73"/>
    <m/>
    <n v="4"/>
    <n v="4"/>
    <s v="PCS"/>
    <n v="30000"/>
    <n v="120000"/>
    <s v="SPRINH HANGER"/>
    <s v="Sheet"/>
    <b v="0"/>
  </r>
  <r>
    <x v="0"/>
    <x v="9"/>
    <n v="12"/>
    <m/>
    <x v="46"/>
    <m/>
    <n v="4"/>
    <n v="4"/>
    <s v="PCS"/>
    <n v="30000"/>
    <n v="120000"/>
    <s v="SPRINH HANGER"/>
    <s v="Sheet"/>
    <b v="0"/>
  </r>
  <r>
    <x v="0"/>
    <x v="9"/>
    <n v="13"/>
    <m/>
    <x v="32"/>
    <m/>
    <m/>
    <n v="1"/>
    <s v="h"/>
    <n v="13000000"/>
    <n v="13000000"/>
    <s v="SPRINH HANGER"/>
    <s v="Sheet"/>
    <b v="0"/>
  </r>
  <r>
    <x v="0"/>
    <x v="9"/>
    <n v="14"/>
    <m/>
    <x v="35"/>
    <m/>
    <m/>
    <n v="0"/>
    <s v="%"/>
    <m/>
    <n v="0"/>
    <s v="SPRINH HANGER"/>
    <s v="Sheet"/>
    <b v="0"/>
  </r>
  <r>
    <x v="0"/>
    <x v="9"/>
    <m/>
    <m/>
    <x v="74"/>
    <n v="300"/>
    <n v="200"/>
    <n v="3"/>
    <n v="7.86"/>
    <m/>
    <n v="1.4148000000000001"/>
    <s v="SPRINH HANGER"/>
    <s v="Sheet"/>
    <b v="0"/>
  </r>
  <r>
    <x v="0"/>
    <x v="9"/>
    <m/>
    <m/>
    <x v="75"/>
    <n v="200"/>
    <n v="100"/>
    <n v="3"/>
    <n v="7.86"/>
    <m/>
    <n v="0.47160000000000002"/>
    <s v="SPRINH HANGER"/>
    <s v="Sheet"/>
    <b v="0"/>
  </r>
  <r>
    <x v="0"/>
    <x v="10"/>
    <n v="1"/>
    <s v="آهن"/>
    <x v="76"/>
    <m/>
    <n v="1"/>
    <n v="1.6485000000000001"/>
    <s v="Kg"/>
    <n v="700000"/>
    <n v="1153950"/>
    <s v="Suspension unit ceiling"/>
    <s v="Sheet"/>
    <b v="0"/>
  </r>
  <r>
    <x v="0"/>
    <x v="10"/>
    <n v="2"/>
    <s v="آهن"/>
    <x v="77"/>
    <m/>
    <n v="2"/>
    <m/>
    <s v="m"/>
    <n v="1200000"/>
    <n v="2400000"/>
    <s v="Suspension unit ceiling"/>
    <s v="Sheet"/>
    <b v="0"/>
  </r>
  <r>
    <x v="0"/>
    <x v="10"/>
    <n v="3"/>
    <m/>
    <x v="78"/>
    <m/>
    <n v="2"/>
    <m/>
    <s v="PCS"/>
    <n v="100000"/>
    <n v="200000"/>
    <s v="Suspension unit ceiling"/>
    <s v="Sheet"/>
    <b v="0"/>
  </r>
  <r>
    <x v="0"/>
    <x v="10"/>
    <n v="4"/>
    <m/>
    <x v="57"/>
    <m/>
    <n v="6"/>
    <m/>
    <s v="PCS"/>
    <n v="10000"/>
    <n v="60000"/>
    <s v="Suspension unit ceiling"/>
    <s v="Sheet"/>
    <b v="0"/>
  </r>
  <r>
    <x v="0"/>
    <x v="10"/>
    <n v="5"/>
    <m/>
    <x v="58"/>
    <m/>
    <n v="6"/>
    <m/>
    <s v="PCS"/>
    <n v="5000"/>
    <n v="30000"/>
    <s v="Suspension unit ceiling"/>
    <s v="Sheet"/>
    <b v="0"/>
  </r>
  <r>
    <x v="0"/>
    <x v="10"/>
    <n v="6"/>
    <m/>
    <x v="79"/>
    <m/>
    <n v="2"/>
    <m/>
    <s v="PCS"/>
    <n v="500000"/>
    <n v="1000000"/>
    <s v="Suspension unit ceiling"/>
    <s v="Sheet"/>
    <b v="0"/>
  </r>
  <r>
    <x v="0"/>
    <x v="10"/>
    <n v="7"/>
    <m/>
    <x v="80"/>
    <m/>
    <n v="2"/>
    <m/>
    <s v="PCS"/>
    <n v="10000"/>
    <n v="20000"/>
    <s v="Suspension unit ceiling"/>
    <s v="Sheet"/>
    <b v="0"/>
  </r>
  <r>
    <x v="0"/>
    <x v="10"/>
    <n v="8"/>
    <m/>
    <x v="65"/>
    <m/>
    <n v="2"/>
    <m/>
    <s v="PCS"/>
    <n v="5000"/>
    <n v="10000"/>
    <s v="Suspension unit ceiling"/>
    <s v="Sheet"/>
    <b v="0"/>
  </r>
  <r>
    <x v="0"/>
    <x v="10"/>
    <n v="9"/>
    <m/>
    <x v="40"/>
    <m/>
    <n v="2"/>
    <m/>
    <s v="PCS"/>
    <n v="60000"/>
    <n v="120000"/>
    <s v="Suspension unit ceiling"/>
    <s v="Sheet"/>
    <b v="0"/>
  </r>
  <r>
    <x v="0"/>
    <x v="10"/>
    <n v="10"/>
    <m/>
    <x v="32"/>
    <m/>
    <m/>
    <n v="3"/>
    <s v="h"/>
    <n v="13000000"/>
    <n v="39000000"/>
    <s v="Suspension unit ceiling"/>
    <s v="Sheet"/>
    <b v="0"/>
  </r>
  <r>
    <x v="0"/>
    <x v="10"/>
    <n v="11"/>
    <m/>
    <x v="35"/>
    <m/>
    <m/>
    <n v="0"/>
    <s v="%"/>
    <m/>
    <n v="0"/>
    <s v="Suspension unit ceiling"/>
    <s v="Sheet"/>
    <b v="0"/>
  </r>
  <r>
    <x v="0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0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0"/>
    <x v="11"/>
    <n v="7"/>
    <m/>
    <x v="13"/>
    <m/>
    <n v="2"/>
    <n v="2"/>
    <s v="PCS"/>
    <n v="50000"/>
    <n v="100000"/>
    <s v="Universal fixing unit"/>
    <s v="Sheet"/>
    <b v="0"/>
  </r>
  <r>
    <x v="0"/>
    <x v="11"/>
    <n v="8"/>
    <m/>
    <x v="64"/>
    <m/>
    <n v="4"/>
    <n v="4"/>
    <s v="PCS"/>
    <n v="30000"/>
    <n v="120000"/>
    <s v="Universal fixing unit"/>
    <s v="Sheet"/>
    <b v="0"/>
  </r>
  <r>
    <x v="0"/>
    <x v="11"/>
    <n v="9"/>
    <m/>
    <x v="82"/>
    <m/>
    <n v="1"/>
    <n v="1"/>
    <s v="PCS"/>
    <n v="30000"/>
    <n v="30000"/>
    <s v="Universal fixing unit"/>
    <s v="Sheet"/>
    <b v="0"/>
  </r>
  <r>
    <x v="0"/>
    <x v="11"/>
    <n v="13"/>
    <m/>
    <x v="32"/>
    <m/>
    <m/>
    <n v="1"/>
    <s v="h"/>
    <n v="13000000"/>
    <n v="13000000"/>
    <s v="Universal fixing unit"/>
    <s v="Sheet"/>
    <b v="0"/>
  </r>
  <r>
    <x v="0"/>
    <x v="11"/>
    <n v="14"/>
    <m/>
    <x v="35"/>
    <m/>
    <m/>
    <n v="0"/>
    <s v="%"/>
    <m/>
    <n v="0"/>
    <s v="Universal fixing unit"/>
    <s v="Sheet"/>
    <b v="0"/>
  </r>
  <r>
    <x v="0"/>
    <x v="11"/>
    <m/>
    <m/>
    <x v="74"/>
    <n v="300"/>
    <n v="100"/>
    <n v="2.5"/>
    <n v="7.86"/>
    <m/>
    <n v="0.58950000000000002"/>
    <s v="Universal fixing unit"/>
    <s v="Sheet"/>
    <b v="0"/>
  </r>
  <r>
    <x v="1"/>
    <x v="12"/>
    <n v="1"/>
    <s v="آلومینیوم"/>
    <x v="0"/>
    <n v="2735"/>
    <n v="2"/>
    <n v="7.6580000000000004"/>
    <s v="Kg"/>
    <n v="8500000"/>
    <n v="65092999.999999993"/>
    <s v="FEEDER-1250"/>
    <s v="Sheet"/>
    <b v="0"/>
  </r>
  <r>
    <x v="1"/>
    <x v="12"/>
    <n v="2"/>
    <m/>
    <x v="1"/>
    <n v="2735"/>
    <n v="0"/>
    <n v="0"/>
    <s v="Kg"/>
    <n v="8500000"/>
    <n v="0"/>
    <s v="FEEDER-1250"/>
    <s v="Sheet"/>
    <b v="0"/>
  </r>
  <r>
    <x v="1"/>
    <x v="12"/>
    <n v="3"/>
    <m/>
    <x v="83"/>
    <n v="2703"/>
    <n v="2"/>
    <n v="11.8932"/>
    <s v="Kg"/>
    <n v="8500000"/>
    <n v="101092200"/>
    <s v="FEEDER-1250"/>
    <s v="Sheet"/>
    <b v="0"/>
  </r>
  <r>
    <x v="1"/>
    <x v="12"/>
    <n v="4"/>
    <m/>
    <x v="3"/>
    <n v="120"/>
    <n v="4"/>
    <n v="0.48"/>
    <s v="Kg"/>
    <n v="8500000"/>
    <n v="4080000"/>
    <s v="FEEDER-1250"/>
    <s v="Sheet"/>
    <b v="0"/>
  </r>
  <r>
    <x v="1"/>
    <x v="12"/>
    <n v="5"/>
    <m/>
    <x v="4"/>
    <n v="180"/>
    <n v="4"/>
    <n v="1.1838960000000001"/>
    <s v="Kg"/>
    <n v="8500000"/>
    <n v="10063116"/>
    <s v="FEEDER-1250"/>
    <s v="Sheet"/>
    <b v="0"/>
  </r>
  <r>
    <x v="1"/>
    <x v="12"/>
    <n v="6"/>
    <m/>
    <x v="5"/>
    <n v="2970"/>
    <n v="4"/>
    <n v="26.943840000000009"/>
    <s v="Kg"/>
    <n v="8500000"/>
    <n v="229022640.00000009"/>
    <s v="FEEDER-1250"/>
    <s v="Sheet"/>
    <b v="0"/>
  </r>
  <r>
    <x v="1"/>
    <x v="12"/>
    <n v="7"/>
    <s v="عایق ها"/>
    <x v="6"/>
    <n v="0.13"/>
    <n v="3.706560000000001"/>
    <n v="3.706560000000001"/>
    <s v="M2"/>
    <n v="4275000"/>
    <n v="15845544.000000002"/>
    <s v="FEEDER-1250"/>
    <s v="Sheet"/>
    <b v="0"/>
  </r>
  <r>
    <x v="1"/>
    <x v="12"/>
    <n v="8"/>
    <m/>
    <x v="7"/>
    <n v="0.35"/>
    <n v="1.6308864000000001"/>
    <n v="1.6308864000000001"/>
    <s v="Kg"/>
    <n v="35750000"/>
    <n v="58304188.799999997"/>
    <s v="FEEDER-1250"/>
    <s v="Sheet"/>
    <b v="0"/>
  </r>
  <r>
    <x v="1"/>
    <x v="12"/>
    <n v="9"/>
    <m/>
    <x v="7"/>
    <n v="0.2"/>
    <n v="0"/>
    <n v="0"/>
    <s v="Kg"/>
    <n v="45760000"/>
    <n v="0"/>
    <s v="FEEDER-1250"/>
    <s v="Sheet"/>
    <b v="0"/>
  </r>
  <r>
    <x v="1"/>
    <x v="12"/>
    <n v="10"/>
    <s v="رنگ بدنه"/>
    <x v="8"/>
    <m/>
    <n v="19.551200000000001"/>
    <n v="19.551200000000001"/>
    <s v="Kg"/>
    <n v="1430000"/>
    <n v="27958216.000000004"/>
    <s v="FEEDER-1250"/>
    <s v="Sheet"/>
    <b v="0"/>
  </r>
  <r>
    <x v="1"/>
    <x v="12"/>
    <n v="11"/>
    <s v="قلع"/>
    <x v="9"/>
    <m/>
    <n v="8"/>
    <n v="8"/>
    <s v="Kg"/>
    <n v="1600000"/>
    <n v="12800000"/>
    <s v="FEEDER-1250"/>
    <s v="Sheet"/>
    <b v="0"/>
  </r>
  <r>
    <x v="1"/>
    <x v="12"/>
    <n v="12"/>
    <m/>
    <x v="10"/>
    <m/>
    <n v="26.943840000000009"/>
    <n v="26.943840000000009"/>
    <s v="PCS"/>
    <n v="3600000"/>
    <n v="96997824.000000045"/>
    <s v="FEEDER-1250"/>
    <s v="Sheet"/>
    <b v="0"/>
  </r>
  <r>
    <x v="1"/>
    <x v="12"/>
    <n v="13"/>
    <s v="چسب"/>
    <x v="11"/>
    <m/>
    <n v="11.88"/>
    <n v="11.88"/>
    <s v="PCS"/>
    <n v="3600000"/>
    <n v="42768000"/>
    <s v="FEEDER-1250"/>
    <s v="Sheet"/>
    <b v="0"/>
  </r>
  <r>
    <x v="1"/>
    <x v="12"/>
    <n v="14"/>
    <m/>
    <x v="12"/>
    <m/>
    <n v="0.1"/>
    <n v="0.1"/>
    <s v="PCS"/>
    <n v="5500000"/>
    <n v="550000"/>
    <s v="FEEDER-1250"/>
    <s v="Sheet"/>
    <b v="0"/>
  </r>
  <r>
    <x v="1"/>
    <x v="12"/>
    <n v="15"/>
    <s v="پیچ و مهره"/>
    <x v="13"/>
    <m/>
    <s v="80"/>
    <s v="80"/>
    <s v="PCS"/>
    <n v="200000"/>
    <n v="16000000"/>
    <s v="FEEDER-1250"/>
    <s v="Sheet"/>
    <b v="0"/>
  </r>
  <r>
    <x v="1"/>
    <x v="12"/>
    <n v="16"/>
    <m/>
    <x v="14"/>
    <m/>
    <n v="8"/>
    <n v="8"/>
    <s v="PCS"/>
    <n v="200000"/>
    <n v="1600000"/>
    <s v="FEEDER-1250"/>
    <s v="Sheet"/>
    <b v="0"/>
  </r>
  <r>
    <x v="1"/>
    <x v="12"/>
    <n v="17"/>
    <m/>
    <x v="15"/>
    <m/>
    <n v="88"/>
    <n v="88"/>
    <s v="PCS"/>
    <n v="200000"/>
    <n v="17600000"/>
    <s v="FEEDER-1250"/>
    <s v="Sheet"/>
    <b v="0"/>
  </r>
  <r>
    <x v="1"/>
    <x v="12"/>
    <n v="18"/>
    <m/>
    <x v="16"/>
    <m/>
    <n v="16"/>
    <n v="16"/>
    <s v="PCS"/>
    <n v="400000"/>
    <n v="6400000"/>
    <s v="FEEDER-1250"/>
    <s v="Sheet"/>
    <b v="0"/>
  </r>
  <r>
    <x v="1"/>
    <x v="12"/>
    <n v="19"/>
    <m/>
    <x v="17"/>
    <m/>
    <n v="16"/>
    <n v="16"/>
    <s v="PCS"/>
    <n v="120000"/>
    <n v="1920000"/>
    <s v="FEEDER-1250"/>
    <s v="Sheet"/>
    <b v="0"/>
  </r>
  <r>
    <x v="1"/>
    <x v="12"/>
    <n v="20"/>
    <m/>
    <x v="18"/>
    <m/>
    <n v="24"/>
    <n v="24"/>
    <s v="PCS"/>
    <n v="400000"/>
    <n v="9600000"/>
    <s v="FEEDER-1250"/>
    <s v="Sheet"/>
    <b v="0"/>
  </r>
  <r>
    <x v="1"/>
    <x v="12"/>
    <n v="21"/>
    <s v="مس"/>
    <x v="19"/>
    <n v="132"/>
    <n v="8"/>
    <n v="3.9739391999999998"/>
    <s v="Kg"/>
    <n v="35000000"/>
    <n v="139087872"/>
    <s v="FEEDER-1250"/>
    <s v="Sheet"/>
    <b v="0"/>
  </r>
  <r>
    <x v="1"/>
    <x v="12"/>
    <n v="22"/>
    <s v="آهن"/>
    <x v="20"/>
    <s v="115 X 185"/>
    <n v="2"/>
    <n v="1.2"/>
    <s v="Kg"/>
    <n v="5200000"/>
    <n v="6240000"/>
    <s v="FEEDER-1250"/>
    <s v="Sheet"/>
    <b v="0"/>
  </r>
  <r>
    <x v="1"/>
    <x v="12"/>
    <n v="23"/>
    <m/>
    <x v="21"/>
    <s v="425 X 265"/>
    <n v="2"/>
    <n v="1.2"/>
    <s v="Kg"/>
    <n v="5200000"/>
    <n v="6240000"/>
    <s v="FEEDER-1250"/>
    <s v="Sheet"/>
    <b v="0"/>
  </r>
  <r>
    <x v="1"/>
    <x v="12"/>
    <n v="24"/>
    <s v="الومینیوم"/>
    <x v="22"/>
    <s v="203*157"/>
    <n v="2"/>
    <n v="0.71719899999999992"/>
    <s v="Kg"/>
    <n v="8500000"/>
    <n v="6096191.4999999991"/>
    <s v="FEEDER-1250"/>
    <s v="Sheet"/>
    <b v="0"/>
  </r>
  <r>
    <x v="1"/>
    <x v="12"/>
    <n v="25"/>
    <s v="پلی امید"/>
    <x v="23"/>
    <n v="0.18"/>
    <s v="2"/>
    <s v="2"/>
    <s v="PCS"/>
    <n v="910000"/>
    <n v="1820000"/>
    <s v="FEEDER-1250"/>
    <s v="Sheet"/>
    <b v="0"/>
  </r>
  <r>
    <x v="1"/>
    <x v="12"/>
    <n v="26"/>
    <m/>
    <x v="24"/>
    <n v="0.2"/>
    <s v="3"/>
    <s v="3"/>
    <s v="PCS"/>
    <n v="910000"/>
    <n v="2730000"/>
    <s v="FEEDER-1250"/>
    <s v="Sheet"/>
    <b v="0"/>
  </r>
  <r>
    <x v="1"/>
    <x v="12"/>
    <n v="27"/>
    <s v="ABS"/>
    <x v="25"/>
    <s v="80 mm"/>
    <n v="1"/>
    <n v="1"/>
    <s v="PCS"/>
    <n v="100000"/>
    <n v="100000"/>
    <s v="FEEDER-1250"/>
    <s v="Sheet"/>
    <b v="0"/>
  </r>
  <r>
    <x v="1"/>
    <x v="12"/>
    <n v="28"/>
    <s v="پیچ و مهره"/>
    <x v="26"/>
    <m/>
    <n v="2"/>
    <n v="2"/>
    <s v="PCS"/>
    <n v="2400000"/>
    <n v="4800000"/>
    <s v="FEEDER-1250"/>
    <s v="Sheet"/>
    <b v="0"/>
  </r>
  <r>
    <x v="1"/>
    <x v="12"/>
    <n v="29"/>
    <m/>
    <x v="27"/>
    <m/>
    <n v="2"/>
    <n v="2"/>
    <s v="PCS"/>
    <n v="2400000"/>
    <n v="4800000"/>
    <s v="FEEDER-1250"/>
    <s v="Sheet"/>
    <b v="0"/>
  </r>
  <r>
    <x v="1"/>
    <x v="12"/>
    <n v="30"/>
    <m/>
    <x v="28"/>
    <m/>
    <n v="2"/>
    <n v="2"/>
    <s v="PCS"/>
    <n v="3000000"/>
    <n v="6000000"/>
    <s v="FEEDER-1250"/>
    <s v="Sheet"/>
    <b v="0"/>
  </r>
  <r>
    <x v="1"/>
    <x v="12"/>
    <n v="31"/>
    <s v="نوار IP"/>
    <x v="29"/>
    <m/>
    <n v="2"/>
    <n v="2"/>
    <s v="PCS"/>
    <n v="1300000"/>
    <n v="2600000"/>
    <s v="FEEDER-1250"/>
    <s v="Sheet"/>
    <b v="0"/>
  </r>
  <r>
    <x v="1"/>
    <x v="12"/>
    <n v="32"/>
    <s v="نوار IP"/>
    <x v="30"/>
    <m/>
    <n v="4"/>
    <n v="10.811999999999999"/>
    <s v="m"/>
    <n v="460000"/>
    <n v="4973520"/>
    <s v="FEEDER-1250"/>
    <s v="Sheet"/>
    <b v="0"/>
  </r>
  <r>
    <x v="1"/>
    <x v="12"/>
    <n v="33"/>
    <s v="ترموفیت"/>
    <x v="31"/>
    <n v="50"/>
    <n v="8"/>
    <n v="0.8"/>
    <s v="m "/>
    <n v="9739400"/>
    <n v="7791520"/>
    <s v="FEEDER-1250"/>
    <s v="Sheet"/>
    <b v="0"/>
  </r>
  <r>
    <x v="1"/>
    <x v="12"/>
    <n v="28"/>
    <m/>
    <x v="32"/>
    <m/>
    <m/>
    <n v="8"/>
    <s v="h"/>
    <n v="13000000"/>
    <n v="104000000"/>
    <s v="FEEDER-1250"/>
    <s v="Sheet"/>
    <b v="0"/>
  </r>
  <r>
    <x v="1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1"/>
    <x v="1"/>
    <n v="2"/>
    <m/>
    <x v="1"/>
    <n v="0"/>
    <n v="0"/>
    <n v="0"/>
    <s v="Kg"/>
    <n v="8500000"/>
    <n v="0"/>
    <s v="Vertical elbow"/>
    <s v="Sheet"/>
    <b v="0"/>
  </r>
  <r>
    <x v="1"/>
    <x v="1"/>
    <n v="3"/>
    <m/>
    <x v="83"/>
    <n v="0.70299999999999996"/>
    <n v="2"/>
    <n v="3.0931999999999999"/>
    <s v="Kg"/>
    <n v="8500000"/>
    <n v="26292200"/>
    <s v="Vertical elbow"/>
    <s v="Sheet"/>
    <b v="0"/>
  </r>
  <r>
    <x v="1"/>
    <x v="1"/>
    <n v="4"/>
    <m/>
    <x v="3"/>
    <n v="120"/>
    <n v="4"/>
    <n v="0.48"/>
    <s v="Kg"/>
    <n v="8500000"/>
    <n v="4080000"/>
    <s v="Vertical elbow"/>
    <s v="Sheet"/>
    <b v="0"/>
  </r>
  <r>
    <x v="1"/>
    <x v="1"/>
    <n v="5"/>
    <m/>
    <x v="4"/>
    <n v="180"/>
    <n v="4"/>
    <n v="1.1838960000000001"/>
    <s v="Kg"/>
    <n v="8500000"/>
    <n v="10063116"/>
    <s v="Vertical elbow"/>
    <s v="Sheet"/>
    <b v="0"/>
  </r>
  <r>
    <x v="1"/>
    <x v="1"/>
    <n v="6"/>
    <m/>
    <x v="5"/>
    <n v="0.96299999999999997"/>
    <n v="4"/>
    <n v="8.7363360000000014"/>
    <s v="Kg"/>
    <n v="8500000"/>
    <n v="74258856.000000015"/>
    <s v="Vertical elbow"/>
    <s v="Sheet"/>
    <b v="0"/>
  </r>
  <r>
    <x v="1"/>
    <x v="1"/>
    <n v="7"/>
    <s v="عایق ها"/>
    <x v="6"/>
    <n v="0.13"/>
    <n v="1.201824"/>
    <n v="1.201824"/>
    <s v="M2"/>
    <n v="4275000"/>
    <n v="5137797.5999999996"/>
    <s v="Vertical elbow"/>
    <s v="Sheet"/>
    <b v="0"/>
  </r>
  <r>
    <x v="1"/>
    <x v="1"/>
    <n v="8"/>
    <m/>
    <x v="7"/>
    <n v="0.35"/>
    <n v="0"/>
    <n v="0"/>
    <s v="Kg"/>
    <n v="35750000"/>
    <n v="0"/>
    <s v="Vertical elbow"/>
    <s v="Sheet"/>
    <b v="0"/>
  </r>
  <r>
    <x v="1"/>
    <x v="1"/>
    <n v="9"/>
    <m/>
    <x v="7"/>
    <n v="0.2"/>
    <n v="0.600912"/>
    <n v="0.600912"/>
    <s v="Kg"/>
    <n v="45760000"/>
    <n v="27497733.120000001"/>
    <s v="Vertical elbow"/>
    <s v="Sheet"/>
    <b v="0"/>
  </r>
  <r>
    <x v="1"/>
    <x v="1"/>
    <n v="10"/>
    <s v="رنگ بدنه"/>
    <x v="8"/>
    <m/>
    <n v="5.2435999999999998"/>
    <n v="5.2435999999999998"/>
    <s v="PCS"/>
    <n v="1430000"/>
    <n v="7498348"/>
    <s v="Vertical elbow"/>
    <s v="Sheet"/>
    <b v="0"/>
  </r>
  <r>
    <x v="1"/>
    <x v="1"/>
    <n v="11"/>
    <s v="قلع"/>
    <x v="9"/>
    <m/>
    <s v="8"/>
    <s v="8"/>
    <s v="Kg"/>
    <n v="1600000"/>
    <n v="12800000"/>
    <s v="Vertical elbow"/>
    <s v="Sheet"/>
    <b v="0"/>
  </r>
  <r>
    <x v="1"/>
    <x v="1"/>
    <n v="12"/>
    <m/>
    <x v="10"/>
    <m/>
    <n v="8.7363360000000014"/>
    <n v="8.7363360000000014"/>
    <s v="PCS"/>
    <n v="3600000"/>
    <n v="31450809.600000005"/>
    <s v="Vertical elbow"/>
    <s v="Sheet"/>
    <b v="0"/>
  </r>
  <r>
    <x v="1"/>
    <x v="1"/>
    <n v="13"/>
    <s v="چسب"/>
    <x v="11"/>
    <m/>
    <n v="3.8519999999999999"/>
    <n v="3.8519999999999999"/>
    <s v="PCS"/>
    <n v="3600000"/>
    <n v="13867200"/>
    <s v="Vertical elbow"/>
    <s v="Sheet"/>
    <b v="0"/>
  </r>
  <r>
    <x v="1"/>
    <x v="1"/>
    <n v="14"/>
    <m/>
    <x v="12"/>
    <m/>
    <n v="0.1"/>
    <n v="0.1"/>
    <s v="PCS"/>
    <n v="5500000"/>
    <n v="550000"/>
    <s v="Vertical elbow"/>
    <s v="Sheet"/>
    <b v="0"/>
  </r>
  <r>
    <x v="1"/>
    <x v="1"/>
    <n v="15"/>
    <s v="پیچ و مهره"/>
    <x v="13"/>
    <m/>
    <n v="20"/>
    <n v="20"/>
    <s v="PCS"/>
    <n v="200000"/>
    <n v="4000000"/>
    <s v="Vertical elbow"/>
    <s v="Sheet"/>
    <b v="0"/>
  </r>
  <r>
    <x v="1"/>
    <x v="1"/>
    <n v="16"/>
    <m/>
    <x v="14"/>
    <m/>
    <n v="8"/>
    <n v="8"/>
    <s v="PCS"/>
    <n v="200000"/>
    <n v="1600000"/>
    <s v="Vertical elbow"/>
    <s v="Sheet"/>
    <b v="0"/>
  </r>
  <r>
    <x v="1"/>
    <x v="1"/>
    <n v="17"/>
    <m/>
    <x v="15"/>
    <m/>
    <n v="28"/>
    <n v="28"/>
    <s v="PCS"/>
    <n v="200000"/>
    <n v="5600000"/>
    <s v="Vertical elbow"/>
    <s v="Sheet"/>
    <b v="0"/>
  </r>
  <r>
    <x v="1"/>
    <x v="1"/>
    <n v="18"/>
    <m/>
    <x v="16"/>
    <m/>
    <n v="16"/>
    <n v="16"/>
    <s v="PCS"/>
    <n v="400000"/>
    <n v="6400000"/>
    <s v="Vertical elbow"/>
    <s v="Sheet"/>
    <b v="0"/>
  </r>
  <r>
    <x v="1"/>
    <x v="1"/>
    <n v="19"/>
    <m/>
    <x v="17"/>
    <m/>
    <n v="16"/>
    <n v="16"/>
    <s v="PCS"/>
    <n v="120000"/>
    <n v="1920000"/>
    <s v="Vertical elbow"/>
    <s v="Sheet"/>
    <b v="0"/>
  </r>
  <r>
    <x v="1"/>
    <x v="1"/>
    <n v="20"/>
    <m/>
    <x v="18"/>
    <m/>
    <n v="24"/>
    <n v="24"/>
    <s v="PCS"/>
    <n v="400000"/>
    <n v="9600000"/>
    <s v="Vertical elbow"/>
    <s v="Sheet"/>
    <b v="0"/>
  </r>
  <r>
    <x v="1"/>
    <x v="1"/>
    <n v="21"/>
    <s v="مس"/>
    <x v="19"/>
    <n v="132"/>
    <s v="8"/>
    <n v="3.9739391999999998"/>
    <s v="Kg"/>
    <n v="35000000"/>
    <n v="139087872"/>
    <s v="Vertical elbow"/>
    <s v="Sheet"/>
    <b v="0"/>
  </r>
  <r>
    <x v="1"/>
    <x v="1"/>
    <n v="22"/>
    <s v="آهن"/>
    <x v="20"/>
    <s v="115 X 185"/>
    <n v="2"/>
    <n v="1.2"/>
    <s v="Kg"/>
    <n v="5200000"/>
    <n v="6240000"/>
    <s v="Vertical elbow"/>
    <s v="Sheet"/>
    <b v="0"/>
  </r>
  <r>
    <x v="1"/>
    <x v="1"/>
    <n v="23"/>
    <m/>
    <x v="21"/>
    <s v="425 X 265"/>
    <n v="2"/>
    <n v="1.2"/>
    <s v="Kg"/>
    <n v="5200000"/>
    <n v="6240000"/>
    <s v="Vertical elbow"/>
    <s v="Sheet"/>
    <b v="0"/>
  </r>
  <r>
    <x v="1"/>
    <x v="1"/>
    <n v="24"/>
    <s v="الومینیوم"/>
    <x v="22"/>
    <s v="203*157"/>
    <n v="2"/>
    <n v="0.71719899999999992"/>
    <s v="Kg"/>
    <n v="8500000"/>
    <n v="6096191.4999999991"/>
    <s v="Vertical elbow"/>
    <s v="Sheet"/>
    <b v="0"/>
  </r>
  <r>
    <x v="1"/>
    <x v="1"/>
    <n v="25"/>
    <s v="پلی امید"/>
    <x v="23"/>
    <n v="0.18"/>
    <n v="2"/>
    <n v="2"/>
    <s v="PCS"/>
    <n v="910000"/>
    <n v="1820000"/>
    <s v="Vertical elbow"/>
    <s v="Sheet"/>
    <b v="0"/>
  </r>
  <r>
    <x v="1"/>
    <x v="1"/>
    <n v="26"/>
    <m/>
    <x v="24"/>
    <n v="0.2"/>
    <n v="3"/>
    <n v="3"/>
    <s v="PCS"/>
    <n v="910000"/>
    <n v="2730000"/>
    <s v="Vertical elbow"/>
    <s v="Sheet"/>
    <b v="0"/>
  </r>
  <r>
    <x v="1"/>
    <x v="1"/>
    <n v="27"/>
    <s v="ABS"/>
    <x v="25"/>
    <s v="80 mm"/>
    <n v="1"/>
    <n v="1"/>
    <s v="PCS"/>
    <n v="100000"/>
    <n v="100000"/>
    <s v="Vertical elbow"/>
    <s v="Sheet"/>
    <b v="0"/>
  </r>
  <r>
    <x v="1"/>
    <x v="1"/>
    <n v="28"/>
    <s v="پیچ و مهره"/>
    <x v="26"/>
    <m/>
    <n v="2"/>
    <n v="2"/>
    <s v="PCS"/>
    <n v="2400000"/>
    <n v="4800000"/>
    <s v="Vertical elbow"/>
    <s v="Sheet"/>
    <b v="0"/>
  </r>
  <r>
    <x v="1"/>
    <x v="1"/>
    <n v="29"/>
    <m/>
    <x v="27"/>
    <m/>
    <n v="2"/>
    <n v="2"/>
    <s v="PCS"/>
    <n v="2400000"/>
    <n v="4800000"/>
    <s v="Vertical elbow"/>
    <s v="Sheet"/>
    <b v="0"/>
  </r>
  <r>
    <x v="1"/>
    <x v="1"/>
    <n v="30"/>
    <m/>
    <x v="28"/>
    <m/>
    <n v="2"/>
    <n v="2"/>
    <s v="PCS"/>
    <n v="3000000"/>
    <n v="6000000"/>
    <s v="Vertical elbow"/>
    <s v="Sheet"/>
    <b v="0"/>
  </r>
  <r>
    <x v="1"/>
    <x v="1"/>
    <n v="31"/>
    <s v="جوش"/>
    <x v="33"/>
    <m/>
    <n v="1"/>
    <n v="2"/>
    <s v="PCS"/>
    <n v="30000000"/>
    <n v="60000000"/>
    <s v="Vertical elbow"/>
    <s v="Sheet"/>
    <b v="0"/>
  </r>
  <r>
    <x v="1"/>
    <x v="1"/>
    <n v="32"/>
    <m/>
    <x v="34"/>
    <m/>
    <n v="1"/>
    <n v="4"/>
    <m/>
    <n v="18000000"/>
    <n v="72000000"/>
    <s v="Vertical elbow"/>
    <s v="Sheet"/>
    <b v="0"/>
  </r>
  <r>
    <x v="1"/>
    <x v="1"/>
    <n v="33"/>
    <s v="نوار IP"/>
    <x v="29"/>
    <m/>
    <n v="2"/>
    <n v="2"/>
    <s v="PCS"/>
    <n v="1300000"/>
    <n v="2600000"/>
    <s v="Vertical elbow"/>
    <s v="Sheet"/>
    <b v="0"/>
  </r>
  <r>
    <x v="1"/>
    <x v="1"/>
    <n v="34"/>
    <s v="نوار IP"/>
    <x v="30"/>
    <m/>
    <n v="4"/>
    <n v="2.8119999999999998"/>
    <s v="m"/>
    <n v="460000"/>
    <n v="1293520"/>
    <s v="Vertical elbow"/>
    <s v="Sheet"/>
    <b v="0"/>
  </r>
  <r>
    <x v="1"/>
    <x v="1"/>
    <n v="35"/>
    <s v="ترموفیت"/>
    <x v="31"/>
    <n v="50"/>
    <n v="8"/>
    <n v="0.8"/>
    <s v="m "/>
    <n v="9739400"/>
    <n v="7791520"/>
    <s v="Vertical elbow"/>
    <s v="Sheet"/>
    <b v="0"/>
  </r>
  <r>
    <x v="1"/>
    <x v="1"/>
    <n v="28"/>
    <m/>
    <x v="32"/>
    <m/>
    <m/>
    <n v="10"/>
    <s v="h"/>
    <n v="13000000"/>
    <n v="130000000"/>
    <s v="Vertical elbow"/>
    <s v="Sheet"/>
    <b v="0"/>
  </r>
  <r>
    <x v="1"/>
    <x v="1"/>
    <n v="29"/>
    <m/>
    <x v="35"/>
    <m/>
    <m/>
    <n v="0"/>
    <s v="%"/>
    <m/>
    <n v="0"/>
    <s v="Vertical elbow"/>
    <s v="Sheet"/>
    <b v="0"/>
  </r>
  <r>
    <x v="1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1"/>
    <x v="2"/>
    <n v="2"/>
    <m/>
    <x v="1"/>
    <n v="0"/>
    <n v="0"/>
    <n v="0"/>
    <s v="Kg"/>
    <n v="8500000"/>
    <n v="0"/>
    <s v="Horizontal elbow"/>
    <s v="Sheet"/>
    <b v="0"/>
  </r>
  <r>
    <x v="1"/>
    <x v="2"/>
    <n v="3"/>
    <m/>
    <x v="83"/>
    <n v="0.33500000000000002"/>
    <n v="2"/>
    <n v="1.4740000000000002"/>
    <s v="Kg"/>
    <n v="8500000"/>
    <n v="12529000.000000002"/>
    <s v="Horizontal elbow"/>
    <s v="Sheet"/>
    <b v="0"/>
  </r>
  <r>
    <x v="1"/>
    <x v="2"/>
    <n v="4"/>
    <m/>
    <x v="3"/>
    <n v="120"/>
    <n v="4"/>
    <n v="0.48"/>
    <s v="Kg"/>
    <n v="8500000"/>
    <n v="4080000"/>
    <s v="Horizontal elbow"/>
    <s v="Sheet"/>
    <b v="0"/>
  </r>
  <r>
    <x v="1"/>
    <x v="2"/>
    <n v="5"/>
    <m/>
    <x v="4"/>
    <n v="180"/>
    <n v="4"/>
    <n v="1.1838960000000001"/>
    <s v="Kg"/>
    <n v="8500000"/>
    <n v="10063116"/>
    <s v="Horizontal elbow"/>
    <s v="Sheet"/>
    <b v="0"/>
  </r>
  <r>
    <x v="1"/>
    <x v="2"/>
    <n v="6"/>
    <m/>
    <x v="5"/>
    <n v="0.55800000000000005"/>
    <n v="4"/>
    <n v="5.062176"/>
    <s v="Kg"/>
    <n v="8500000"/>
    <n v="43028496"/>
    <s v="Horizontal elbow"/>
    <s v="Sheet"/>
    <b v="0"/>
  </r>
  <r>
    <x v="1"/>
    <x v="2"/>
    <n v="7"/>
    <s v="عایق ها"/>
    <x v="6"/>
    <n v="0.13"/>
    <n v="0.696384"/>
    <n v="0.696384"/>
    <s v="M2"/>
    <n v="4275000"/>
    <n v="2977041.6"/>
    <s v="Horizontal elbow"/>
    <s v="Sheet"/>
    <b v="0"/>
  </r>
  <r>
    <x v="1"/>
    <x v="2"/>
    <n v="8"/>
    <m/>
    <x v="7"/>
    <n v="0.35"/>
    <n v="0"/>
    <n v="0"/>
    <s v="Kg"/>
    <n v="35750000"/>
    <n v="0"/>
    <s v="Horizontal elbow"/>
    <s v="Sheet"/>
    <b v="0"/>
  </r>
  <r>
    <x v="1"/>
    <x v="2"/>
    <n v="9"/>
    <m/>
    <x v="7"/>
    <n v="0.2"/>
    <n v="0.348192"/>
    <n v="0.348192"/>
    <s v="Kg"/>
    <n v="45760000"/>
    <n v="15933265.92"/>
    <s v="Horizontal elbow"/>
    <s v="Sheet"/>
    <b v="0"/>
  </r>
  <r>
    <x v="1"/>
    <x v="2"/>
    <n v="10"/>
    <s v="رنگ بدنه"/>
    <x v="8"/>
    <m/>
    <n v="2.4119999999999999"/>
    <n v="2.4119999999999999"/>
    <s v="PCS"/>
    <n v="1430000"/>
    <n v="3449160"/>
    <s v="Horizontal elbow"/>
    <s v="Sheet"/>
    <b v="0"/>
  </r>
  <r>
    <x v="1"/>
    <x v="2"/>
    <n v="11"/>
    <s v="قلع"/>
    <x v="9"/>
    <m/>
    <s v="8"/>
    <s v="8"/>
    <s v="Kg"/>
    <n v="1600000"/>
    <n v="12800000"/>
    <s v="Horizontal elbow"/>
    <s v="Sheet"/>
    <b v="0"/>
  </r>
  <r>
    <x v="1"/>
    <x v="2"/>
    <n v="12"/>
    <m/>
    <x v="10"/>
    <m/>
    <n v="5.062176"/>
    <n v="5.062176"/>
    <s v="PCS"/>
    <n v="3600000"/>
    <n v="18223833.600000001"/>
    <s v="Horizontal elbow"/>
    <s v="Sheet"/>
    <b v="0"/>
  </r>
  <r>
    <x v="1"/>
    <x v="2"/>
    <n v="13"/>
    <s v="چسب"/>
    <x v="11"/>
    <m/>
    <n v="2.2320000000000002"/>
    <n v="2.2320000000000002"/>
    <s v="PCS"/>
    <n v="3600000"/>
    <n v="8035200.0000000019"/>
    <s v="Horizontal elbow"/>
    <s v="Sheet"/>
    <b v="0"/>
  </r>
  <r>
    <x v="1"/>
    <x v="2"/>
    <n v="14"/>
    <m/>
    <x v="12"/>
    <m/>
    <n v="0.1"/>
    <n v="0.1"/>
    <s v="PCS"/>
    <n v="5500000"/>
    <n v="550000"/>
    <s v="Horizontal elbow"/>
    <s v="Sheet"/>
    <b v="0"/>
  </r>
  <r>
    <x v="1"/>
    <x v="2"/>
    <n v="15"/>
    <s v="پیچ و مهره"/>
    <x v="13"/>
    <m/>
    <n v="20"/>
    <n v="20"/>
    <s v="PCS"/>
    <n v="200000"/>
    <n v="4000000"/>
    <s v="Horizontal elbow"/>
    <s v="Sheet"/>
    <b v="0"/>
  </r>
  <r>
    <x v="1"/>
    <x v="2"/>
    <n v="16"/>
    <m/>
    <x v="14"/>
    <m/>
    <n v="8"/>
    <n v="8"/>
    <s v="PCS"/>
    <n v="200000"/>
    <n v="1600000"/>
    <s v="Horizontal elbow"/>
    <s v="Sheet"/>
    <b v="0"/>
  </r>
  <r>
    <x v="1"/>
    <x v="2"/>
    <n v="17"/>
    <m/>
    <x v="15"/>
    <m/>
    <n v="16"/>
    <n v="16"/>
    <s v="PCS"/>
    <n v="200000"/>
    <n v="3200000"/>
    <s v="Horizontal elbow"/>
    <s v="Sheet"/>
    <b v="0"/>
  </r>
  <r>
    <x v="1"/>
    <x v="2"/>
    <n v="18"/>
    <m/>
    <x v="16"/>
    <m/>
    <n v="16"/>
    <n v="16"/>
    <s v="PCS"/>
    <n v="400000"/>
    <n v="6400000"/>
    <s v="Horizontal elbow"/>
    <s v="Sheet"/>
    <b v="0"/>
  </r>
  <r>
    <x v="1"/>
    <x v="2"/>
    <n v="19"/>
    <m/>
    <x v="17"/>
    <m/>
    <n v="16"/>
    <n v="16"/>
    <s v="PCS"/>
    <n v="120000"/>
    <n v="1920000"/>
    <s v="Horizontal elbow"/>
    <s v="Sheet"/>
    <b v="0"/>
  </r>
  <r>
    <x v="1"/>
    <x v="2"/>
    <n v="20"/>
    <m/>
    <x v="18"/>
    <m/>
    <n v="24"/>
    <n v="24"/>
    <s v="PCS"/>
    <n v="400000"/>
    <n v="9600000"/>
    <s v="Horizontal elbow"/>
    <s v="Sheet"/>
    <b v="0"/>
  </r>
  <r>
    <x v="1"/>
    <x v="2"/>
    <n v="21"/>
    <s v="مس"/>
    <x v="19"/>
    <n v="132"/>
    <s v="8"/>
    <n v="3.9739391999999998"/>
    <s v="Kg"/>
    <n v="35000000"/>
    <n v="139087872"/>
    <s v="Horizontal elbow"/>
    <s v="Sheet"/>
    <b v="0"/>
  </r>
  <r>
    <x v="1"/>
    <x v="2"/>
    <n v="22"/>
    <s v="آهن"/>
    <x v="20"/>
    <s v="115 X 185"/>
    <n v="2"/>
    <n v="1.2"/>
    <s v="Kg"/>
    <n v="5200000"/>
    <n v="6240000"/>
    <s v="Horizontal elbow"/>
    <s v="Sheet"/>
    <b v="0"/>
  </r>
  <r>
    <x v="1"/>
    <x v="2"/>
    <n v="23"/>
    <m/>
    <x v="21"/>
    <s v="425 X 265"/>
    <n v="2"/>
    <n v="1.2"/>
    <s v="Kg"/>
    <n v="5200000"/>
    <n v="6240000"/>
    <s v="Horizontal elbow"/>
    <s v="Sheet"/>
    <b v="0"/>
  </r>
  <r>
    <x v="1"/>
    <x v="2"/>
    <n v="24"/>
    <s v="الومینیوم"/>
    <x v="22"/>
    <s v="203*157"/>
    <n v="2"/>
    <n v="0.71719899999999992"/>
    <s v="Kg"/>
    <n v="8500000"/>
    <n v="6096191.4999999991"/>
    <s v="Horizontal elbow"/>
    <s v="Sheet"/>
    <b v="0"/>
  </r>
  <r>
    <x v="1"/>
    <x v="2"/>
    <n v="25"/>
    <s v="پلی امید"/>
    <x v="23"/>
    <n v="0.18"/>
    <n v="2"/>
    <n v="2"/>
    <s v="PCS"/>
    <n v="910000"/>
    <n v="1820000"/>
    <s v="Horizontal elbow"/>
    <s v="Sheet"/>
    <b v="0"/>
  </r>
  <r>
    <x v="1"/>
    <x v="2"/>
    <n v="26"/>
    <m/>
    <x v="24"/>
    <n v="0.2"/>
    <n v="3"/>
    <n v="3"/>
    <s v="PCS"/>
    <n v="910000"/>
    <n v="2730000"/>
    <s v="Horizontal elbow"/>
    <s v="Sheet"/>
    <b v="0"/>
  </r>
  <r>
    <x v="1"/>
    <x v="2"/>
    <n v="27"/>
    <s v="ABS"/>
    <x v="25"/>
    <s v="80 mm"/>
    <n v="1"/>
    <n v="1"/>
    <s v="PCS"/>
    <n v="100000"/>
    <n v="100000"/>
    <s v="Horizontal elbow"/>
    <s v="Sheet"/>
    <b v="0"/>
  </r>
  <r>
    <x v="1"/>
    <x v="2"/>
    <n v="28"/>
    <s v="پیچ و مهره"/>
    <x v="26"/>
    <m/>
    <n v="2"/>
    <n v="2"/>
    <s v="PCS"/>
    <n v="2400000"/>
    <n v="4800000"/>
    <s v="Horizontal elbow"/>
    <s v="Sheet"/>
    <b v="0"/>
  </r>
  <r>
    <x v="1"/>
    <x v="2"/>
    <n v="29"/>
    <m/>
    <x v="27"/>
    <m/>
    <n v="2"/>
    <n v="2"/>
    <s v="PCS"/>
    <n v="2400000"/>
    <n v="4800000"/>
    <s v="Horizontal elbow"/>
    <s v="Sheet"/>
    <b v="0"/>
  </r>
  <r>
    <x v="1"/>
    <x v="2"/>
    <n v="30"/>
    <m/>
    <x v="28"/>
    <m/>
    <n v="2"/>
    <n v="2"/>
    <s v="PCS"/>
    <n v="3000000"/>
    <n v="6000000"/>
    <s v="Horizontal elbow"/>
    <s v="Sheet"/>
    <b v="0"/>
  </r>
  <r>
    <x v="1"/>
    <x v="2"/>
    <n v="31"/>
    <s v="جوش"/>
    <x v="33"/>
    <m/>
    <n v="1"/>
    <n v="2"/>
    <s v="PCS"/>
    <n v="30000000"/>
    <n v="60000000"/>
    <s v="Horizontal elbow"/>
    <s v="Sheet"/>
    <b v="0"/>
  </r>
  <r>
    <x v="1"/>
    <x v="2"/>
    <n v="32"/>
    <m/>
    <x v="34"/>
    <m/>
    <n v="1"/>
    <n v="0"/>
    <s v="PCS"/>
    <n v="18000000"/>
    <n v="0"/>
    <s v="Horizontal elbow"/>
    <s v="Sheet"/>
    <b v="0"/>
  </r>
  <r>
    <x v="1"/>
    <x v="2"/>
    <n v="33"/>
    <s v="نوار IP"/>
    <x v="29"/>
    <m/>
    <n v="2"/>
    <n v="2"/>
    <s v="PCS"/>
    <n v="1300000"/>
    <n v="2600000"/>
    <s v="Horizontal elbow"/>
    <s v="Sheet"/>
    <b v="0"/>
  </r>
  <r>
    <x v="1"/>
    <x v="2"/>
    <n v="34"/>
    <s v="نوار IP"/>
    <x v="30"/>
    <m/>
    <n v="4"/>
    <n v="1.34"/>
    <s v="m"/>
    <n v="460000"/>
    <n v="616400"/>
    <s v="Horizontal elbow"/>
    <s v="Sheet"/>
    <b v="0"/>
  </r>
  <r>
    <x v="1"/>
    <x v="2"/>
    <n v="35"/>
    <s v="ترموفیت"/>
    <x v="31"/>
    <n v="50"/>
    <n v="8"/>
    <n v="0.8"/>
    <s v="m "/>
    <n v="9739400"/>
    <n v="7791520"/>
    <s v="Horizontal elbow"/>
    <s v="Sheet"/>
    <b v="0"/>
  </r>
  <r>
    <x v="1"/>
    <x v="2"/>
    <n v="28"/>
    <m/>
    <x v="32"/>
    <m/>
    <m/>
    <n v="8"/>
    <s v="h"/>
    <n v="13000000"/>
    <n v="104000000"/>
    <s v="Horizontal elbow"/>
    <s v="Sheet"/>
    <b v="0"/>
  </r>
  <r>
    <x v="1"/>
    <x v="2"/>
    <n v="29"/>
    <m/>
    <x v="35"/>
    <m/>
    <m/>
    <n v="0"/>
    <s v="%"/>
    <m/>
    <n v="0"/>
    <s v="Horizontal elbow"/>
    <s v="Sheet"/>
    <b v="0"/>
  </r>
  <r>
    <x v="1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1"/>
    <x v="3"/>
    <n v="2"/>
    <m/>
    <x v="1"/>
    <n v="0"/>
    <n v="0"/>
    <n v="0"/>
    <s v="Kg"/>
    <n v="8500000"/>
    <n v="0"/>
    <s v="Flange end "/>
    <s v="Sheet"/>
    <b v="0"/>
  </r>
  <r>
    <x v="1"/>
    <x v="3"/>
    <n v="3"/>
    <m/>
    <x v="83"/>
    <n v="168"/>
    <n v="2"/>
    <n v="0.73919999999999997"/>
    <s v="Kg"/>
    <n v="8500000"/>
    <n v="6283200.0000000009"/>
    <s v="Flange end "/>
    <s v="Sheet"/>
    <b v="0"/>
  </r>
  <r>
    <x v="1"/>
    <x v="3"/>
    <n v="4"/>
    <m/>
    <x v="3"/>
    <n v="120"/>
    <n v="4"/>
    <n v="0.48"/>
    <s v="Kg"/>
    <n v="8500000"/>
    <n v="4080000"/>
    <s v="Flange end "/>
    <s v="Sheet"/>
    <b v="0"/>
  </r>
  <r>
    <x v="1"/>
    <x v="3"/>
    <n v="5"/>
    <m/>
    <x v="4"/>
    <n v="180"/>
    <n v="2"/>
    <n v="0.59194800000000003"/>
    <s v="Kg"/>
    <n v="8500000"/>
    <n v="5031558"/>
    <s v="Flange end "/>
    <s v="Sheet"/>
    <b v="0"/>
  </r>
  <r>
    <x v="1"/>
    <x v="3"/>
    <n v="6"/>
    <m/>
    <x v="5"/>
    <n v="0.58799999999999997"/>
    <n v="4"/>
    <n v="5.3343360000000004"/>
    <s v="Kg"/>
    <n v="8500000"/>
    <n v="45341856"/>
    <s v="Flange end "/>
    <s v="Sheet"/>
    <b v="0"/>
  </r>
  <r>
    <x v="1"/>
    <x v="3"/>
    <n v="7"/>
    <s v="عایق ها"/>
    <x v="6"/>
    <n v="0.13"/>
    <n v="0.73382400000000003"/>
    <n v="0.73382400000000003"/>
    <s v="M2"/>
    <n v="4275000"/>
    <n v="3137097.5999999996"/>
    <s v="Flange end "/>
    <s v="Sheet"/>
    <b v="0"/>
  </r>
  <r>
    <x v="1"/>
    <x v="3"/>
    <n v="8"/>
    <m/>
    <x v="7"/>
    <n v="0.35"/>
    <n v="0"/>
    <n v="0"/>
    <s v="Kg"/>
    <n v="35750000"/>
    <n v="0"/>
    <s v="Flange end "/>
    <s v="Sheet"/>
    <b v="0"/>
  </r>
  <r>
    <x v="1"/>
    <x v="3"/>
    <n v="9"/>
    <m/>
    <x v="7"/>
    <n v="0.2"/>
    <n v="0.36691200000000002"/>
    <n v="0.36691200000000002"/>
    <s v="Kg"/>
    <n v="45760000"/>
    <n v="16789893.119999997"/>
    <s v="Flange end "/>
    <s v="Sheet"/>
    <b v="0"/>
  </r>
  <r>
    <x v="1"/>
    <x v="3"/>
    <n v="10"/>
    <s v="رنگ بدنه"/>
    <x v="8"/>
    <m/>
    <n v="1.2096"/>
    <n v="1.2096"/>
    <s v="Kg"/>
    <n v="1430000"/>
    <n v="1729728"/>
    <s v="Flange end "/>
    <s v="Sheet"/>
    <b v="0"/>
  </r>
  <r>
    <x v="1"/>
    <x v="3"/>
    <n v="11"/>
    <s v="قلع"/>
    <x v="9"/>
    <m/>
    <n v="8"/>
    <n v="8"/>
    <s v="Kg"/>
    <n v="1600000"/>
    <n v="12800000"/>
    <s v="Flange end "/>
    <s v="Sheet"/>
    <b v="0"/>
  </r>
  <r>
    <x v="1"/>
    <x v="3"/>
    <n v="12"/>
    <m/>
    <x v="10"/>
    <m/>
    <n v="5.3343360000000004"/>
    <n v="5.3343360000000004"/>
    <s v="PCS"/>
    <n v="3600000"/>
    <n v="19203609.600000001"/>
    <s v="Flange end "/>
    <s v="Sheet"/>
    <b v="0"/>
  </r>
  <r>
    <x v="1"/>
    <x v="3"/>
    <n v="13"/>
    <s v="چسب"/>
    <x v="11"/>
    <m/>
    <n v="2.3519999999999999"/>
    <n v="2.3519999999999999"/>
    <s v="PCS"/>
    <n v="3600000"/>
    <n v="8467200"/>
    <s v="Flange end "/>
    <s v="Sheet"/>
    <b v="0"/>
  </r>
  <r>
    <x v="1"/>
    <x v="3"/>
    <n v="14"/>
    <m/>
    <x v="12"/>
    <m/>
    <n v="0.1"/>
    <n v="0.1"/>
    <s v="PCS"/>
    <n v="5500000"/>
    <n v="550000"/>
    <s v="Flange end "/>
    <s v="Sheet"/>
    <b v="0"/>
  </r>
  <r>
    <x v="1"/>
    <x v="3"/>
    <n v="15"/>
    <s v="پیچ و مهره"/>
    <x v="13"/>
    <m/>
    <s v="80"/>
    <n v="8"/>
    <s v="PCS"/>
    <n v="200000"/>
    <n v="1600000"/>
    <s v="Flange end "/>
    <s v="Sheet"/>
    <b v="0"/>
  </r>
  <r>
    <x v="1"/>
    <x v="3"/>
    <n v="16"/>
    <m/>
    <x v="14"/>
    <m/>
    <n v="8"/>
    <n v="8"/>
    <s v="PCS"/>
    <n v="200000"/>
    <n v="1600000"/>
    <s v="Flange end "/>
    <s v="Sheet"/>
    <b v="0"/>
  </r>
  <r>
    <x v="1"/>
    <x v="3"/>
    <n v="17"/>
    <m/>
    <x v="15"/>
    <m/>
    <n v="88"/>
    <n v="16"/>
    <s v="PCS"/>
    <n v="200000"/>
    <n v="3200000"/>
    <s v="Flange end "/>
    <s v="Sheet"/>
    <b v="0"/>
  </r>
  <r>
    <x v="1"/>
    <x v="3"/>
    <n v="18"/>
    <m/>
    <x v="16"/>
    <m/>
    <n v="16"/>
    <n v="16"/>
    <s v="PCS"/>
    <n v="400000"/>
    <n v="6400000"/>
    <s v="Flange end "/>
    <s v="Sheet"/>
    <b v="0"/>
  </r>
  <r>
    <x v="1"/>
    <x v="3"/>
    <n v="19"/>
    <m/>
    <x v="17"/>
    <m/>
    <n v="16"/>
    <n v="16"/>
    <s v="PCS"/>
    <n v="120000"/>
    <n v="1920000"/>
    <s v="Flange end "/>
    <s v="Sheet"/>
    <b v="0"/>
  </r>
  <r>
    <x v="1"/>
    <x v="3"/>
    <n v="20"/>
    <m/>
    <x v="18"/>
    <m/>
    <n v="24"/>
    <n v="24"/>
    <s v="PCS"/>
    <n v="400000"/>
    <n v="9600000"/>
    <s v="Flange end "/>
    <s v="Sheet"/>
    <b v="0"/>
  </r>
  <r>
    <x v="1"/>
    <x v="3"/>
    <n v="21"/>
    <s v="مس"/>
    <x v="19"/>
    <n v="132"/>
    <n v="8"/>
    <n v="3.9739391999999998"/>
    <s v="Kg"/>
    <n v="35000000"/>
    <n v="139087872"/>
    <s v="Flange end "/>
    <s v="Sheet"/>
    <b v="0"/>
  </r>
  <r>
    <x v="1"/>
    <x v="3"/>
    <n v="22"/>
    <s v="آهن"/>
    <x v="20"/>
    <s v="115 X 185"/>
    <n v="2"/>
    <n v="1.2"/>
    <s v="Kg"/>
    <n v="5200000"/>
    <n v="6240000"/>
    <s v="Flange end "/>
    <s v="Sheet"/>
    <b v="0"/>
  </r>
  <r>
    <x v="1"/>
    <x v="3"/>
    <n v="23"/>
    <m/>
    <x v="21"/>
    <s v="425 X 265"/>
    <n v="2"/>
    <n v="1.2"/>
    <s v="Kg"/>
    <n v="5200000"/>
    <n v="6240000"/>
    <s v="Flange end "/>
    <s v="Sheet"/>
    <b v="0"/>
  </r>
  <r>
    <x v="1"/>
    <x v="3"/>
    <n v="24"/>
    <s v="الومینیوم"/>
    <x v="22"/>
    <s v="203*157"/>
    <n v="2"/>
    <n v="0.71719899999999992"/>
    <s v="Kg"/>
    <n v="8500000"/>
    <n v="6096191.4999999991"/>
    <s v="Flange end "/>
    <s v="Sheet"/>
    <b v="0"/>
  </r>
  <r>
    <x v="1"/>
    <x v="3"/>
    <n v="25"/>
    <s v="پلی امید"/>
    <x v="23"/>
    <n v="0.18"/>
    <s v="2"/>
    <s v="2"/>
    <s v="PCS"/>
    <n v="910000"/>
    <n v="1820000"/>
    <s v="Flange end "/>
    <s v="Sheet"/>
    <b v="0"/>
  </r>
  <r>
    <x v="1"/>
    <x v="3"/>
    <n v="26"/>
    <m/>
    <x v="24"/>
    <n v="0.2"/>
    <s v="3"/>
    <s v="3"/>
    <s v="PCS"/>
    <n v="910000"/>
    <n v="2730000"/>
    <s v="Flange end "/>
    <s v="Sheet"/>
    <b v="0"/>
  </r>
  <r>
    <x v="1"/>
    <x v="3"/>
    <n v="27"/>
    <s v="ABS"/>
    <x v="25"/>
    <s v="80 mm"/>
    <n v="1"/>
    <n v="1"/>
    <s v="PCS"/>
    <n v="100000"/>
    <n v="100000"/>
    <s v="Flange end "/>
    <s v="Sheet"/>
    <b v="0"/>
  </r>
  <r>
    <x v="1"/>
    <x v="3"/>
    <n v="28"/>
    <s v="پیچ و مهره"/>
    <x v="26"/>
    <m/>
    <n v="2"/>
    <n v="2"/>
    <s v="PCS"/>
    <n v="2400000"/>
    <n v="4800000"/>
    <s v="Flange end "/>
    <s v="Sheet"/>
    <b v="0"/>
  </r>
  <r>
    <x v="1"/>
    <x v="3"/>
    <n v="29"/>
    <m/>
    <x v="27"/>
    <m/>
    <n v="2"/>
    <n v="2"/>
    <s v="PCS"/>
    <n v="2400000"/>
    <n v="4800000"/>
    <s v="Flange end "/>
    <s v="Sheet"/>
    <b v="0"/>
  </r>
  <r>
    <x v="1"/>
    <x v="3"/>
    <n v="30"/>
    <m/>
    <x v="28"/>
    <m/>
    <n v="2"/>
    <n v="2"/>
    <s v="PCS"/>
    <n v="3000000"/>
    <n v="6000000"/>
    <s v="Flange end "/>
    <s v="Sheet"/>
    <b v="0"/>
  </r>
  <r>
    <x v="1"/>
    <x v="3"/>
    <n v="31"/>
    <s v="نوار IP"/>
    <x v="29"/>
    <m/>
    <n v="2"/>
    <n v="2"/>
    <s v="PCS"/>
    <n v="1300000"/>
    <n v="2600000"/>
    <s v="Flange end "/>
    <s v="Sheet"/>
    <b v="0"/>
  </r>
  <r>
    <x v="1"/>
    <x v="3"/>
    <n v="32"/>
    <s v="نوار IP"/>
    <x v="30"/>
    <m/>
    <n v="4"/>
    <n v="0.67200000000000004"/>
    <s v="m"/>
    <n v="460000"/>
    <n v="309120"/>
    <s v="Flange end "/>
    <s v="Sheet"/>
    <b v="0"/>
  </r>
  <r>
    <x v="1"/>
    <x v="3"/>
    <n v="33"/>
    <s v="ترموفیت"/>
    <x v="31"/>
    <n v="50"/>
    <n v="8"/>
    <n v="0.8"/>
    <s v="m "/>
    <n v="9739400"/>
    <n v="7791520"/>
    <s v="Flange end "/>
    <s v="Sheet"/>
    <b v="0"/>
  </r>
  <r>
    <x v="1"/>
    <x v="3"/>
    <n v="28"/>
    <m/>
    <x v="32"/>
    <m/>
    <m/>
    <n v="8"/>
    <s v="h"/>
    <n v="13000000"/>
    <n v="104000000"/>
    <s v="Flange end "/>
    <s v="Sheet"/>
    <b v="0"/>
  </r>
  <r>
    <x v="1"/>
    <x v="3"/>
    <n v="29"/>
    <m/>
    <x v="35"/>
    <m/>
    <m/>
    <n v="0"/>
    <s v="%"/>
    <m/>
    <n v="0"/>
    <s v="Flange end "/>
    <s v="Sheet"/>
    <b v="0"/>
  </r>
  <r>
    <x v="1"/>
    <x v="4"/>
    <n v="1"/>
    <s v="آهن"/>
    <x v="36"/>
    <m/>
    <n v="1"/>
    <n v="9"/>
    <s v="Kg"/>
    <n v="5200000"/>
    <n v="46800000"/>
    <s v="TOP OFF BOX 250"/>
    <s v="Sheet"/>
    <b v="0"/>
  </r>
  <r>
    <x v="1"/>
    <x v="4"/>
    <n v="4"/>
    <s v="مسی"/>
    <x v="37"/>
    <m/>
    <n v="4"/>
    <n v="0.5"/>
    <s v="Kg"/>
    <n v="22000000"/>
    <n v="11000000"/>
    <s v="TOP OFF BOX 250"/>
    <s v="Sheet"/>
    <b v="0"/>
  </r>
  <r>
    <x v="1"/>
    <x v="4"/>
    <n v="5"/>
    <m/>
    <x v="38"/>
    <m/>
    <n v="20"/>
    <n v="20"/>
    <s v="PCS"/>
    <n v="26000"/>
    <n v="520000"/>
    <s v="TOP OFF BOX 250"/>
    <s v="Sheet"/>
    <b v="0"/>
  </r>
  <r>
    <x v="1"/>
    <x v="4"/>
    <n v="6"/>
    <m/>
    <x v="39"/>
    <m/>
    <n v="6"/>
    <n v="6"/>
    <s v="PCS"/>
    <n v="195000"/>
    <n v="1170000"/>
    <s v="TOP OFF BOX 250"/>
    <s v="Sheet"/>
    <b v="0"/>
  </r>
  <r>
    <x v="1"/>
    <x v="4"/>
    <n v="7"/>
    <m/>
    <x v="40"/>
    <m/>
    <n v="20"/>
    <n v="20"/>
    <s v="PCS"/>
    <n v="13000"/>
    <n v="260000"/>
    <s v="TOP OFF BOX 250"/>
    <s v="Sheet"/>
    <b v="0"/>
  </r>
  <r>
    <x v="1"/>
    <x v="4"/>
    <n v="8"/>
    <m/>
    <x v="41"/>
    <m/>
    <n v="20"/>
    <n v="20"/>
    <s v="PCS"/>
    <n v="75000"/>
    <n v="1500000"/>
    <s v="TOP OFF BOX 250"/>
    <s v="Sheet"/>
    <b v="0"/>
  </r>
  <r>
    <x v="1"/>
    <x v="4"/>
    <n v="9"/>
    <m/>
    <x v="42"/>
    <m/>
    <n v="1"/>
    <n v="1"/>
    <s v="PCS"/>
    <n v="11250000"/>
    <n v="11250000"/>
    <s v="TOP OFF BOX 250"/>
    <s v="Sheet"/>
    <b v="0"/>
  </r>
  <r>
    <x v="1"/>
    <x v="4"/>
    <n v="10"/>
    <m/>
    <x v="43"/>
    <m/>
    <n v="1"/>
    <n v="1"/>
    <s v="PCS"/>
    <n v="7500000"/>
    <n v="7500000"/>
    <s v="TOP OFF BOX 250"/>
    <s v="Sheet"/>
    <b v="0"/>
  </r>
  <r>
    <x v="1"/>
    <x v="4"/>
    <n v="11"/>
    <m/>
    <x v="44"/>
    <m/>
    <n v="2"/>
    <n v="2"/>
    <s v="PCS"/>
    <n v="150000"/>
    <n v="300000"/>
    <s v="TOP OFF BOX 250"/>
    <s v="Sheet"/>
    <b v="0"/>
  </r>
  <r>
    <x v="1"/>
    <x v="4"/>
    <n v="12"/>
    <m/>
    <x v="45"/>
    <m/>
    <n v="2"/>
    <n v="2"/>
    <s v="PCS"/>
    <n v="100000"/>
    <n v="200000"/>
    <s v="TOP OFF BOX 250"/>
    <s v="Sheet"/>
    <b v="0"/>
  </r>
  <r>
    <x v="1"/>
    <x v="4"/>
    <n v="13"/>
    <m/>
    <x v="46"/>
    <m/>
    <n v="4"/>
    <n v="4"/>
    <s v="PCS"/>
    <n v="50000"/>
    <n v="200000"/>
    <s v="TOP OFF BOX 250"/>
    <s v="Sheet"/>
    <b v="0"/>
  </r>
  <r>
    <x v="1"/>
    <x v="4"/>
    <n v="14"/>
    <m/>
    <x v="47"/>
    <m/>
    <n v="2"/>
    <n v="2"/>
    <s v="PCS"/>
    <n v="100000"/>
    <n v="200000"/>
    <s v="TOP OFF BOX 250"/>
    <s v="Sheet"/>
    <b v="0"/>
  </r>
  <r>
    <x v="1"/>
    <x v="4"/>
    <n v="15"/>
    <m/>
    <x v="48"/>
    <m/>
    <n v="1"/>
    <n v="0.1"/>
    <s v="Kg"/>
    <n v="4200000"/>
    <n v="420000"/>
    <s v="TOP OFF BOX 250"/>
    <s v="Sheet"/>
    <b v="0"/>
  </r>
  <r>
    <x v="1"/>
    <x v="4"/>
    <n v="16"/>
    <m/>
    <x v="49"/>
    <m/>
    <n v="1"/>
    <n v="0.3"/>
    <s v="m"/>
    <m/>
    <n v="0"/>
    <s v="TOP OFF BOX 250"/>
    <s v="Sheet"/>
    <b v="0"/>
  </r>
  <r>
    <x v="1"/>
    <x v="4"/>
    <n v="17"/>
    <m/>
    <x v="50"/>
    <m/>
    <n v="1"/>
    <n v="0.15"/>
    <s v="m"/>
    <m/>
    <n v="0"/>
    <s v="TOP OFF BOX 250"/>
    <s v="Sheet"/>
    <b v="0"/>
  </r>
  <r>
    <x v="1"/>
    <x v="4"/>
    <n v="18"/>
    <m/>
    <x v="51"/>
    <m/>
    <n v="1"/>
    <m/>
    <s v="PCS"/>
    <m/>
    <n v="0"/>
    <s v="TOP OFF BOX 250"/>
    <s v="Sheet"/>
    <b v="0"/>
  </r>
  <r>
    <x v="1"/>
    <x v="4"/>
    <n v="19"/>
    <m/>
    <x v="52"/>
    <m/>
    <n v="1"/>
    <m/>
    <s v="PCS"/>
    <m/>
    <n v="0"/>
    <s v="TOP OFF BOX 250"/>
    <s v="Sheet"/>
    <b v="0"/>
  </r>
  <r>
    <x v="1"/>
    <x v="4"/>
    <n v="20"/>
    <m/>
    <x v="53"/>
    <m/>
    <n v="1"/>
    <m/>
    <s v="PCS"/>
    <m/>
    <n v="0"/>
    <s v="TOP OFF BOX 250"/>
    <s v="Sheet"/>
    <b v="0"/>
  </r>
  <r>
    <x v="1"/>
    <x v="4"/>
    <n v="21"/>
    <m/>
    <x v="54"/>
    <m/>
    <n v="1"/>
    <n v="1"/>
    <s v="PCS"/>
    <n v="74000000"/>
    <n v="74000000"/>
    <s v="TOP OFF BOX 250"/>
    <s v="Sheet"/>
    <b v="0"/>
  </r>
  <r>
    <x v="1"/>
    <x v="4"/>
    <n v="7"/>
    <m/>
    <x v="32"/>
    <m/>
    <m/>
    <n v="5"/>
    <s v="h"/>
    <n v="13000000"/>
    <n v="65000000"/>
    <s v="TOP OFF BOX 250"/>
    <s v="Sheet"/>
    <b v="0"/>
  </r>
  <r>
    <x v="1"/>
    <x v="4"/>
    <n v="8"/>
    <m/>
    <x v="35"/>
    <m/>
    <m/>
    <n v="0"/>
    <s v="%"/>
    <m/>
    <n v="0"/>
    <s v="TOP OFF BOX 250"/>
    <s v="Sheet"/>
    <b v="0"/>
  </r>
  <r>
    <x v="1"/>
    <x v="5"/>
    <n v="1"/>
    <s v="مس بافته شده"/>
    <x v="55"/>
    <m/>
    <n v="1"/>
    <n v="7"/>
    <s v="SET"/>
    <n v="22500000"/>
    <n v="157500000"/>
    <s v="Flexible connection"/>
    <s v="Sheet"/>
    <b v="0"/>
  </r>
  <r>
    <x v="1"/>
    <x v="5"/>
    <m/>
    <s v="قلع"/>
    <x v="10"/>
    <m/>
    <n v="0"/>
    <n v="8"/>
    <s v="Kg"/>
    <n v="3600000"/>
    <n v="28800000"/>
    <s v="Flexible connection"/>
    <s v="Sheet"/>
    <b v="0"/>
  </r>
  <r>
    <x v="1"/>
    <x v="5"/>
    <n v="3"/>
    <m/>
    <x v="56"/>
    <m/>
    <n v="16"/>
    <m/>
    <s v="PCS"/>
    <n v="50000"/>
    <n v="800000"/>
    <s v="Flexible connection"/>
    <s v="Sheet"/>
    <b v="0"/>
  </r>
  <r>
    <x v="1"/>
    <x v="5"/>
    <n v="4"/>
    <m/>
    <x v="57"/>
    <m/>
    <n v="16"/>
    <m/>
    <s v="PCS"/>
    <n v="15000"/>
    <n v="240000"/>
    <s v="Flexible connection"/>
    <s v="Sheet"/>
    <b v="0"/>
  </r>
  <r>
    <x v="1"/>
    <x v="5"/>
    <n v="5"/>
    <m/>
    <x v="58"/>
    <m/>
    <n v="32"/>
    <m/>
    <s v="PCS"/>
    <n v="5000"/>
    <n v="160000"/>
    <s v="Flexible connection"/>
    <s v="Sheet"/>
    <b v="0"/>
  </r>
  <r>
    <x v="1"/>
    <x v="5"/>
    <n v="6"/>
    <m/>
    <x v="59"/>
    <m/>
    <n v="16"/>
    <m/>
    <s v="PCS"/>
    <n v="5000"/>
    <n v="80000"/>
    <s v="Flexible connection"/>
    <s v="Sheet"/>
    <b v="0"/>
  </r>
  <r>
    <x v="1"/>
    <x v="5"/>
    <n v="7"/>
    <m/>
    <x v="32"/>
    <m/>
    <m/>
    <n v="1"/>
    <s v="h"/>
    <n v="13000000"/>
    <n v="13000000"/>
    <s v="Flexible connection"/>
    <s v="Sheet"/>
    <b v="0"/>
  </r>
  <r>
    <x v="1"/>
    <x v="5"/>
    <n v="8"/>
    <m/>
    <x v="35"/>
    <m/>
    <m/>
    <n v="0"/>
    <s v="%"/>
    <m/>
    <n v="0"/>
    <s v="Flexible connection"/>
    <s v="Sheet"/>
    <b v="0"/>
  </r>
  <r>
    <x v="1"/>
    <x v="6"/>
    <n v="1"/>
    <s v="مس"/>
    <x v="60"/>
    <m/>
    <n v="1"/>
    <n v="8"/>
    <s v="Kg"/>
    <n v="8500000"/>
    <n v="68000000"/>
    <s v="DISTRIBUTION BOARD"/>
    <s v="Sheet"/>
    <b v="0"/>
  </r>
  <r>
    <x v="1"/>
    <x v="6"/>
    <m/>
    <s v="قلع"/>
    <x v="10"/>
    <m/>
    <n v="0"/>
    <n v="8"/>
    <s v="Kg"/>
    <n v="3600000"/>
    <n v="28800000"/>
    <s v="DISTRIBUTION BOARD"/>
    <s v="Sheet"/>
    <b v="0"/>
  </r>
  <r>
    <x v="1"/>
    <x v="6"/>
    <n v="3"/>
    <m/>
    <x v="56"/>
    <m/>
    <n v="4"/>
    <m/>
    <s v="PCS"/>
    <n v="50000"/>
    <n v="200000"/>
    <s v="DISTRIBUTION BOARD"/>
    <s v="Sheet"/>
    <b v="0"/>
  </r>
  <r>
    <x v="1"/>
    <x v="6"/>
    <n v="4"/>
    <m/>
    <x v="57"/>
    <m/>
    <n v="4"/>
    <m/>
    <s v="PCS"/>
    <n v="15000"/>
    <n v="60000"/>
    <s v="DISTRIBUTION BOARD"/>
    <s v="Sheet"/>
    <b v="0"/>
  </r>
  <r>
    <x v="1"/>
    <x v="6"/>
    <n v="5"/>
    <m/>
    <x v="58"/>
    <m/>
    <n v="8"/>
    <m/>
    <s v="PCS"/>
    <n v="5000"/>
    <n v="40000"/>
    <s v="DISTRIBUTION BOARD"/>
    <s v="Sheet"/>
    <b v="0"/>
  </r>
  <r>
    <x v="1"/>
    <x v="6"/>
    <n v="6"/>
    <m/>
    <x v="59"/>
    <m/>
    <n v="4"/>
    <m/>
    <s v="PCS"/>
    <n v="5000"/>
    <n v="20000"/>
    <s v="DISTRIBUTION BOARD"/>
    <s v="Sheet"/>
    <b v="0"/>
  </r>
  <r>
    <x v="1"/>
    <x v="6"/>
    <n v="7"/>
    <m/>
    <x v="32"/>
    <m/>
    <m/>
    <n v="5"/>
    <s v="h"/>
    <n v="13000000"/>
    <n v="65000000"/>
    <s v="DISTRIBUTION BOARD"/>
    <s v="Sheet"/>
    <b v="0"/>
  </r>
  <r>
    <x v="1"/>
    <x v="6"/>
    <n v="8"/>
    <m/>
    <x v="35"/>
    <m/>
    <m/>
    <n v="0"/>
    <s v="%"/>
    <m/>
    <n v="0"/>
    <s v="DISTRIBUTION BOARD"/>
    <s v="Sheet"/>
    <b v="0"/>
  </r>
  <r>
    <x v="1"/>
    <x v="7"/>
    <n v="1"/>
    <s v="مس"/>
    <x v="61"/>
    <m/>
    <n v="1"/>
    <n v="8"/>
    <s v="Kg"/>
    <n v="8500000"/>
    <n v="68000000"/>
    <s v="Transformer connection"/>
    <s v="Sheet"/>
    <b v="0"/>
  </r>
  <r>
    <x v="1"/>
    <x v="7"/>
    <m/>
    <s v="قلع"/>
    <x v="10"/>
    <m/>
    <n v="0"/>
    <n v="8"/>
    <s v="Kg"/>
    <n v="3600000"/>
    <n v="28800000"/>
    <s v="Transformer connection"/>
    <s v="Sheet"/>
    <b v="0"/>
  </r>
  <r>
    <x v="1"/>
    <x v="7"/>
    <n v="3"/>
    <m/>
    <x v="56"/>
    <m/>
    <n v="16"/>
    <m/>
    <s v="PCS"/>
    <n v="50000"/>
    <n v="800000"/>
    <s v="Transformer connection"/>
    <s v="Sheet"/>
    <b v="0"/>
  </r>
  <r>
    <x v="1"/>
    <x v="7"/>
    <n v="4"/>
    <m/>
    <x v="57"/>
    <m/>
    <n v="16"/>
    <m/>
    <s v="PCS"/>
    <n v="15000"/>
    <n v="240000"/>
    <s v="Transformer connection"/>
    <s v="Sheet"/>
    <b v="0"/>
  </r>
  <r>
    <x v="1"/>
    <x v="7"/>
    <n v="5"/>
    <m/>
    <x v="58"/>
    <m/>
    <n v="32"/>
    <m/>
    <s v="PCS"/>
    <n v="5000"/>
    <n v="160000"/>
    <s v="Transformer connection"/>
    <s v="Sheet"/>
    <b v="0"/>
  </r>
  <r>
    <x v="1"/>
    <x v="7"/>
    <n v="6"/>
    <m/>
    <x v="59"/>
    <m/>
    <n v="16"/>
    <m/>
    <s v="PCS"/>
    <n v="5000"/>
    <n v="80000"/>
    <s v="Transformer connection"/>
    <s v="Sheet"/>
    <b v="0"/>
  </r>
  <r>
    <x v="1"/>
    <x v="7"/>
    <n v="7"/>
    <m/>
    <x v="32"/>
    <m/>
    <m/>
    <n v="5"/>
    <s v="h"/>
    <n v="13000000"/>
    <n v="65000000"/>
    <s v="Transformer connection"/>
    <s v="Sheet"/>
    <b v="0"/>
  </r>
  <r>
    <x v="1"/>
    <x v="7"/>
    <n v="8"/>
    <m/>
    <x v="35"/>
    <m/>
    <m/>
    <n v="0"/>
    <s v="%"/>
    <m/>
    <n v="0"/>
    <s v="Transformer connection"/>
    <s v="Sheet"/>
    <b v="0"/>
  </r>
  <r>
    <x v="1"/>
    <x v="8"/>
    <n v="1"/>
    <s v="آهن"/>
    <x v="62"/>
    <m/>
    <n v="1"/>
    <n v="25"/>
    <s v="Kg"/>
    <n v="5200000"/>
    <n v="130000000"/>
    <s v="Connection protection unit"/>
    <s v="Sheet"/>
    <b v="0"/>
  </r>
  <r>
    <x v="1"/>
    <x v="8"/>
    <m/>
    <s v="آهن"/>
    <x v="63"/>
    <m/>
    <n v="1"/>
    <m/>
    <s v="Kg"/>
    <m/>
    <n v="0"/>
    <s v="Connection protection unit"/>
    <s v="Sheet"/>
    <b v="0"/>
  </r>
  <r>
    <x v="1"/>
    <x v="8"/>
    <n v="3"/>
    <m/>
    <x v="38"/>
    <m/>
    <n v="32"/>
    <m/>
    <s v="PCS"/>
    <n v="10000"/>
    <n v="320000"/>
    <s v="Connection protection unit"/>
    <s v="Sheet"/>
    <b v="0"/>
  </r>
  <r>
    <x v="1"/>
    <x v="8"/>
    <n v="4"/>
    <m/>
    <x v="15"/>
    <m/>
    <n v="32"/>
    <m/>
    <s v="PCS"/>
    <n v="60000"/>
    <n v="1920000"/>
    <s v="Connection protection unit"/>
    <s v="Sheet"/>
    <b v="0"/>
  </r>
  <r>
    <x v="1"/>
    <x v="8"/>
    <n v="5"/>
    <m/>
    <x v="64"/>
    <m/>
    <n v="32"/>
    <m/>
    <s v="PCS"/>
    <n v="60000"/>
    <n v="1920000"/>
    <s v="Connection protection unit"/>
    <s v="Sheet"/>
    <b v="0"/>
  </r>
  <r>
    <x v="1"/>
    <x v="8"/>
    <n v="6"/>
    <m/>
    <x v="38"/>
    <m/>
    <n v="12"/>
    <m/>
    <s v="PCS"/>
    <n v="10000"/>
    <n v="120000"/>
    <s v="Connection protection unit"/>
    <s v="Sheet"/>
    <b v="0"/>
  </r>
  <r>
    <x v="1"/>
    <x v="8"/>
    <n v="7"/>
    <m/>
    <x v="65"/>
    <m/>
    <n v="12"/>
    <m/>
    <s v="PCS"/>
    <n v="10000"/>
    <n v="120000"/>
    <s v="Connection protection unit"/>
    <s v="Sheet"/>
    <b v="0"/>
  </r>
  <r>
    <x v="1"/>
    <x v="8"/>
    <n v="8"/>
    <m/>
    <x v="40"/>
    <m/>
    <n v="12"/>
    <m/>
    <s v="PCS"/>
    <n v="60000"/>
    <n v="720000"/>
    <s v="Connection protection unit"/>
    <s v="Sheet"/>
    <b v="0"/>
  </r>
  <r>
    <x v="1"/>
    <x v="8"/>
    <n v="9"/>
    <m/>
    <x v="66"/>
    <m/>
    <n v="32"/>
    <m/>
    <s v="PCS"/>
    <n v="10000"/>
    <n v="320000"/>
    <s v="Connection protection unit"/>
    <s v="Sheet"/>
    <b v="0"/>
  </r>
  <r>
    <x v="1"/>
    <x v="8"/>
    <n v="10"/>
    <m/>
    <x v="8"/>
    <m/>
    <n v="25"/>
    <m/>
    <s v="Kg"/>
    <n v="1430000"/>
    <n v="35750000"/>
    <s v="Connection protection unit"/>
    <s v="Sheet"/>
    <b v="0"/>
  </r>
  <r>
    <x v="1"/>
    <x v="8"/>
    <m/>
    <m/>
    <x v="30"/>
    <m/>
    <n v="1"/>
    <n v="6"/>
    <s v="m"/>
    <n v="460000"/>
    <n v="2760000"/>
    <s v="Connection protection unit"/>
    <s v="Sheet"/>
    <b v="0"/>
  </r>
  <r>
    <x v="1"/>
    <x v="8"/>
    <n v="11"/>
    <m/>
    <x v="32"/>
    <m/>
    <m/>
    <n v="5"/>
    <s v="h"/>
    <n v="13000000"/>
    <n v="65000000"/>
    <s v="Connection protection unit"/>
    <s v="Sheet"/>
    <b v="0"/>
  </r>
  <r>
    <x v="1"/>
    <x v="8"/>
    <n v="12"/>
    <m/>
    <x v="35"/>
    <m/>
    <m/>
    <n v="0"/>
    <s v="%"/>
    <m/>
    <n v="0"/>
    <s v="Connection protection unit"/>
    <s v="Sheet"/>
    <b v="0"/>
  </r>
  <r>
    <x v="1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1"/>
    <x v="9"/>
    <m/>
    <m/>
    <x v="68"/>
    <s v="200 X 100 X 3"/>
    <n v="2"/>
    <n v="0.94320000000000004"/>
    <s v="Kg"/>
    <n v="800000"/>
    <n v="754560"/>
    <s v="SPRINH HANGER"/>
    <s v="Sheet"/>
    <b v="0"/>
  </r>
  <r>
    <x v="1"/>
    <x v="9"/>
    <m/>
    <m/>
    <x v="69"/>
    <m/>
    <n v="2"/>
    <m/>
    <s v="PCS"/>
    <n v="5000000"/>
    <n v="10000000"/>
    <s v="SPRINH HANGER"/>
    <s v="Sheet"/>
    <b v="0"/>
  </r>
  <r>
    <x v="1"/>
    <x v="9"/>
    <n v="2"/>
    <m/>
    <x v="70"/>
    <n v="260"/>
    <n v="2"/>
    <n v="0.52"/>
    <s v="m"/>
    <n v="2000000"/>
    <n v="1040000"/>
    <s v="SPRINH HANGER"/>
    <s v="Sheet"/>
    <b v="0"/>
  </r>
  <r>
    <x v="1"/>
    <x v="9"/>
    <m/>
    <m/>
    <x v="71"/>
    <m/>
    <n v="10"/>
    <m/>
    <s v="PCS"/>
    <n v="200000"/>
    <n v="2000000"/>
    <s v="SPRINH HANGER"/>
    <s v="Sheet"/>
    <b v="0"/>
  </r>
  <r>
    <x v="1"/>
    <x v="9"/>
    <n v="7"/>
    <m/>
    <x v="72"/>
    <m/>
    <n v="4"/>
    <n v="4"/>
    <s v="PCS"/>
    <n v="300000"/>
    <n v="1200000"/>
    <s v="SPRINH HANGER"/>
    <s v="Sheet"/>
    <b v="0"/>
  </r>
  <r>
    <x v="1"/>
    <x v="9"/>
    <n v="8"/>
    <m/>
    <x v="58"/>
    <m/>
    <n v="10"/>
    <n v="10"/>
    <s v="PCS"/>
    <n v="30000"/>
    <n v="300000"/>
    <s v="SPRINH HANGER"/>
    <s v="Sheet"/>
    <b v="0"/>
  </r>
  <r>
    <x v="1"/>
    <x v="9"/>
    <n v="9"/>
    <m/>
    <x v="73"/>
    <m/>
    <n v="4"/>
    <n v="4"/>
    <s v="PCS"/>
    <n v="30000"/>
    <n v="120000"/>
    <s v="SPRINH HANGER"/>
    <s v="Sheet"/>
    <b v="0"/>
  </r>
  <r>
    <x v="1"/>
    <x v="9"/>
    <n v="12"/>
    <m/>
    <x v="46"/>
    <m/>
    <n v="4"/>
    <n v="4"/>
    <s v="PCS"/>
    <n v="30000"/>
    <n v="120000"/>
    <s v="SPRINH HANGER"/>
    <s v="Sheet"/>
    <b v="0"/>
  </r>
  <r>
    <x v="1"/>
    <x v="9"/>
    <n v="13"/>
    <m/>
    <x v="32"/>
    <m/>
    <m/>
    <n v="1"/>
    <s v="h"/>
    <n v="13000000"/>
    <n v="13000000"/>
    <s v="SPRINH HANGER"/>
    <s v="Sheet"/>
    <b v="0"/>
  </r>
  <r>
    <x v="1"/>
    <x v="9"/>
    <n v="14"/>
    <m/>
    <x v="35"/>
    <m/>
    <m/>
    <n v="0"/>
    <s v="%"/>
    <m/>
    <n v="0"/>
    <s v="SPRINH HANGER"/>
    <s v="Sheet"/>
    <b v="0"/>
  </r>
  <r>
    <x v="1"/>
    <x v="9"/>
    <m/>
    <m/>
    <x v="74"/>
    <n v="300"/>
    <n v="200"/>
    <n v="3"/>
    <n v="7.86"/>
    <m/>
    <n v="1.4148000000000001"/>
    <s v="SPRINH HANGER"/>
    <s v="Sheet"/>
    <b v="0"/>
  </r>
  <r>
    <x v="1"/>
    <x v="9"/>
    <m/>
    <m/>
    <x v="75"/>
    <n v="200"/>
    <n v="100"/>
    <n v="3"/>
    <n v="7.86"/>
    <m/>
    <n v="0.47160000000000002"/>
    <s v="SPRINH HANGER"/>
    <s v="Sheet"/>
    <b v="0"/>
  </r>
  <r>
    <x v="1"/>
    <x v="10"/>
    <n v="1"/>
    <s v="آهن"/>
    <x v="76"/>
    <m/>
    <n v="1"/>
    <n v="1.6485000000000001"/>
    <s v="Kg"/>
    <n v="700000"/>
    <n v="1153950"/>
    <s v="Suspension unit ceiling"/>
    <s v="Sheet"/>
    <b v="0"/>
  </r>
  <r>
    <x v="1"/>
    <x v="10"/>
    <n v="2"/>
    <s v="آهن"/>
    <x v="77"/>
    <m/>
    <n v="2"/>
    <m/>
    <s v="m"/>
    <n v="1200000"/>
    <n v="2400000"/>
    <s v="Suspension unit ceiling"/>
    <s v="Sheet"/>
    <b v="0"/>
  </r>
  <r>
    <x v="1"/>
    <x v="10"/>
    <n v="3"/>
    <m/>
    <x v="78"/>
    <m/>
    <n v="2"/>
    <m/>
    <s v="PCS"/>
    <n v="100000"/>
    <n v="200000"/>
    <s v="Suspension unit ceiling"/>
    <s v="Sheet"/>
    <b v="0"/>
  </r>
  <r>
    <x v="1"/>
    <x v="10"/>
    <n v="4"/>
    <m/>
    <x v="57"/>
    <m/>
    <n v="6"/>
    <m/>
    <s v="PCS"/>
    <n v="10000"/>
    <n v="60000"/>
    <s v="Suspension unit ceiling"/>
    <s v="Sheet"/>
    <b v="0"/>
  </r>
  <r>
    <x v="1"/>
    <x v="10"/>
    <n v="5"/>
    <m/>
    <x v="58"/>
    <m/>
    <n v="6"/>
    <m/>
    <s v="PCS"/>
    <n v="5000"/>
    <n v="30000"/>
    <s v="Suspension unit ceiling"/>
    <s v="Sheet"/>
    <b v="0"/>
  </r>
  <r>
    <x v="1"/>
    <x v="10"/>
    <n v="6"/>
    <m/>
    <x v="79"/>
    <m/>
    <n v="2"/>
    <m/>
    <s v="PCS"/>
    <n v="500000"/>
    <n v="1000000"/>
    <s v="Suspension unit ceiling"/>
    <s v="Sheet"/>
    <b v="0"/>
  </r>
  <r>
    <x v="1"/>
    <x v="10"/>
    <n v="7"/>
    <m/>
    <x v="80"/>
    <m/>
    <n v="2"/>
    <m/>
    <s v="PCS"/>
    <n v="10000"/>
    <n v="20000"/>
    <s v="Suspension unit ceiling"/>
    <s v="Sheet"/>
    <b v="0"/>
  </r>
  <r>
    <x v="1"/>
    <x v="10"/>
    <n v="8"/>
    <m/>
    <x v="65"/>
    <m/>
    <n v="2"/>
    <m/>
    <s v="PCS"/>
    <n v="5000"/>
    <n v="10000"/>
    <s v="Suspension unit ceiling"/>
    <s v="Sheet"/>
    <b v="0"/>
  </r>
  <r>
    <x v="1"/>
    <x v="10"/>
    <n v="9"/>
    <m/>
    <x v="40"/>
    <m/>
    <n v="2"/>
    <m/>
    <s v="PCS"/>
    <n v="60000"/>
    <n v="120000"/>
    <s v="Suspension unit ceiling"/>
    <s v="Sheet"/>
    <b v="0"/>
  </r>
  <r>
    <x v="1"/>
    <x v="10"/>
    <n v="10"/>
    <m/>
    <x v="32"/>
    <m/>
    <m/>
    <n v="3"/>
    <s v="h"/>
    <n v="13000000"/>
    <n v="39000000"/>
    <s v="Suspension unit ceiling"/>
    <s v="Sheet"/>
    <b v="0"/>
  </r>
  <r>
    <x v="1"/>
    <x v="10"/>
    <n v="11"/>
    <m/>
    <x v="35"/>
    <m/>
    <m/>
    <n v="0"/>
    <s v="%"/>
    <m/>
    <n v="0"/>
    <s v="Suspension unit ceiling"/>
    <s v="Sheet"/>
    <b v="0"/>
  </r>
  <r>
    <x v="1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1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1"/>
    <x v="11"/>
    <n v="7"/>
    <m/>
    <x v="13"/>
    <m/>
    <n v="2"/>
    <n v="2"/>
    <s v="PCS"/>
    <n v="50000"/>
    <n v="100000"/>
    <s v="Universal fixing unit"/>
    <s v="Sheet"/>
    <b v="0"/>
  </r>
  <r>
    <x v="1"/>
    <x v="11"/>
    <n v="8"/>
    <m/>
    <x v="64"/>
    <m/>
    <n v="4"/>
    <n v="4"/>
    <s v="PCS"/>
    <n v="30000"/>
    <n v="120000"/>
    <s v="Universal fixing unit"/>
    <s v="Sheet"/>
    <b v="0"/>
  </r>
  <r>
    <x v="1"/>
    <x v="11"/>
    <n v="9"/>
    <m/>
    <x v="82"/>
    <m/>
    <n v="1"/>
    <n v="1"/>
    <s v="PCS"/>
    <n v="30000"/>
    <n v="30000"/>
    <s v="Universal fixing unit"/>
    <s v="Sheet"/>
    <b v="0"/>
  </r>
  <r>
    <x v="1"/>
    <x v="11"/>
    <n v="13"/>
    <m/>
    <x v="32"/>
    <m/>
    <m/>
    <n v="1"/>
    <s v="h"/>
    <n v="13000000"/>
    <n v="13000000"/>
    <s v="Universal fixing unit"/>
    <s v="Sheet"/>
    <b v="0"/>
  </r>
  <r>
    <x v="1"/>
    <x v="11"/>
    <n v="14"/>
    <m/>
    <x v="35"/>
    <m/>
    <m/>
    <n v="0"/>
    <s v="%"/>
    <m/>
    <n v="0"/>
    <s v="Universal fixing unit"/>
    <s v="Sheet"/>
    <b v="0"/>
  </r>
  <r>
    <x v="1"/>
    <x v="11"/>
    <m/>
    <m/>
    <x v="74"/>
    <n v="300"/>
    <n v="100"/>
    <n v="2.5"/>
    <n v="7.86"/>
    <m/>
    <n v="0.58950000000000002"/>
    <s v="Universal fixing unit"/>
    <s v="Sheet"/>
    <b v="0"/>
  </r>
  <r>
    <x v="2"/>
    <x v="13"/>
    <n v="1"/>
    <s v="آلومینیوم"/>
    <x v="0"/>
    <n v="2735"/>
    <n v="2"/>
    <n v="7.6580000000000004"/>
    <s v="Kg"/>
    <n v="8500000"/>
    <n v="65092999.999999993"/>
    <s v="FEEDER-1600"/>
    <s v="Sheet"/>
    <b v="0"/>
  </r>
  <r>
    <x v="2"/>
    <x v="13"/>
    <n v="2"/>
    <m/>
    <x v="1"/>
    <n v="2735"/>
    <n v="0"/>
    <n v="0"/>
    <s v="Kg"/>
    <n v="8500000"/>
    <n v="0"/>
    <s v="FEEDER-1600"/>
    <s v="Sheet"/>
    <b v="0"/>
  </r>
  <r>
    <x v="2"/>
    <x v="13"/>
    <n v="3"/>
    <m/>
    <x v="84"/>
    <n v="2703"/>
    <n v="2"/>
    <n v="14.0556"/>
    <s v="Kg"/>
    <n v="8500000"/>
    <n v="119472600"/>
    <s v="FEEDER-1600"/>
    <s v="Sheet"/>
    <b v="0"/>
  </r>
  <r>
    <x v="2"/>
    <x v="13"/>
    <n v="4"/>
    <m/>
    <x v="3"/>
    <n v="120"/>
    <n v="4"/>
    <n v="0.48"/>
    <s v="Kg"/>
    <n v="8500000"/>
    <n v="4080000"/>
    <s v="FEEDER-1600"/>
    <s v="Sheet"/>
    <b v="0"/>
  </r>
  <r>
    <x v="2"/>
    <x v="13"/>
    <n v="5"/>
    <m/>
    <x v="4"/>
    <n v="180"/>
    <n v="4"/>
    <n v="1.376352"/>
    <s v="Kg"/>
    <n v="8500000"/>
    <n v="11698992"/>
    <s v="FEEDER-1600"/>
    <s v="Sheet"/>
    <b v="0"/>
  </r>
  <r>
    <x v="2"/>
    <x v="13"/>
    <n v="6"/>
    <m/>
    <x v="5"/>
    <n v="2970"/>
    <n v="4"/>
    <n v="33.872256000000007"/>
    <s v="Kg"/>
    <n v="8500000"/>
    <n v="287914176.00000006"/>
    <s v="FEEDER-1600"/>
    <s v="Sheet"/>
    <b v="0"/>
  </r>
  <r>
    <x v="2"/>
    <x v="13"/>
    <n v="7"/>
    <s v="عایق ها"/>
    <x v="6"/>
    <n v="0.13"/>
    <n v="4.5619199999999998"/>
    <n v="4.5619199999999998"/>
    <s v="M2"/>
    <n v="4275000"/>
    <n v="19502208"/>
    <s v="FEEDER-1600"/>
    <s v="Sheet"/>
    <b v="0"/>
  </r>
  <r>
    <x v="2"/>
    <x v="13"/>
    <n v="8"/>
    <m/>
    <x v="7"/>
    <n v="0.35"/>
    <n v="2.0072448000000001"/>
    <n v="2.0072448000000001"/>
    <s v="Kg"/>
    <n v="35750000"/>
    <n v="71759001.600000009"/>
    <s v="FEEDER-1600"/>
    <s v="Sheet"/>
    <b v="0"/>
  </r>
  <r>
    <x v="2"/>
    <x v="13"/>
    <n v="9"/>
    <m/>
    <x v="7"/>
    <n v="0.2"/>
    <n v="0"/>
    <n v="0"/>
    <s v="Kg"/>
    <n v="45760000"/>
    <n v="0"/>
    <s v="FEEDER-1600"/>
    <s v="Sheet"/>
    <b v="0"/>
  </r>
  <r>
    <x v="2"/>
    <x v="13"/>
    <n v="10"/>
    <s v="رنگ بدنه"/>
    <x v="8"/>
    <m/>
    <n v="21.7136"/>
    <n v="21.7136"/>
    <s v="Kg"/>
    <n v="1430000"/>
    <n v="31050448"/>
    <s v="FEEDER-1600"/>
    <s v="Sheet"/>
    <b v="0"/>
  </r>
  <r>
    <x v="2"/>
    <x v="13"/>
    <n v="11"/>
    <s v="قلع"/>
    <x v="9"/>
    <m/>
    <n v="8"/>
    <n v="8"/>
    <s v="Kg"/>
    <n v="3000000"/>
    <n v="24000000"/>
    <s v="FEEDER-1600"/>
    <s v="Sheet"/>
    <b v="0"/>
  </r>
  <r>
    <x v="2"/>
    <x v="13"/>
    <n v="12"/>
    <m/>
    <x v="10"/>
    <m/>
    <n v="33.872256000000007"/>
    <n v="33.872256000000007"/>
    <s v="PCS"/>
    <n v="3600000"/>
    <n v="121940121.60000002"/>
    <s v="FEEDER-1600"/>
    <s v="Sheet"/>
    <b v="0"/>
  </r>
  <r>
    <x v="2"/>
    <x v="13"/>
    <n v="13"/>
    <s v="چسب"/>
    <x v="11"/>
    <m/>
    <n v="11.88"/>
    <n v="11.88"/>
    <s v="PCS"/>
    <n v="3600000"/>
    <n v="42768000"/>
    <s v="FEEDER-1600"/>
    <s v="Sheet"/>
    <b v="0"/>
  </r>
  <r>
    <x v="2"/>
    <x v="13"/>
    <n v="14"/>
    <m/>
    <x v="12"/>
    <m/>
    <n v="0.1"/>
    <n v="0.1"/>
    <s v="PCS"/>
    <n v="5500000"/>
    <n v="550000"/>
    <s v="FEEDER-1600"/>
    <s v="Sheet"/>
    <b v="0"/>
  </r>
  <r>
    <x v="2"/>
    <x v="13"/>
    <n v="15"/>
    <s v="پیچ و مهره"/>
    <x v="13"/>
    <m/>
    <s v="80"/>
    <s v="80"/>
    <s v="PCS"/>
    <n v="200000"/>
    <n v="16000000"/>
    <s v="FEEDER-1600"/>
    <s v="Sheet"/>
    <b v="0"/>
  </r>
  <r>
    <x v="2"/>
    <x v="13"/>
    <n v="16"/>
    <m/>
    <x v="14"/>
    <m/>
    <n v="8"/>
    <n v="8"/>
    <s v="PCS"/>
    <n v="200000"/>
    <n v="1600000"/>
    <s v="FEEDER-1600"/>
    <s v="Sheet"/>
    <b v="0"/>
  </r>
  <r>
    <x v="2"/>
    <x v="13"/>
    <n v="17"/>
    <m/>
    <x v="15"/>
    <m/>
    <n v="88"/>
    <n v="88"/>
    <s v="PCS"/>
    <n v="200000"/>
    <n v="17600000"/>
    <s v="FEEDER-1600"/>
    <s v="Sheet"/>
    <b v="0"/>
  </r>
  <r>
    <x v="2"/>
    <x v="13"/>
    <n v="18"/>
    <m/>
    <x v="16"/>
    <m/>
    <n v="16"/>
    <n v="16"/>
    <s v="PCS"/>
    <n v="400000"/>
    <n v="6400000"/>
    <s v="FEEDER-1600"/>
    <s v="Sheet"/>
    <b v="0"/>
  </r>
  <r>
    <x v="2"/>
    <x v="13"/>
    <n v="19"/>
    <m/>
    <x v="17"/>
    <m/>
    <n v="16"/>
    <n v="16"/>
    <s v="PCS"/>
    <n v="120000"/>
    <n v="1920000"/>
    <s v="FEEDER-1600"/>
    <s v="Sheet"/>
    <b v="0"/>
  </r>
  <r>
    <x v="2"/>
    <x v="13"/>
    <n v="20"/>
    <m/>
    <x v="18"/>
    <m/>
    <n v="24"/>
    <n v="24"/>
    <s v="PCS"/>
    <n v="400000"/>
    <n v="9600000"/>
    <s v="FEEDER-1600"/>
    <s v="Sheet"/>
    <b v="0"/>
  </r>
  <r>
    <x v="2"/>
    <x v="13"/>
    <n v="21"/>
    <s v="مس"/>
    <x v="19"/>
    <n v="132"/>
    <n v="8"/>
    <n v="4.9958092800000005"/>
    <s v="Kg"/>
    <n v="35000000"/>
    <n v="174853324.80000001"/>
    <s v="FEEDER-1600"/>
    <s v="Sheet"/>
    <b v="0"/>
  </r>
  <r>
    <x v="2"/>
    <x v="13"/>
    <n v="22"/>
    <s v="آهن"/>
    <x v="20"/>
    <s v="115 X 185"/>
    <n v="2"/>
    <n v="1.8"/>
    <s v="Kg"/>
    <n v="5200000"/>
    <n v="9360000"/>
    <s v="FEEDER-1600"/>
    <s v="Sheet"/>
    <b v="0"/>
  </r>
  <r>
    <x v="2"/>
    <x v="13"/>
    <n v="23"/>
    <m/>
    <x v="21"/>
    <s v="425 X 265"/>
    <n v="2"/>
    <n v="1.2"/>
    <s v="Kg"/>
    <n v="5200000"/>
    <n v="6240000"/>
    <s v="FEEDER-1600"/>
    <s v="Sheet"/>
    <b v="0"/>
  </r>
  <r>
    <x v="2"/>
    <x v="13"/>
    <n v="24"/>
    <s v="الومینیوم"/>
    <x v="22"/>
    <s v="263*157"/>
    <n v="2"/>
    <n v="0.83378799999999997"/>
    <s v="Kg"/>
    <n v="8500000"/>
    <n v="7087198"/>
    <s v="FEEDER-1600"/>
    <s v="Sheet"/>
    <b v="0"/>
  </r>
  <r>
    <x v="2"/>
    <x v="13"/>
    <n v="25"/>
    <s v="پلی امید"/>
    <x v="23"/>
    <n v="0.18"/>
    <s v="2"/>
    <s v="2"/>
    <s v="PCS"/>
    <n v="1014000"/>
    <n v="2028000"/>
    <s v="FEEDER-1600"/>
    <s v="Sheet"/>
    <b v="0"/>
  </r>
  <r>
    <x v="2"/>
    <x v="13"/>
    <n v="26"/>
    <m/>
    <x v="24"/>
    <n v="0.2"/>
    <s v="3"/>
    <s v="3"/>
    <s v="PCS"/>
    <n v="1014000"/>
    <n v="3042000"/>
    <s v="FEEDER-1600"/>
    <s v="Sheet"/>
    <b v="0"/>
  </r>
  <r>
    <x v="2"/>
    <x v="13"/>
    <n v="27"/>
    <s v="ABS"/>
    <x v="25"/>
    <s v="80 mm"/>
    <n v="1"/>
    <n v="1"/>
    <s v="PCS"/>
    <n v="100000"/>
    <n v="100000"/>
    <s v="FEEDER-1600"/>
    <s v="Sheet"/>
    <b v="0"/>
  </r>
  <r>
    <x v="2"/>
    <x v="13"/>
    <n v="28"/>
    <s v="پیچ و مهره"/>
    <x v="26"/>
    <m/>
    <n v="2"/>
    <n v="2"/>
    <s v="PCS"/>
    <n v="2400000"/>
    <n v="4800000"/>
    <s v="FEEDER-1600"/>
    <s v="Sheet"/>
    <b v="0"/>
  </r>
  <r>
    <x v="2"/>
    <x v="13"/>
    <n v="29"/>
    <m/>
    <x v="27"/>
    <m/>
    <n v="2"/>
    <n v="2"/>
    <s v="PCS"/>
    <n v="2400000"/>
    <n v="4800000"/>
    <s v="FEEDER-1600"/>
    <s v="Sheet"/>
    <b v="0"/>
  </r>
  <r>
    <x v="2"/>
    <x v="13"/>
    <n v="30"/>
    <m/>
    <x v="28"/>
    <m/>
    <n v="2"/>
    <n v="2"/>
    <s v="PCS"/>
    <n v="3000000"/>
    <n v="6000000"/>
    <s v="FEEDER-1600"/>
    <s v="Sheet"/>
    <b v="0"/>
  </r>
  <r>
    <x v="2"/>
    <x v="13"/>
    <n v="31"/>
    <s v="نوار IP"/>
    <x v="29"/>
    <m/>
    <n v="2"/>
    <n v="2"/>
    <s v="PCS"/>
    <n v="1300000"/>
    <n v="2600000"/>
    <s v="FEEDER-1600"/>
    <s v="Sheet"/>
    <b v="0"/>
  </r>
  <r>
    <x v="2"/>
    <x v="13"/>
    <n v="32"/>
    <s v="نوار IP"/>
    <x v="30"/>
    <m/>
    <n v="4"/>
    <n v="10.811999999999999"/>
    <s v="m"/>
    <n v="460000"/>
    <n v="4973520"/>
    <s v="FEEDER-1600"/>
    <s v="Sheet"/>
    <b v="0"/>
  </r>
  <r>
    <x v="2"/>
    <x v="13"/>
    <n v="33"/>
    <s v="ترموفیت"/>
    <x v="31"/>
    <n v="50"/>
    <n v="8"/>
    <n v="0.8"/>
    <s v="m "/>
    <n v="12655280.000000002"/>
    <n v="10124224.000000002"/>
    <s v="FEEDER-1600"/>
    <s v="Sheet"/>
    <b v="0"/>
  </r>
  <r>
    <x v="2"/>
    <x v="13"/>
    <n v="28"/>
    <m/>
    <x v="32"/>
    <m/>
    <m/>
    <n v="8"/>
    <s v="h"/>
    <n v="13000000"/>
    <n v="104000000"/>
    <s v="FEEDER-1600"/>
    <s v="Sheet"/>
    <b v="0"/>
  </r>
  <r>
    <x v="2"/>
    <x v="14"/>
    <n v="1"/>
    <s v="آلومینیوم"/>
    <x v="0"/>
    <n v="735"/>
    <n v="2"/>
    <n v="2.0579999999999998"/>
    <s v="Kg"/>
    <n v="8500000"/>
    <n v="17493000"/>
    <s v="FEEDER-1600 1m 4w"/>
    <s v="Sheet"/>
    <b v="0"/>
  </r>
  <r>
    <x v="2"/>
    <x v="14"/>
    <n v="2"/>
    <m/>
    <x v="1"/>
    <n v="735"/>
    <n v="0"/>
    <n v="0"/>
    <s v="Kg"/>
    <n v="8500000"/>
    <n v="0"/>
    <s v="FEEDER-1600 1m 4w"/>
    <s v="Sheet"/>
    <b v="0"/>
  </r>
  <r>
    <x v="2"/>
    <x v="14"/>
    <n v="3"/>
    <m/>
    <x v="84"/>
    <n v="703"/>
    <n v="2"/>
    <n v="3.6556000000000002"/>
    <s v="Kg"/>
    <n v="8500000"/>
    <n v="31072599.999999996"/>
    <s v="FEEDER-1600 1m 4w"/>
    <s v="Sheet"/>
    <b v="0"/>
  </r>
  <r>
    <x v="2"/>
    <x v="14"/>
    <n v="4"/>
    <m/>
    <x v="3"/>
    <n v="120"/>
    <n v="4"/>
    <n v="0.48"/>
    <s v="Kg"/>
    <n v="8500000"/>
    <n v="4080000"/>
    <s v="FEEDER-1600 1m 4w"/>
    <s v="Sheet"/>
    <b v="0"/>
  </r>
  <r>
    <x v="2"/>
    <x v="14"/>
    <n v="5"/>
    <m/>
    <x v="4"/>
    <n v="180"/>
    <n v="4"/>
    <n v="1.376352"/>
    <s v="Kg"/>
    <n v="8500000"/>
    <n v="11698992"/>
    <s v="FEEDER-1600 1m 4w"/>
    <s v="Sheet"/>
    <b v="0"/>
  </r>
  <r>
    <x v="2"/>
    <x v="14"/>
    <n v="6"/>
    <m/>
    <x v="5"/>
    <n v="970"/>
    <n v="4"/>
    <n v="11.062656"/>
    <s v="Kg"/>
    <n v="8500000"/>
    <n v="94032576"/>
    <s v="FEEDER-1600 1m 4w"/>
    <s v="Sheet"/>
    <b v="0"/>
  </r>
  <r>
    <x v="2"/>
    <x v="14"/>
    <n v="7"/>
    <s v="عایق ها"/>
    <x v="6"/>
    <n v="0.13"/>
    <n v="1.4899199999999999"/>
    <n v="1.4899199999999999"/>
    <s v="M2"/>
    <n v="4275000"/>
    <n v="6369408.0000000009"/>
    <s v="FEEDER-1600 1m 4w"/>
    <s v="Sheet"/>
    <b v="0"/>
  </r>
  <r>
    <x v="2"/>
    <x v="14"/>
    <n v="8"/>
    <m/>
    <x v="7"/>
    <n v="0.35"/>
    <n v="0.65556479999999995"/>
    <n v="0.65556479999999995"/>
    <s v="Kg"/>
    <n v="35750000"/>
    <n v="23436441.600000001"/>
    <s v="FEEDER-1600 1m 4w"/>
    <s v="Sheet"/>
    <b v="0"/>
  </r>
  <r>
    <x v="2"/>
    <x v="14"/>
    <n v="9"/>
    <m/>
    <x v="7"/>
    <n v="0.2"/>
    <n v="0"/>
    <n v="0"/>
    <s v="Kg"/>
    <n v="45760000"/>
    <n v="0"/>
    <s v="FEEDER-1600 1m 4w"/>
    <s v="Sheet"/>
    <b v="0"/>
  </r>
  <r>
    <x v="2"/>
    <x v="14"/>
    <n v="10"/>
    <s v="رنگ بدنه"/>
    <x v="8"/>
    <m/>
    <n v="5.7135999999999996"/>
    <n v="5.7135999999999996"/>
    <s v="Kg"/>
    <n v="1430000"/>
    <n v="8170447.9999999981"/>
    <s v="FEEDER-1600 1m 4w"/>
    <s v="Sheet"/>
    <b v="0"/>
  </r>
  <r>
    <x v="2"/>
    <x v="14"/>
    <n v="11"/>
    <s v="قلع"/>
    <x v="9"/>
    <m/>
    <n v="8"/>
    <n v="8"/>
    <s v="Kg"/>
    <n v="3000000"/>
    <n v="24000000"/>
    <s v="FEEDER-1600 1m 4w"/>
    <s v="Sheet"/>
    <b v="0"/>
  </r>
  <r>
    <x v="2"/>
    <x v="14"/>
    <n v="12"/>
    <m/>
    <x v="10"/>
    <m/>
    <n v="11.062656"/>
    <n v="11.062656"/>
    <s v="PCS"/>
    <n v="3600000"/>
    <n v="39825561.600000001"/>
    <s v="FEEDER-1600 1m 4w"/>
    <s v="Sheet"/>
    <b v="0"/>
  </r>
  <r>
    <x v="2"/>
    <x v="14"/>
    <n v="13"/>
    <s v="چسب"/>
    <x v="11"/>
    <m/>
    <n v="3.88"/>
    <n v="3.88"/>
    <s v="PCS"/>
    <n v="3600000"/>
    <n v="13968000"/>
    <s v="FEEDER-1600 1m 4w"/>
    <s v="Sheet"/>
    <b v="0"/>
  </r>
  <r>
    <x v="2"/>
    <x v="14"/>
    <n v="14"/>
    <m/>
    <x v="12"/>
    <m/>
    <n v="0.1"/>
    <n v="0.1"/>
    <s v="PCS"/>
    <n v="5500000"/>
    <n v="550000"/>
    <s v="FEEDER-1600 1m 4w"/>
    <s v="Sheet"/>
    <b v="0"/>
  </r>
  <r>
    <x v="2"/>
    <x v="14"/>
    <n v="15"/>
    <s v="پیچ و مهره"/>
    <x v="13"/>
    <m/>
    <s v="80"/>
    <s v="80"/>
    <s v="PCS"/>
    <n v="200000"/>
    <n v="16000000"/>
    <s v="FEEDER-1600 1m 4w"/>
    <s v="Sheet"/>
    <b v="0"/>
  </r>
  <r>
    <x v="2"/>
    <x v="14"/>
    <n v="16"/>
    <m/>
    <x v="14"/>
    <m/>
    <n v="8"/>
    <n v="8"/>
    <s v="PCS"/>
    <n v="200000"/>
    <n v="1600000"/>
    <s v="FEEDER-1600 1m 4w"/>
    <s v="Sheet"/>
    <b v="0"/>
  </r>
  <r>
    <x v="2"/>
    <x v="14"/>
    <n v="17"/>
    <m/>
    <x v="15"/>
    <m/>
    <n v="88"/>
    <n v="88"/>
    <s v="PCS"/>
    <n v="200000"/>
    <n v="17600000"/>
    <s v="FEEDER-1600 1m 4w"/>
    <s v="Sheet"/>
    <b v="0"/>
  </r>
  <r>
    <x v="2"/>
    <x v="14"/>
    <n v="18"/>
    <m/>
    <x v="16"/>
    <m/>
    <n v="16"/>
    <n v="16"/>
    <s v="PCS"/>
    <n v="400000"/>
    <n v="6400000"/>
    <s v="FEEDER-1600 1m 4w"/>
    <s v="Sheet"/>
    <b v="0"/>
  </r>
  <r>
    <x v="2"/>
    <x v="14"/>
    <n v="19"/>
    <m/>
    <x v="17"/>
    <m/>
    <n v="16"/>
    <n v="16"/>
    <s v="PCS"/>
    <n v="120000"/>
    <n v="1920000"/>
    <s v="FEEDER-1600 1m 4w"/>
    <s v="Sheet"/>
    <b v="0"/>
  </r>
  <r>
    <x v="2"/>
    <x v="14"/>
    <n v="20"/>
    <m/>
    <x v="18"/>
    <m/>
    <n v="24"/>
    <n v="24"/>
    <s v="PCS"/>
    <n v="400000"/>
    <n v="9600000"/>
    <s v="FEEDER-1600 1m 4w"/>
    <s v="Sheet"/>
    <b v="0"/>
  </r>
  <r>
    <x v="2"/>
    <x v="14"/>
    <n v="21"/>
    <s v="مس"/>
    <x v="19"/>
    <n v="132"/>
    <n v="8"/>
    <n v="4.9958092800000005"/>
    <s v="Kg"/>
    <n v="35000000"/>
    <n v="174853324.80000001"/>
    <s v="FEEDER-1600 1m 4w"/>
    <s v="Sheet"/>
    <b v="0"/>
  </r>
  <r>
    <x v="2"/>
    <x v="14"/>
    <n v="22"/>
    <s v="آهن"/>
    <x v="20"/>
    <s v="115 X 185"/>
    <n v="2"/>
    <n v="1.8"/>
    <s v="Kg"/>
    <n v="5200000"/>
    <n v="9360000"/>
    <s v="FEEDER-1600 1m 4w"/>
    <s v="Sheet"/>
    <b v="0"/>
  </r>
  <r>
    <x v="2"/>
    <x v="14"/>
    <n v="23"/>
    <m/>
    <x v="21"/>
    <s v="425 X 265"/>
    <n v="2"/>
    <n v="1.2"/>
    <s v="Kg"/>
    <n v="5200000"/>
    <n v="6240000"/>
    <s v="FEEDER-1600 1m 4w"/>
    <s v="Sheet"/>
    <b v="0"/>
  </r>
  <r>
    <x v="2"/>
    <x v="14"/>
    <n v="24"/>
    <s v="الومینیوم"/>
    <x v="22"/>
    <s v="263*157"/>
    <n v="2"/>
    <n v="0.83378799999999997"/>
    <s v="Kg"/>
    <n v="8500000"/>
    <n v="7087198"/>
    <s v="FEEDER-1600 1m 4w"/>
    <s v="Sheet"/>
    <b v="0"/>
  </r>
  <r>
    <x v="2"/>
    <x v="14"/>
    <n v="25"/>
    <s v="پلی امید"/>
    <x v="23"/>
    <n v="0.18"/>
    <s v="2"/>
    <s v="2"/>
    <s v="PCS"/>
    <n v="1014000"/>
    <n v="2028000"/>
    <s v="FEEDER-1600 1m 4w"/>
    <s v="Sheet"/>
    <b v="0"/>
  </r>
  <r>
    <x v="2"/>
    <x v="14"/>
    <n v="26"/>
    <m/>
    <x v="24"/>
    <n v="0.2"/>
    <s v="3"/>
    <s v="3"/>
    <s v="PCS"/>
    <n v="1014000"/>
    <n v="3042000"/>
    <s v="FEEDER-1600 1m 4w"/>
    <s v="Sheet"/>
    <b v="0"/>
  </r>
  <r>
    <x v="2"/>
    <x v="14"/>
    <n v="27"/>
    <s v="ABS"/>
    <x v="25"/>
    <s v="80 mm"/>
    <n v="1"/>
    <n v="1"/>
    <s v="PCS"/>
    <n v="100000"/>
    <n v="100000"/>
    <s v="FEEDER-1600 1m 4w"/>
    <s v="Sheet"/>
    <b v="0"/>
  </r>
  <r>
    <x v="2"/>
    <x v="14"/>
    <n v="28"/>
    <s v="پیچ و مهره"/>
    <x v="26"/>
    <m/>
    <n v="2"/>
    <n v="2"/>
    <s v="PCS"/>
    <n v="2400000"/>
    <n v="4800000"/>
    <s v="FEEDER-1600 1m 4w"/>
    <s v="Sheet"/>
    <b v="0"/>
  </r>
  <r>
    <x v="2"/>
    <x v="14"/>
    <n v="29"/>
    <m/>
    <x v="27"/>
    <m/>
    <n v="2"/>
    <n v="2"/>
    <s v="PCS"/>
    <n v="2400000"/>
    <n v="4800000"/>
    <s v="FEEDER-1600 1m 4w"/>
    <s v="Sheet"/>
    <b v="0"/>
  </r>
  <r>
    <x v="2"/>
    <x v="14"/>
    <n v="30"/>
    <m/>
    <x v="28"/>
    <m/>
    <n v="2"/>
    <n v="2"/>
    <s v="PCS"/>
    <n v="3000000"/>
    <n v="6000000"/>
    <s v="FEEDER-1600 1m 4w"/>
    <s v="Sheet"/>
    <b v="0"/>
  </r>
  <r>
    <x v="2"/>
    <x v="14"/>
    <n v="31"/>
    <s v="نوار IP"/>
    <x v="29"/>
    <m/>
    <n v="2"/>
    <n v="2"/>
    <s v="PCS"/>
    <n v="1300000"/>
    <n v="2600000"/>
    <s v="FEEDER-1600 1m 4w"/>
    <s v="Sheet"/>
    <b v="0"/>
  </r>
  <r>
    <x v="2"/>
    <x v="14"/>
    <n v="32"/>
    <s v="نوار IP"/>
    <x v="30"/>
    <m/>
    <n v="4"/>
    <n v="2.8119999999999998"/>
    <s v="m"/>
    <n v="460000"/>
    <n v="1293520"/>
    <s v="FEEDER-1600 1m 4w"/>
    <s v="Sheet"/>
    <b v="0"/>
  </r>
  <r>
    <x v="2"/>
    <x v="14"/>
    <n v="33"/>
    <s v="ترموفیت"/>
    <x v="31"/>
    <n v="50"/>
    <n v="8"/>
    <n v="0.8"/>
    <s v="m "/>
    <n v="12655280.000000002"/>
    <n v="10124224.000000002"/>
    <s v="FEEDER-1600 1m 4w"/>
    <s v="Sheet"/>
    <b v="0"/>
  </r>
  <r>
    <x v="2"/>
    <x v="14"/>
    <n v="28"/>
    <m/>
    <x v="32"/>
    <m/>
    <m/>
    <n v="8"/>
    <s v="h"/>
    <n v="8500000"/>
    <n v="68000000"/>
    <s v="FEEDER-1600 1m 4w"/>
    <s v="Sheet"/>
    <b v="0"/>
  </r>
  <r>
    <x v="2"/>
    <x v="15"/>
    <n v="1"/>
    <s v="آلومینیوم"/>
    <x v="0"/>
    <n v="735"/>
    <n v="2"/>
    <n v="2.0579999999999998"/>
    <s v="Kg"/>
    <n v="8500000"/>
    <n v="17493000"/>
    <s v="FEEDER-1600 1m 5w"/>
    <s v="Sheet"/>
    <b v="0"/>
  </r>
  <r>
    <x v="2"/>
    <x v="15"/>
    <n v="2"/>
    <m/>
    <x v="1"/>
    <n v="2735"/>
    <n v="0"/>
    <n v="0"/>
    <s v="Kg"/>
    <n v="8500000"/>
    <n v="0"/>
    <s v="FEEDER-1600 1m 5w"/>
    <s v="Sheet"/>
    <b v="0"/>
  </r>
  <r>
    <x v="2"/>
    <x v="15"/>
    <n v="3"/>
    <m/>
    <x v="84"/>
    <n v="703"/>
    <n v="2"/>
    <n v="3.6556000000000002"/>
    <s v="Kg"/>
    <n v="8500000"/>
    <n v="31072599.999999996"/>
    <s v="FEEDER-1600 1m 5w"/>
    <s v="Sheet"/>
    <b v="0"/>
  </r>
  <r>
    <x v="2"/>
    <x v="15"/>
    <n v="4"/>
    <m/>
    <x v="3"/>
    <n v="120"/>
    <n v="4"/>
    <n v="0.48"/>
    <s v="Kg"/>
    <n v="8500000"/>
    <n v="4080000"/>
    <s v="FEEDER-1600 1m 5w"/>
    <s v="Sheet"/>
    <b v="0"/>
  </r>
  <r>
    <x v="2"/>
    <x v="15"/>
    <n v="5"/>
    <m/>
    <x v="4"/>
    <n v="180"/>
    <n v="4"/>
    <n v="1.376352"/>
    <s v="Kg"/>
    <n v="8500000"/>
    <n v="11698992"/>
    <s v="FEEDER-1600 1m 5w"/>
    <s v="Sheet"/>
    <b v="0"/>
  </r>
  <r>
    <x v="2"/>
    <x v="15"/>
    <n v="6"/>
    <m/>
    <x v="5"/>
    <n v="970"/>
    <n v="5"/>
    <n v="13.82832"/>
    <s v="Kg"/>
    <n v="8500000"/>
    <n v="117540720"/>
    <s v="FEEDER-1600 1m 5w"/>
    <s v="Sheet"/>
    <b v="0"/>
  </r>
  <r>
    <x v="2"/>
    <x v="15"/>
    <n v="7"/>
    <s v="عایق ها"/>
    <x v="6"/>
    <n v="0.13"/>
    <n v="1.8624000000000001"/>
    <n v="1.8624000000000001"/>
    <s v="M2"/>
    <n v="4275000"/>
    <n v="7961760"/>
    <s v="FEEDER-1600 1m 5w"/>
    <s v="Sheet"/>
    <b v="0"/>
  </r>
  <r>
    <x v="2"/>
    <x v="15"/>
    <n v="8"/>
    <m/>
    <x v="7"/>
    <n v="0.35"/>
    <n v="0.81945599999999996"/>
    <n v="0.81945599999999996"/>
    <s v="Kg"/>
    <n v="35750000"/>
    <n v="29295552"/>
    <s v="FEEDER-1600 1m 5w"/>
    <s v="Sheet"/>
    <b v="0"/>
  </r>
  <r>
    <x v="2"/>
    <x v="15"/>
    <n v="9"/>
    <m/>
    <x v="7"/>
    <n v="0.2"/>
    <n v="0"/>
    <n v="0"/>
    <s v="Kg"/>
    <n v="45760000"/>
    <n v="0"/>
    <s v="FEEDER-1600 1m 5w"/>
    <s v="Sheet"/>
    <b v="0"/>
  </r>
  <r>
    <x v="2"/>
    <x v="15"/>
    <n v="10"/>
    <s v="رنگ بدنه"/>
    <x v="8"/>
    <m/>
    <n v="5.7135999999999996"/>
    <n v="5.7135999999999996"/>
    <s v="Kg"/>
    <n v="1430000"/>
    <n v="8170447.9999999981"/>
    <s v="FEEDER-1600 1m 5w"/>
    <s v="Sheet"/>
    <b v="0"/>
  </r>
  <r>
    <x v="2"/>
    <x v="15"/>
    <n v="11"/>
    <s v="قلع"/>
    <x v="9"/>
    <m/>
    <n v="10"/>
    <n v="10"/>
    <s v="Kg"/>
    <n v="3000000"/>
    <n v="30000000"/>
    <s v="FEEDER-1600 1m 5w"/>
    <s v="Sheet"/>
    <b v="0"/>
  </r>
  <r>
    <x v="2"/>
    <x v="15"/>
    <n v="12"/>
    <m/>
    <x v="10"/>
    <m/>
    <n v="13.82832"/>
    <n v="13.82832"/>
    <s v="PCS"/>
    <n v="3600000"/>
    <n v="49781952.000000007"/>
    <s v="FEEDER-1600 1m 5w"/>
    <s v="Sheet"/>
    <b v="0"/>
  </r>
  <r>
    <x v="2"/>
    <x v="15"/>
    <n v="13"/>
    <s v="چسب"/>
    <x v="11"/>
    <m/>
    <n v="4.8499999999999996"/>
    <n v="4.8499999999999996"/>
    <s v="PCS"/>
    <n v="3600000"/>
    <n v="17460000"/>
    <s v="FEEDER-1600 1m 5w"/>
    <s v="Sheet"/>
    <b v="0"/>
  </r>
  <r>
    <x v="2"/>
    <x v="15"/>
    <n v="14"/>
    <m/>
    <x v="12"/>
    <m/>
    <n v="0.1"/>
    <n v="0.1"/>
    <s v="PCS"/>
    <n v="5500000"/>
    <n v="550000"/>
    <s v="FEEDER-1600 1m 5w"/>
    <s v="Sheet"/>
    <b v="0"/>
  </r>
  <r>
    <x v="2"/>
    <x v="15"/>
    <n v="15"/>
    <s v="پیچ و مهره"/>
    <x v="13"/>
    <m/>
    <s v="80"/>
    <s v="80"/>
    <s v="PCS"/>
    <n v="200000"/>
    <n v="16000000"/>
    <s v="FEEDER-1600 1m 5w"/>
    <s v="Sheet"/>
    <b v="0"/>
  </r>
  <r>
    <x v="2"/>
    <x v="15"/>
    <n v="16"/>
    <m/>
    <x v="14"/>
    <m/>
    <n v="8"/>
    <n v="8"/>
    <s v="PCS"/>
    <n v="200000"/>
    <n v="1600000"/>
    <s v="FEEDER-1600 1m 5w"/>
    <s v="Sheet"/>
    <b v="0"/>
  </r>
  <r>
    <x v="2"/>
    <x v="15"/>
    <n v="17"/>
    <m/>
    <x v="15"/>
    <m/>
    <n v="88"/>
    <n v="88"/>
    <s v="PCS"/>
    <n v="200000"/>
    <n v="17600000"/>
    <s v="FEEDER-1600 1m 5w"/>
    <s v="Sheet"/>
    <b v="0"/>
  </r>
  <r>
    <x v="2"/>
    <x v="15"/>
    <n v="18"/>
    <m/>
    <x v="16"/>
    <m/>
    <n v="16"/>
    <n v="16"/>
    <s v="PCS"/>
    <n v="400000"/>
    <n v="6400000"/>
    <s v="FEEDER-1600 1m 5w"/>
    <s v="Sheet"/>
    <b v="0"/>
  </r>
  <r>
    <x v="2"/>
    <x v="15"/>
    <n v="19"/>
    <m/>
    <x v="17"/>
    <m/>
    <n v="16"/>
    <n v="16"/>
    <s v="PCS"/>
    <n v="120000"/>
    <n v="1920000"/>
    <s v="FEEDER-1600 1m 5w"/>
    <s v="Sheet"/>
    <b v="0"/>
  </r>
  <r>
    <x v="2"/>
    <x v="15"/>
    <n v="20"/>
    <m/>
    <x v="18"/>
    <m/>
    <n v="24"/>
    <n v="24"/>
    <s v="PCS"/>
    <n v="400000"/>
    <n v="9600000"/>
    <s v="FEEDER-1600 1m 5w"/>
    <s v="Sheet"/>
    <b v="0"/>
  </r>
  <r>
    <x v="2"/>
    <x v="15"/>
    <n v="21"/>
    <s v="مس"/>
    <x v="19"/>
    <n v="132"/>
    <n v="10"/>
    <n v="6.2447616000000004"/>
    <s v="Kg"/>
    <n v="35000000"/>
    <n v="218566656"/>
    <s v="FEEDER-1600 1m 5w"/>
    <s v="Sheet"/>
    <b v="0"/>
  </r>
  <r>
    <x v="2"/>
    <x v="15"/>
    <n v="22"/>
    <s v="آهن"/>
    <x v="20"/>
    <s v="115 X 185"/>
    <n v="2"/>
    <n v="1.8"/>
    <s v="Kg"/>
    <n v="5200000"/>
    <n v="9360000"/>
    <s v="FEEDER-1600 1m 5w"/>
    <s v="Sheet"/>
    <b v="0"/>
  </r>
  <r>
    <x v="2"/>
    <x v="15"/>
    <n v="23"/>
    <m/>
    <x v="21"/>
    <s v="425 X 265"/>
    <n v="2"/>
    <n v="1.2"/>
    <s v="Kg"/>
    <n v="5200000"/>
    <n v="6240000"/>
    <s v="FEEDER-1600 1m 5w"/>
    <s v="Sheet"/>
    <b v="0"/>
  </r>
  <r>
    <x v="2"/>
    <x v="15"/>
    <n v="24"/>
    <s v="الومینیوم"/>
    <x v="22"/>
    <s v="263*157"/>
    <n v="2"/>
    <n v="0.83378799999999997"/>
    <s v="Kg"/>
    <n v="8500000"/>
    <n v="7087198"/>
    <s v="FEEDER-1600 1m 5w"/>
    <s v="Sheet"/>
    <b v="0"/>
  </r>
  <r>
    <x v="2"/>
    <x v="15"/>
    <n v="25"/>
    <s v="پلی امید"/>
    <x v="23"/>
    <n v="0.18"/>
    <s v="2"/>
    <s v="2"/>
    <s v="PCS"/>
    <n v="1014000"/>
    <n v="2028000"/>
    <s v="FEEDER-1600 1m 5w"/>
    <s v="Sheet"/>
    <b v="0"/>
  </r>
  <r>
    <x v="2"/>
    <x v="15"/>
    <n v="26"/>
    <m/>
    <x v="24"/>
    <n v="0.2"/>
    <n v="4"/>
    <n v="4"/>
    <s v="PCS"/>
    <n v="1014000"/>
    <n v="4056000"/>
    <s v="FEEDER-1600 1m 5w"/>
    <s v="Sheet"/>
    <b v="0"/>
  </r>
  <r>
    <x v="2"/>
    <x v="15"/>
    <n v="27"/>
    <s v="ABS"/>
    <x v="25"/>
    <s v="80 mm"/>
    <n v="1"/>
    <n v="1"/>
    <s v="PCS"/>
    <n v="100000"/>
    <n v="100000"/>
    <s v="FEEDER-1600 1m 5w"/>
    <s v="Sheet"/>
    <b v="0"/>
  </r>
  <r>
    <x v="2"/>
    <x v="15"/>
    <n v="28"/>
    <s v="پیچ و مهره"/>
    <x v="26"/>
    <m/>
    <n v="2"/>
    <n v="2"/>
    <s v="PCS"/>
    <n v="2400000"/>
    <n v="4800000"/>
    <s v="FEEDER-1600 1m 5w"/>
    <s v="Sheet"/>
    <b v="0"/>
  </r>
  <r>
    <x v="2"/>
    <x v="15"/>
    <n v="29"/>
    <m/>
    <x v="27"/>
    <m/>
    <n v="2"/>
    <n v="2"/>
    <s v="PCS"/>
    <n v="2400000"/>
    <n v="4800000"/>
    <s v="FEEDER-1600 1m 5w"/>
    <s v="Sheet"/>
    <b v="0"/>
  </r>
  <r>
    <x v="2"/>
    <x v="15"/>
    <n v="30"/>
    <m/>
    <x v="28"/>
    <m/>
    <n v="2"/>
    <n v="2"/>
    <s v="PCS"/>
    <n v="3000000"/>
    <n v="6000000"/>
    <s v="FEEDER-1600 1m 5w"/>
    <s v="Sheet"/>
    <b v="0"/>
  </r>
  <r>
    <x v="2"/>
    <x v="15"/>
    <n v="31"/>
    <s v="نوار IP"/>
    <x v="29"/>
    <m/>
    <n v="2"/>
    <n v="2"/>
    <s v="PCS"/>
    <n v="1300000"/>
    <n v="2600000"/>
    <s v="FEEDER-1600 1m 5w"/>
    <s v="Sheet"/>
    <b v="0"/>
  </r>
  <r>
    <x v="2"/>
    <x v="15"/>
    <n v="32"/>
    <s v="نوار IP"/>
    <x v="30"/>
    <m/>
    <n v="4"/>
    <n v="2.8119999999999998"/>
    <s v="m"/>
    <n v="460000"/>
    <n v="1293520"/>
    <s v="FEEDER-1600 1m 5w"/>
    <s v="Sheet"/>
    <b v="0"/>
  </r>
  <r>
    <x v="2"/>
    <x v="15"/>
    <n v="33"/>
    <s v="ترموفیت"/>
    <x v="31"/>
    <n v="50"/>
    <n v="10"/>
    <n v="1"/>
    <s v="m "/>
    <n v="12655280.000000002"/>
    <n v="12655280.000000002"/>
    <s v="FEEDER-1600 1m 5w"/>
    <s v="Sheet"/>
    <b v="0"/>
  </r>
  <r>
    <x v="2"/>
    <x v="15"/>
    <n v="28"/>
    <m/>
    <x v="32"/>
    <m/>
    <m/>
    <n v="8"/>
    <s v="h"/>
    <n v="13000000"/>
    <n v="104000000"/>
    <s v="FEEDER-1600 1m 5w"/>
    <s v="Sheet"/>
    <b v="0"/>
  </r>
  <r>
    <x v="2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2"/>
    <x v="1"/>
    <n v="2"/>
    <m/>
    <x v="1"/>
    <n v="0"/>
    <n v="0"/>
    <n v="0"/>
    <s v="Kg"/>
    <n v="8500000"/>
    <n v="0"/>
    <s v="Vertical elbow"/>
    <s v="Sheet"/>
    <b v="0"/>
  </r>
  <r>
    <x v="2"/>
    <x v="1"/>
    <n v="3"/>
    <m/>
    <x v="84"/>
    <n v="0.70299999999999996"/>
    <n v="2"/>
    <n v="3.6556000000000002"/>
    <s v="Kg"/>
    <n v="8500000"/>
    <n v="31072599.999999996"/>
    <s v="Vertical elbow"/>
    <s v="Sheet"/>
    <b v="0"/>
  </r>
  <r>
    <x v="2"/>
    <x v="1"/>
    <n v="4"/>
    <m/>
    <x v="3"/>
    <n v="120"/>
    <n v="4"/>
    <n v="0.48"/>
    <s v="Kg"/>
    <n v="8500000"/>
    <n v="4080000"/>
    <s v="Vertical elbow"/>
    <s v="Sheet"/>
    <b v="0"/>
  </r>
  <r>
    <x v="2"/>
    <x v="1"/>
    <n v="5"/>
    <m/>
    <x v="4"/>
    <n v="180"/>
    <n v="4"/>
    <n v="1.376352"/>
    <s v="Kg"/>
    <n v="8500000"/>
    <n v="11698992"/>
    <s v="Vertical elbow"/>
    <s v="Sheet"/>
    <b v="0"/>
  </r>
  <r>
    <x v="2"/>
    <x v="1"/>
    <n v="6"/>
    <m/>
    <x v="5"/>
    <n v="0.96299999999999997"/>
    <n v="4"/>
    <n v="10.982822400000002"/>
    <s v="Kg"/>
    <n v="8500000"/>
    <n v="93353990.400000021"/>
    <s v="Vertical elbow"/>
    <s v="Sheet"/>
    <b v="0"/>
  </r>
  <r>
    <x v="2"/>
    <x v="1"/>
    <n v="7"/>
    <s v="عایق ها"/>
    <x v="6"/>
    <n v="0.13"/>
    <n v="1.4791679999999998"/>
    <n v="1.4791679999999998"/>
    <s v="M2"/>
    <n v="4275000"/>
    <n v="6323443.1999999993"/>
    <s v="Vertical elbow"/>
    <s v="Sheet"/>
    <b v="0"/>
  </r>
  <r>
    <x v="2"/>
    <x v="1"/>
    <n v="8"/>
    <m/>
    <x v="7"/>
    <n v="0.35"/>
    <n v="0"/>
    <n v="0"/>
    <s v="Kg"/>
    <n v="35750000"/>
    <n v="0"/>
    <s v="Vertical elbow"/>
    <s v="Sheet"/>
    <b v="0"/>
  </r>
  <r>
    <x v="2"/>
    <x v="1"/>
    <n v="9"/>
    <m/>
    <x v="7"/>
    <n v="0.2"/>
    <n v="0.7395839999999998"/>
    <n v="0.7395839999999998"/>
    <s v="Kg"/>
    <n v="45760000"/>
    <n v="33843363.839999996"/>
    <s v="Vertical elbow"/>
    <s v="Sheet"/>
    <b v="0"/>
  </r>
  <r>
    <x v="2"/>
    <x v="1"/>
    <n v="10"/>
    <s v="رنگ بدنه"/>
    <x v="8"/>
    <m/>
    <n v="5.8059999999999992"/>
    <n v="5.8059999999999992"/>
    <s v="PCS"/>
    <n v="1430000"/>
    <n v="8302579.9999999981"/>
    <s v="Vertical elbow"/>
    <s v="Sheet"/>
    <b v="0"/>
  </r>
  <r>
    <x v="2"/>
    <x v="1"/>
    <n v="11"/>
    <s v="قلع"/>
    <x v="9"/>
    <m/>
    <s v="8"/>
    <s v="8"/>
    <s v="Kg"/>
    <n v="3000000"/>
    <n v="24000000"/>
    <s v="Vertical elbow"/>
    <s v="Sheet"/>
    <b v="0"/>
  </r>
  <r>
    <x v="2"/>
    <x v="1"/>
    <n v="12"/>
    <m/>
    <x v="10"/>
    <m/>
    <n v="10.982822400000002"/>
    <n v="10.982822400000002"/>
    <s v="PCS"/>
    <n v="3600000"/>
    <n v="39538160.640000008"/>
    <s v="Vertical elbow"/>
    <s v="Sheet"/>
    <b v="0"/>
  </r>
  <r>
    <x v="2"/>
    <x v="1"/>
    <n v="13"/>
    <s v="چسب"/>
    <x v="11"/>
    <m/>
    <n v="3.8519999999999999"/>
    <n v="3.8519999999999999"/>
    <s v="PCS"/>
    <n v="3600000"/>
    <n v="13867200"/>
    <s v="Vertical elbow"/>
    <s v="Sheet"/>
    <b v="0"/>
  </r>
  <r>
    <x v="2"/>
    <x v="1"/>
    <n v="14"/>
    <m/>
    <x v="12"/>
    <m/>
    <n v="0.1"/>
    <n v="0.1"/>
    <s v="PCS"/>
    <n v="5500000"/>
    <n v="550000"/>
    <s v="Vertical elbow"/>
    <s v="Sheet"/>
    <b v="0"/>
  </r>
  <r>
    <x v="2"/>
    <x v="1"/>
    <n v="15"/>
    <s v="پیچ و مهره"/>
    <x v="13"/>
    <m/>
    <n v="20"/>
    <n v="20"/>
    <s v="PCS"/>
    <n v="200000"/>
    <n v="4000000"/>
    <s v="Vertical elbow"/>
    <s v="Sheet"/>
    <b v="0"/>
  </r>
  <r>
    <x v="2"/>
    <x v="1"/>
    <n v="16"/>
    <m/>
    <x v="14"/>
    <m/>
    <n v="8"/>
    <n v="8"/>
    <s v="PCS"/>
    <n v="200000"/>
    <n v="1600000"/>
    <s v="Vertical elbow"/>
    <s v="Sheet"/>
    <b v="0"/>
  </r>
  <r>
    <x v="2"/>
    <x v="1"/>
    <n v="17"/>
    <m/>
    <x v="15"/>
    <m/>
    <n v="28"/>
    <n v="28"/>
    <s v="PCS"/>
    <n v="200000"/>
    <n v="5600000"/>
    <s v="Vertical elbow"/>
    <s v="Sheet"/>
    <b v="0"/>
  </r>
  <r>
    <x v="2"/>
    <x v="1"/>
    <n v="18"/>
    <m/>
    <x v="16"/>
    <m/>
    <n v="16"/>
    <n v="16"/>
    <s v="PCS"/>
    <n v="400000"/>
    <n v="6400000"/>
    <s v="Vertical elbow"/>
    <s v="Sheet"/>
    <b v="0"/>
  </r>
  <r>
    <x v="2"/>
    <x v="1"/>
    <n v="19"/>
    <m/>
    <x v="17"/>
    <m/>
    <n v="16"/>
    <n v="16"/>
    <s v="PCS"/>
    <n v="120000"/>
    <n v="1920000"/>
    <s v="Vertical elbow"/>
    <s v="Sheet"/>
    <b v="0"/>
  </r>
  <r>
    <x v="2"/>
    <x v="1"/>
    <n v="20"/>
    <m/>
    <x v="18"/>
    <m/>
    <n v="24"/>
    <n v="24"/>
    <s v="PCS"/>
    <n v="400000"/>
    <n v="9600000"/>
    <s v="Vertical elbow"/>
    <s v="Sheet"/>
    <b v="0"/>
  </r>
  <r>
    <x v="2"/>
    <x v="1"/>
    <n v="21"/>
    <s v="مس"/>
    <x v="19"/>
    <n v="132"/>
    <s v="8"/>
    <n v="4.9958092800000005"/>
    <s v="Kg"/>
    <n v="35000000"/>
    <n v="174853324.80000001"/>
    <s v="Vertical elbow"/>
    <s v="Sheet"/>
    <b v="0"/>
  </r>
  <r>
    <x v="2"/>
    <x v="1"/>
    <n v="22"/>
    <s v="آهن"/>
    <x v="20"/>
    <s v="115 X 185"/>
    <n v="2"/>
    <n v="1.8"/>
    <s v="Kg"/>
    <n v="5200000"/>
    <n v="9360000"/>
    <s v="Vertical elbow"/>
    <s v="Sheet"/>
    <b v="0"/>
  </r>
  <r>
    <x v="2"/>
    <x v="1"/>
    <n v="23"/>
    <m/>
    <x v="21"/>
    <s v="425 X 265"/>
    <n v="2"/>
    <n v="1.2"/>
    <s v="Kg"/>
    <n v="5200000"/>
    <n v="6240000"/>
    <s v="Vertical elbow"/>
    <s v="Sheet"/>
    <b v="0"/>
  </r>
  <r>
    <x v="2"/>
    <x v="1"/>
    <n v="24"/>
    <s v="الومینیوم"/>
    <x v="22"/>
    <s v="263*157"/>
    <n v="2"/>
    <n v="0.83378799999999997"/>
    <s v="Kg"/>
    <n v="8500000"/>
    <n v="7087198"/>
    <s v="Vertical elbow"/>
    <s v="Sheet"/>
    <b v="0"/>
  </r>
  <r>
    <x v="2"/>
    <x v="1"/>
    <n v="25"/>
    <s v="پلی امید"/>
    <x v="23"/>
    <n v="0.18"/>
    <n v="2"/>
    <n v="2"/>
    <s v="PCS"/>
    <n v="1014000"/>
    <n v="2028000"/>
    <s v="Vertical elbow"/>
    <s v="Sheet"/>
    <b v="0"/>
  </r>
  <r>
    <x v="2"/>
    <x v="1"/>
    <n v="26"/>
    <m/>
    <x v="24"/>
    <n v="0.2"/>
    <n v="3"/>
    <n v="3"/>
    <s v="PCS"/>
    <n v="1014000"/>
    <n v="3042000"/>
    <s v="Vertical elbow"/>
    <s v="Sheet"/>
    <b v="0"/>
  </r>
  <r>
    <x v="2"/>
    <x v="1"/>
    <n v="27"/>
    <s v="ABS"/>
    <x v="25"/>
    <s v="80 mm"/>
    <n v="1"/>
    <n v="1"/>
    <s v="PCS"/>
    <n v="100000"/>
    <n v="100000"/>
    <s v="Vertical elbow"/>
    <s v="Sheet"/>
    <b v="0"/>
  </r>
  <r>
    <x v="2"/>
    <x v="1"/>
    <n v="28"/>
    <s v="پیچ و مهره"/>
    <x v="26"/>
    <m/>
    <n v="2"/>
    <n v="2"/>
    <s v="PCS"/>
    <n v="2400000"/>
    <n v="4800000"/>
    <s v="Vertical elbow"/>
    <s v="Sheet"/>
    <b v="0"/>
  </r>
  <r>
    <x v="2"/>
    <x v="1"/>
    <n v="29"/>
    <m/>
    <x v="27"/>
    <m/>
    <n v="2"/>
    <n v="2"/>
    <s v="PCS"/>
    <n v="2400000"/>
    <n v="4800000"/>
    <s v="Vertical elbow"/>
    <s v="Sheet"/>
    <b v="0"/>
  </r>
  <r>
    <x v="2"/>
    <x v="1"/>
    <n v="30"/>
    <m/>
    <x v="28"/>
    <m/>
    <n v="2"/>
    <n v="2"/>
    <s v="PCS"/>
    <n v="3000000"/>
    <n v="6000000"/>
    <s v="Vertical elbow"/>
    <s v="Sheet"/>
    <b v="0"/>
  </r>
  <r>
    <x v="2"/>
    <x v="1"/>
    <n v="31"/>
    <s v="جوش"/>
    <x v="33"/>
    <m/>
    <n v="1"/>
    <n v="2"/>
    <s v="PCS"/>
    <n v="30000000"/>
    <n v="60000000"/>
    <s v="Vertical elbow"/>
    <s v="Sheet"/>
    <b v="0"/>
  </r>
  <r>
    <x v="2"/>
    <x v="1"/>
    <n v="32"/>
    <m/>
    <x v="34"/>
    <m/>
    <n v="1"/>
    <n v="4"/>
    <m/>
    <n v="19000000"/>
    <n v="76000000"/>
    <s v="Vertical elbow"/>
    <s v="Sheet"/>
    <b v="0"/>
  </r>
  <r>
    <x v="2"/>
    <x v="1"/>
    <n v="33"/>
    <s v="نوار IP"/>
    <x v="29"/>
    <m/>
    <n v="2"/>
    <n v="2"/>
    <s v="PCS"/>
    <n v="1300000"/>
    <n v="2600000"/>
    <s v="Vertical elbow"/>
    <s v="Sheet"/>
    <b v="0"/>
  </r>
  <r>
    <x v="2"/>
    <x v="1"/>
    <n v="34"/>
    <s v="نوار IP"/>
    <x v="30"/>
    <m/>
    <n v="4"/>
    <n v="2.8119999999999998"/>
    <s v="m"/>
    <n v="460000"/>
    <n v="1293520"/>
    <s v="Vertical elbow"/>
    <s v="Sheet"/>
    <b v="0"/>
  </r>
  <r>
    <x v="2"/>
    <x v="1"/>
    <n v="35"/>
    <s v="ترموفیت"/>
    <x v="31"/>
    <n v="50"/>
    <n v="8"/>
    <n v="0.8"/>
    <s v="m "/>
    <n v="12655280.000000002"/>
    <n v="10124224.000000002"/>
    <s v="Vertical elbow"/>
    <s v="Sheet"/>
    <b v="0"/>
  </r>
  <r>
    <x v="2"/>
    <x v="1"/>
    <n v="28"/>
    <m/>
    <x v="32"/>
    <m/>
    <m/>
    <n v="10"/>
    <s v="h"/>
    <n v="13000000"/>
    <n v="130000000"/>
    <s v="Vertical elbow"/>
    <s v="Sheet"/>
    <b v="0"/>
  </r>
  <r>
    <x v="2"/>
    <x v="1"/>
    <n v="29"/>
    <m/>
    <x v="35"/>
    <m/>
    <m/>
    <n v="0"/>
    <s v="%"/>
    <m/>
    <n v="0"/>
    <s v="Vertical elbow"/>
    <s v="Sheet"/>
    <b v="0"/>
  </r>
  <r>
    <x v="2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2"/>
    <x v="2"/>
    <n v="2"/>
    <m/>
    <x v="1"/>
    <n v="0"/>
    <n v="0"/>
    <n v="0"/>
    <s v="Kg"/>
    <n v="8500000"/>
    <n v="0"/>
    <s v="Horizontal elbow"/>
    <s v="Sheet"/>
    <b v="0"/>
  </r>
  <r>
    <x v="2"/>
    <x v="2"/>
    <n v="3"/>
    <m/>
    <x v="84"/>
    <n v="0.33500000000000002"/>
    <n v="2"/>
    <n v="1.7420000000000002"/>
    <s v="Kg"/>
    <n v="8500000"/>
    <n v="14807000.000000002"/>
    <s v="Horizontal elbow"/>
    <s v="Sheet"/>
    <b v="0"/>
  </r>
  <r>
    <x v="2"/>
    <x v="2"/>
    <n v="4"/>
    <m/>
    <x v="3"/>
    <n v="120"/>
    <n v="4"/>
    <n v="0.48"/>
    <s v="Kg"/>
    <n v="8500000"/>
    <n v="4080000"/>
    <s v="Horizontal elbow"/>
    <s v="Sheet"/>
    <b v="0"/>
  </r>
  <r>
    <x v="2"/>
    <x v="2"/>
    <n v="5"/>
    <m/>
    <x v="4"/>
    <n v="180"/>
    <n v="4"/>
    <n v="1.376352"/>
    <s v="Kg"/>
    <n v="8500000"/>
    <n v="11698992"/>
    <s v="Horizontal elbow"/>
    <s v="Sheet"/>
    <b v="0"/>
  </r>
  <r>
    <x v="2"/>
    <x v="2"/>
    <n v="6"/>
    <m/>
    <x v="5"/>
    <n v="0.55800000000000005"/>
    <n v="4"/>
    <n v="6.3638783999999999"/>
    <s v="Kg"/>
    <n v="8500000"/>
    <n v="54092966.399999999"/>
    <s v="Horizontal elbow"/>
    <s v="Sheet"/>
    <b v="0"/>
  </r>
  <r>
    <x v="2"/>
    <x v="2"/>
    <n v="7"/>
    <s v="عایق ها"/>
    <x v="6"/>
    <n v="0.13"/>
    <n v="0.85708799999999996"/>
    <n v="0.85708799999999996"/>
    <s v="M2"/>
    <n v="4275000"/>
    <n v="3664051.2"/>
    <s v="Horizontal elbow"/>
    <s v="Sheet"/>
    <b v="0"/>
  </r>
  <r>
    <x v="2"/>
    <x v="2"/>
    <n v="8"/>
    <m/>
    <x v="7"/>
    <n v="0.35"/>
    <n v="0"/>
    <n v="0"/>
    <s v="Kg"/>
    <n v="35750000"/>
    <n v="0"/>
    <s v="Horizontal elbow"/>
    <s v="Sheet"/>
    <b v="0"/>
  </r>
  <r>
    <x v="2"/>
    <x v="2"/>
    <n v="9"/>
    <m/>
    <x v="7"/>
    <n v="0.2"/>
    <n v="0.42854399999999998"/>
    <n v="0.42854399999999998"/>
    <s v="Kg"/>
    <n v="45760000"/>
    <n v="19610173.440000001"/>
    <s v="Horizontal elbow"/>
    <s v="Sheet"/>
    <b v="0"/>
  </r>
  <r>
    <x v="2"/>
    <x v="2"/>
    <n v="10"/>
    <s v="رنگ بدنه"/>
    <x v="8"/>
    <m/>
    <n v="2.68"/>
    <n v="2.68"/>
    <s v="PCS"/>
    <n v="1430000"/>
    <n v="3832400"/>
    <s v="Horizontal elbow"/>
    <s v="Sheet"/>
    <b v="0"/>
  </r>
  <r>
    <x v="2"/>
    <x v="2"/>
    <n v="11"/>
    <s v="قلع"/>
    <x v="9"/>
    <m/>
    <s v="8"/>
    <s v="8"/>
    <s v="Kg"/>
    <n v="3000000"/>
    <n v="24000000"/>
    <s v="Horizontal elbow"/>
    <s v="Sheet"/>
    <b v="0"/>
  </r>
  <r>
    <x v="2"/>
    <x v="2"/>
    <n v="12"/>
    <m/>
    <x v="10"/>
    <m/>
    <n v="6.3638783999999999"/>
    <n v="6.3638783999999999"/>
    <s v="PCS"/>
    <n v="3600000"/>
    <n v="22909962.239999998"/>
    <s v="Horizontal elbow"/>
    <s v="Sheet"/>
    <b v="0"/>
  </r>
  <r>
    <x v="2"/>
    <x v="2"/>
    <n v="13"/>
    <s v="چسب"/>
    <x v="11"/>
    <m/>
    <n v="2.2320000000000002"/>
    <n v="2.2320000000000002"/>
    <s v="PCS"/>
    <n v="3600000"/>
    <n v="8035200.0000000019"/>
    <s v="Horizontal elbow"/>
    <s v="Sheet"/>
    <b v="0"/>
  </r>
  <r>
    <x v="2"/>
    <x v="2"/>
    <n v="14"/>
    <m/>
    <x v="12"/>
    <m/>
    <n v="0.1"/>
    <n v="0.1"/>
    <s v="PCS"/>
    <n v="5500000"/>
    <n v="550000"/>
    <s v="Horizontal elbow"/>
    <s v="Sheet"/>
    <b v="0"/>
  </r>
  <r>
    <x v="2"/>
    <x v="2"/>
    <n v="15"/>
    <s v="پیچ و مهره"/>
    <x v="13"/>
    <m/>
    <n v="20"/>
    <n v="20"/>
    <s v="PCS"/>
    <n v="200000"/>
    <n v="4000000"/>
    <s v="Horizontal elbow"/>
    <s v="Sheet"/>
    <b v="0"/>
  </r>
  <r>
    <x v="2"/>
    <x v="2"/>
    <n v="16"/>
    <m/>
    <x v="14"/>
    <m/>
    <n v="8"/>
    <n v="8"/>
    <s v="PCS"/>
    <n v="200000"/>
    <n v="1600000"/>
    <s v="Horizontal elbow"/>
    <s v="Sheet"/>
    <b v="0"/>
  </r>
  <r>
    <x v="2"/>
    <x v="2"/>
    <n v="17"/>
    <m/>
    <x v="15"/>
    <m/>
    <n v="16"/>
    <n v="16"/>
    <s v="PCS"/>
    <n v="200000"/>
    <n v="3200000"/>
    <s v="Horizontal elbow"/>
    <s v="Sheet"/>
    <b v="0"/>
  </r>
  <r>
    <x v="2"/>
    <x v="2"/>
    <n v="18"/>
    <m/>
    <x v="16"/>
    <m/>
    <n v="16"/>
    <n v="16"/>
    <s v="PCS"/>
    <n v="400000"/>
    <n v="6400000"/>
    <s v="Horizontal elbow"/>
    <s v="Sheet"/>
    <b v="0"/>
  </r>
  <r>
    <x v="2"/>
    <x v="2"/>
    <n v="19"/>
    <m/>
    <x v="17"/>
    <m/>
    <n v="16"/>
    <n v="16"/>
    <s v="PCS"/>
    <n v="120000"/>
    <n v="1920000"/>
    <s v="Horizontal elbow"/>
    <s v="Sheet"/>
    <b v="0"/>
  </r>
  <r>
    <x v="2"/>
    <x v="2"/>
    <n v="20"/>
    <m/>
    <x v="18"/>
    <m/>
    <n v="24"/>
    <n v="24"/>
    <s v="PCS"/>
    <n v="400000"/>
    <n v="9600000"/>
    <s v="Horizontal elbow"/>
    <s v="Sheet"/>
    <b v="0"/>
  </r>
  <r>
    <x v="2"/>
    <x v="2"/>
    <n v="21"/>
    <s v="مس"/>
    <x v="19"/>
    <n v="132"/>
    <s v="8"/>
    <n v="4.9958092800000005"/>
    <s v="Kg"/>
    <n v="35000000"/>
    <n v="174853324.80000001"/>
    <s v="Horizontal elbow"/>
    <s v="Sheet"/>
    <b v="0"/>
  </r>
  <r>
    <x v="2"/>
    <x v="2"/>
    <n v="22"/>
    <s v="آهن"/>
    <x v="20"/>
    <s v="115 X 185"/>
    <n v="2"/>
    <n v="1.8"/>
    <s v="Kg"/>
    <n v="5200000"/>
    <n v="9360000"/>
    <s v="Horizontal elbow"/>
    <s v="Sheet"/>
    <b v="0"/>
  </r>
  <r>
    <x v="2"/>
    <x v="2"/>
    <n v="23"/>
    <m/>
    <x v="21"/>
    <s v="425 X 265"/>
    <n v="2"/>
    <n v="1.2"/>
    <s v="Kg"/>
    <n v="5200000"/>
    <n v="6240000"/>
    <s v="Horizontal elbow"/>
    <s v="Sheet"/>
    <b v="0"/>
  </r>
  <r>
    <x v="2"/>
    <x v="2"/>
    <n v="24"/>
    <s v="الومینیوم"/>
    <x v="22"/>
    <s v="263*157"/>
    <n v="2"/>
    <n v="0.83378799999999997"/>
    <s v="Kg"/>
    <n v="8500000"/>
    <n v="7087198"/>
    <s v="Horizontal elbow"/>
    <s v="Sheet"/>
    <b v="0"/>
  </r>
  <r>
    <x v="2"/>
    <x v="2"/>
    <n v="25"/>
    <s v="پلی امید"/>
    <x v="23"/>
    <n v="0.18"/>
    <n v="2"/>
    <n v="2"/>
    <s v="PCS"/>
    <n v="1014000"/>
    <n v="2028000"/>
    <s v="Horizontal elbow"/>
    <s v="Sheet"/>
    <b v="0"/>
  </r>
  <r>
    <x v="2"/>
    <x v="2"/>
    <n v="26"/>
    <m/>
    <x v="24"/>
    <n v="0.2"/>
    <n v="3"/>
    <n v="3"/>
    <s v="PCS"/>
    <n v="1014000"/>
    <n v="3042000"/>
    <s v="Horizontal elbow"/>
    <s v="Sheet"/>
    <b v="0"/>
  </r>
  <r>
    <x v="2"/>
    <x v="2"/>
    <n v="27"/>
    <s v="ABS"/>
    <x v="25"/>
    <s v="80 mm"/>
    <n v="1"/>
    <n v="1"/>
    <s v="PCS"/>
    <n v="100000"/>
    <n v="100000"/>
    <s v="Horizontal elbow"/>
    <s v="Sheet"/>
    <b v="0"/>
  </r>
  <r>
    <x v="2"/>
    <x v="2"/>
    <n v="28"/>
    <s v="پیچ و مهره"/>
    <x v="26"/>
    <m/>
    <n v="2"/>
    <n v="2"/>
    <s v="PCS"/>
    <n v="2400000"/>
    <n v="4800000"/>
    <s v="Horizontal elbow"/>
    <s v="Sheet"/>
    <b v="0"/>
  </r>
  <r>
    <x v="2"/>
    <x v="2"/>
    <n v="29"/>
    <m/>
    <x v="27"/>
    <m/>
    <n v="2"/>
    <n v="2"/>
    <s v="PCS"/>
    <n v="2400000"/>
    <n v="4800000"/>
    <s v="Horizontal elbow"/>
    <s v="Sheet"/>
    <b v="0"/>
  </r>
  <r>
    <x v="2"/>
    <x v="2"/>
    <n v="30"/>
    <m/>
    <x v="28"/>
    <m/>
    <n v="2"/>
    <n v="2"/>
    <s v="PCS"/>
    <n v="3000000"/>
    <n v="6000000"/>
    <s v="Horizontal elbow"/>
    <s v="Sheet"/>
    <b v="0"/>
  </r>
  <r>
    <x v="2"/>
    <x v="2"/>
    <n v="31"/>
    <s v="جوش"/>
    <x v="33"/>
    <m/>
    <n v="1"/>
    <n v="2"/>
    <s v="PCS"/>
    <n v="30000000"/>
    <n v="60000000"/>
    <s v="Horizontal elbow"/>
    <s v="Sheet"/>
    <b v="0"/>
  </r>
  <r>
    <x v="2"/>
    <x v="2"/>
    <n v="32"/>
    <m/>
    <x v="34"/>
    <m/>
    <n v="1"/>
    <n v="0"/>
    <s v="PCS"/>
    <n v="19000000"/>
    <n v="0"/>
    <s v="Horizontal elbow"/>
    <s v="Sheet"/>
    <b v="0"/>
  </r>
  <r>
    <x v="2"/>
    <x v="2"/>
    <n v="33"/>
    <s v="نوار IP"/>
    <x v="29"/>
    <m/>
    <n v="2"/>
    <n v="2"/>
    <s v="PCS"/>
    <n v="1300000"/>
    <n v="2600000"/>
    <s v="Horizontal elbow"/>
    <s v="Sheet"/>
    <b v="0"/>
  </r>
  <r>
    <x v="2"/>
    <x v="2"/>
    <n v="34"/>
    <s v="نوار IP"/>
    <x v="30"/>
    <m/>
    <n v="4"/>
    <n v="1.34"/>
    <s v="m"/>
    <n v="460000"/>
    <n v="616400"/>
    <s v="Horizontal elbow"/>
    <s v="Sheet"/>
    <b v="0"/>
  </r>
  <r>
    <x v="2"/>
    <x v="2"/>
    <n v="35"/>
    <s v="ترموفیت"/>
    <x v="31"/>
    <n v="50"/>
    <n v="8"/>
    <n v="0.8"/>
    <s v="m "/>
    <n v="12655280.000000002"/>
    <n v="10124224.000000002"/>
    <s v="Horizontal elbow"/>
    <s v="Sheet"/>
    <b v="0"/>
  </r>
  <r>
    <x v="2"/>
    <x v="2"/>
    <n v="28"/>
    <m/>
    <x v="32"/>
    <m/>
    <m/>
    <n v="8"/>
    <s v="h"/>
    <n v="13000000"/>
    <n v="104000000"/>
    <s v="Horizontal elbow"/>
    <s v="Sheet"/>
    <b v="0"/>
  </r>
  <r>
    <x v="2"/>
    <x v="2"/>
    <n v="29"/>
    <m/>
    <x v="35"/>
    <m/>
    <m/>
    <n v="0"/>
    <s v="%"/>
    <m/>
    <n v="0"/>
    <s v="Horizontal elbow"/>
    <s v="Sheet"/>
    <b v="0"/>
  </r>
  <r>
    <x v="2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2"/>
    <x v="3"/>
    <n v="2"/>
    <m/>
    <x v="1"/>
    <n v="0"/>
    <n v="0"/>
    <n v="0"/>
    <s v="Kg"/>
    <n v="8500000"/>
    <n v="0"/>
    <s v="Flange end "/>
    <s v="Sheet"/>
    <b v="0"/>
  </r>
  <r>
    <x v="2"/>
    <x v="3"/>
    <n v="3"/>
    <m/>
    <x v="84"/>
    <n v="168"/>
    <n v="2"/>
    <n v="0.87360000000000004"/>
    <s v="Kg"/>
    <n v="8500000"/>
    <n v="7425600"/>
    <s v="Flange end "/>
    <s v="Sheet"/>
    <b v="0"/>
  </r>
  <r>
    <x v="2"/>
    <x v="3"/>
    <n v="4"/>
    <m/>
    <x v="3"/>
    <n v="120"/>
    <n v="4"/>
    <n v="0.48"/>
    <s v="Kg"/>
    <n v="8500000"/>
    <n v="4080000"/>
    <s v="Flange end "/>
    <s v="Sheet"/>
    <b v="0"/>
  </r>
  <r>
    <x v="2"/>
    <x v="3"/>
    <n v="5"/>
    <m/>
    <x v="4"/>
    <n v="180"/>
    <n v="2"/>
    <n v="0.68817600000000001"/>
    <s v="Kg"/>
    <n v="8500000"/>
    <n v="5849496"/>
    <s v="Flange end "/>
    <s v="Sheet"/>
    <b v="0"/>
  </r>
  <r>
    <x v="2"/>
    <x v="3"/>
    <n v="6"/>
    <m/>
    <x v="5"/>
    <n v="0.58799999999999997"/>
    <n v="4"/>
    <n v="6.706022400000001"/>
    <s v="Kg"/>
    <n v="8500000"/>
    <n v="57001190.400000006"/>
    <s v="Flange end "/>
    <s v="Sheet"/>
    <b v="0"/>
  </r>
  <r>
    <x v="2"/>
    <x v="3"/>
    <n v="7"/>
    <s v="عایق ها"/>
    <x v="6"/>
    <n v="0.13"/>
    <n v="0.90316799999999986"/>
    <n v="0.90316799999999986"/>
    <s v="M2"/>
    <n v="4275000"/>
    <n v="3861043.1999999993"/>
    <s v="Flange end "/>
    <s v="Sheet"/>
    <b v="0"/>
  </r>
  <r>
    <x v="2"/>
    <x v="3"/>
    <n v="8"/>
    <m/>
    <x v="7"/>
    <n v="0.35"/>
    <n v="0"/>
    <n v="0"/>
    <s v="Kg"/>
    <n v="35750000"/>
    <n v="0"/>
    <s v="Flange end "/>
    <s v="Sheet"/>
    <b v="0"/>
  </r>
  <r>
    <x v="2"/>
    <x v="3"/>
    <n v="9"/>
    <m/>
    <x v="7"/>
    <n v="0.2"/>
    <n v="0.45158399999999993"/>
    <n v="0.45158399999999993"/>
    <s v="Kg"/>
    <n v="45760000"/>
    <n v="20664483.839999996"/>
    <s v="Flange end "/>
    <s v="Sheet"/>
    <b v="0"/>
  </r>
  <r>
    <x v="2"/>
    <x v="3"/>
    <n v="10"/>
    <s v="رنگ بدنه"/>
    <x v="8"/>
    <m/>
    <n v="1.3440000000000001"/>
    <n v="1.3440000000000001"/>
    <s v="Kg"/>
    <n v="1430000"/>
    <n v="1921920"/>
    <s v="Flange end "/>
    <s v="Sheet"/>
    <b v="0"/>
  </r>
  <r>
    <x v="2"/>
    <x v="3"/>
    <n v="11"/>
    <s v="قلع"/>
    <x v="9"/>
    <m/>
    <n v="8"/>
    <n v="8"/>
    <s v="Kg"/>
    <n v="3000000"/>
    <n v="24000000"/>
    <s v="Flange end "/>
    <s v="Sheet"/>
    <b v="0"/>
  </r>
  <r>
    <x v="2"/>
    <x v="3"/>
    <n v="12"/>
    <m/>
    <x v="10"/>
    <m/>
    <n v="6.706022400000001"/>
    <n v="6.706022400000001"/>
    <s v="PCS"/>
    <n v="3600000"/>
    <n v="24141680.640000004"/>
    <s v="Flange end "/>
    <s v="Sheet"/>
    <b v="0"/>
  </r>
  <r>
    <x v="2"/>
    <x v="3"/>
    <n v="13"/>
    <s v="چسب"/>
    <x v="11"/>
    <m/>
    <n v="2.3519999999999999"/>
    <n v="2.3519999999999999"/>
    <s v="PCS"/>
    <n v="3600000"/>
    <n v="8467200"/>
    <s v="Flange end "/>
    <s v="Sheet"/>
    <b v="0"/>
  </r>
  <r>
    <x v="2"/>
    <x v="3"/>
    <n v="14"/>
    <m/>
    <x v="12"/>
    <m/>
    <n v="0.1"/>
    <n v="0.1"/>
    <s v="PCS"/>
    <n v="5500000"/>
    <n v="550000"/>
    <s v="Flange end "/>
    <s v="Sheet"/>
    <b v="0"/>
  </r>
  <r>
    <x v="2"/>
    <x v="3"/>
    <n v="15"/>
    <s v="پیچ و مهره"/>
    <x v="13"/>
    <m/>
    <s v="80"/>
    <n v="8"/>
    <s v="PCS"/>
    <n v="200000"/>
    <n v="1600000"/>
    <s v="Flange end "/>
    <s v="Sheet"/>
    <b v="0"/>
  </r>
  <r>
    <x v="2"/>
    <x v="3"/>
    <n v="16"/>
    <m/>
    <x v="14"/>
    <m/>
    <n v="8"/>
    <n v="8"/>
    <s v="PCS"/>
    <n v="200000"/>
    <n v="1600000"/>
    <s v="Flange end "/>
    <s v="Sheet"/>
    <b v="0"/>
  </r>
  <r>
    <x v="2"/>
    <x v="3"/>
    <n v="17"/>
    <m/>
    <x v="15"/>
    <m/>
    <n v="88"/>
    <n v="16"/>
    <s v="PCS"/>
    <n v="200000"/>
    <n v="3200000"/>
    <s v="Flange end "/>
    <s v="Sheet"/>
    <b v="0"/>
  </r>
  <r>
    <x v="2"/>
    <x v="3"/>
    <n v="18"/>
    <m/>
    <x v="16"/>
    <m/>
    <n v="16"/>
    <n v="16"/>
    <s v="PCS"/>
    <n v="400000"/>
    <n v="6400000"/>
    <s v="Flange end "/>
    <s v="Sheet"/>
    <b v="0"/>
  </r>
  <r>
    <x v="2"/>
    <x v="3"/>
    <n v="19"/>
    <m/>
    <x v="17"/>
    <m/>
    <n v="16"/>
    <n v="16"/>
    <s v="PCS"/>
    <n v="120000"/>
    <n v="1920000"/>
    <s v="Flange end "/>
    <s v="Sheet"/>
    <b v="0"/>
  </r>
  <r>
    <x v="2"/>
    <x v="3"/>
    <n v="20"/>
    <m/>
    <x v="18"/>
    <m/>
    <n v="24"/>
    <n v="24"/>
    <s v="PCS"/>
    <n v="400000"/>
    <n v="9600000"/>
    <s v="Flange end "/>
    <s v="Sheet"/>
    <b v="0"/>
  </r>
  <r>
    <x v="2"/>
    <x v="3"/>
    <n v="21"/>
    <s v="مس"/>
    <x v="19"/>
    <n v="132"/>
    <n v="8"/>
    <n v="4.9958092800000005"/>
    <s v="Kg"/>
    <n v="35000000"/>
    <n v="174853324.80000001"/>
    <s v="Flange end "/>
    <s v="Sheet"/>
    <b v="0"/>
  </r>
  <r>
    <x v="2"/>
    <x v="3"/>
    <n v="22"/>
    <s v="آهن"/>
    <x v="20"/>
    <s v="115 X 185"/>
    <n v="2"/>
    <n v="1.8"/>
    <s v="Kg"/>
    <n v="5200000"/>
    <n v="9360000"/>
    <s v="Flange end "/>
    <s v="Sheet"/>
    <b v="0"/>
  </r>
  <r>
    <x v="2"/>
    <x v="3"/>
    <n v="23"/>
    <m/>
    <x v="21"/>
    <s v="425 X 265"/>
    <n v="2"/>
    <n v="1.2"/>
    <s v="Kg"/>
    <n v="5200000"/>
    <n v="6240000"/>
    <s v="Flange end "/>
    <s v="Sheet"/>
    <b v="0"/>
  </r>
  <r>
    <x v="2"/>
    <x v="3"/>
    <n v="24"/>
    <s v="الومینیوم"/>
    <x v="22"/>
    <s v="263*157"/>
    <n v="2"/>
    <n v="0.83378799999999997"/>
    <s v="Kg"/>
    <n v="8500000"/>
    <n v="7087198"/>
    <s v="Flange end "/>
    <s v="Sheet"/>
    <b v="0"/>
  </r>
  <r>
    <x v="2"/>
    <x v="3"/>
    <n v="25"/>
    <s v="پلی امید"/>
    <x v="23"/>
    <n v="0.18"/>
    <s v="2"/>
    <s v="2"/>
    <s v="PCS"/>
    <n v="1014000"/>
    <n v="2028000"/>
    <s v="Flange end "/>
    <s v="Sheet"/>
    <b v="0"/>
  </r>
  <r>
    <x v="2"/>
    <x v="3"/>
    <n v="26"/>
    <m/>
    <x v="24"/>
    <n v="0.2"/>
    <s v="3"/>
    <s v="3"/>
    <s v="PCS"/>
    <n v="1014000"/>
    <n v="3042000"/>
    <s v="Flange end "/>
    <s v="Sheet"/>
    <b v="0"/>
  </r>
  <r>
    <x v="2"/>
    <x v="3"/>
    <n v="27"/>
    <s v="ABS"/>
    <x v="25"/>
    <s v="80 mm"/>
    <n v="1"/>
    <n v="1"/>
    <s v="PCS"/>
    <n v="100000"/>
    <n v="100000"/>
    <s v="Flange end "/>
    <s v="Sheet"/>
    <b v="0"/>
  </r>
  <r>
    <x v="2"/>
    <x v="3"/>
    <n v="28"/>
    <s v="پیچ و مهره"/>
    <x v="26"/>
    <m/>
    <n v="2"/>
    <n v="2"/>
    <s v="PCS"/>
    <n v="2400000"/>
    <n v="4800000"/>
    <s v="Flange end "/>
    <s v="Sheet"/>
    <b v="0"/>
  </r>
  <r>
    <x v="2"/>
    <x v="3"/>
    <n v="29"/>
    <m/>
    <x v="27"/>
    <m/>
    <n v="2"/>
    <n v="2"/>
    <s v="PCS"/>
    <n v="2400000"/>
    <n v="4800000"/>
    <s v="Flange end "/>
    <s v="Sheet"/>
    <b v="0"/>
  </r>
  <r>
    <x v="2"/>
    <x v="3"/>
    <n v="30"/>
    <m/>
    <x v="28"/>
    <m/>
    <n v="2"/>
    <n v="2"/>
    <s v="PCS"/>
    <n v="3000000"/>
    <n v="6000000"/>
    <s v="Flange end "/>
    <s v="Sheet"/>
    <b v="0"/>
  </r>
  <r>
    <x v="2"/>
    <x v="3"/>
    <n v="31"/>
    <s v="نوار IP"/>
    <x v="29"/>
    <m/>
    <n v="2"/>
    <n v="2"/>
    <s v="PCS"/>
    <n v="1300000"/>
    <n v="2600000"/>
    <s v="Flange end "/>
    <s v="Sheet"/>
    <b v="0"/>
  </r>
  <r>
    <x v="2"/>
    <x v="3"/>
    <n v="32"/>
    <s v="نوار IP"/>
    <x v="30"/>
    <m/>
    <n v="4"/>
    <n v="0.67200000000000004"/>
    <s v="m"/>
    <n v="460000"/>
    <n v="309120"/>
    <s v="Flange end "/>
    <s v="Sheet"/>
    <b v="0"/>
  </r>
  <r>
    <x v="2"/>
    <x v="3"/>
    <n v="33"/>
    <s v="ترموفیت"/>
    <x v="31"/>
    <n v="50"/>
    <n v="8"/>
    <n v="0.8"/>
    <s v="m "/>
    <n v="12655280.000000002"/>
    <n v="10124224.000000002"/>
    <s v="Flange end "/>
    <s v="Sheet"/>
    <b v="0"/>
  </r>
  <r>
    <x v="2"/>
    <x v="3"/>
    <n v="28"/>
    <m/>
    <x v="32"/>
    <m/>
    <m/>
    <n v="8"/>
    <s v="h"/>
    <n v="13000000"/>
    <n v="104000000"/>
    <s v="Flange end "/>
    <s v="Sheet"/>
    <b v="0"/>
  </r>
  <r>
    <x v="2"/>
    <x v="3"/>
    <n v="29"/>
    <m/>
    <x v="35"/>
    <m/>
    <m/>
    <n v="0"/>
    <s v="%"/>
    <m/>
    <n v="0"/>
    <s v="Flange end "/>
    <s v="Sheet"/>
    <b v="0"/>
  </r>
  <r>
    <x v="2"/>
    <x v="4"/>
    <n v="1"/>
    <s v="آهن"/>
    <x v="36"/>
    <m/>
    <n v="1"/>
    <n v="9"/>
    <s v="Kg"/>
    <n v="5200000"/>
    <n v="46800000"/>
    <s v="TOP OFF BOX 250"/>
    <s v="Sheet"/>
    <b v="0"/>
  </r>
  <r>
    <x v="2"/>
    <x v="4"/>
    <n v="4"/>
    <s v="مسی"/>
    <x v="37"/>
    <m/>
    <n v="4"/>
    <n v="0.5"/>
    <s v="Kg"/>
    <n v="22000000"/>
    <n v="11000000"/>
    <s v="TOP OFF BOX 250"/>
    <s v="Sheet"/>
    <b v="0"/>
  </r>
  <r>
    <x v="2"/>
    <x v="4"/>
    <n v="5"/>
    <m/>
    <x v="38"/>
    <m/>
    <n v="20"/>
    <n v="20"/>
    <s v="PCS"/>
    <n v="26000"/>
    <n v="520000"/>
    <s v="TOP OFF BOX 250"/>
    <s v="Sheet"/>
    <b v="0"/>
  </r>
  <r>
    <x v="2"/>
    <x v="4"/>
    <n v="6"/>
    <m/>
    <x v="39"/>
    <m/>
    <n v="6"/>
    <n v="6"/>
    <s v="PCS"/>
    <n v="195000"/>
    <n v="1170000"/>
    <s v="TOP OFF BOX 250"/>
    <s v="Sheet"/>
    <b v="0"/>
  </r>
  <r>
    <x v="2"/>
    <x v="4"/>
    <n v="7"/>
    <m/>
    <x v="40"/>
    <m/>
    <n v="20"/>
    <n v="20"/>
    <s v="PCS"/>
    <n v="13000"/>
    <n v="260000"/>
    <s v="TOP OFF BOX 250"/>
    <s v="Sheet"/>
    <b v="0"/>
  </r>
  <r>
    <x v="2"/>
    <x v="4"/>
    <n v="8"/>
    <m/>
    <x v="41"/>
    <m/>
    <n v="20"/>
    <n v="20"/>
    <s v="PCS"/>
    <n v="75000"/>
    <n v="1500000"/>
    <s v="TOP OFF BOX 250"/>
    <s v="Sheet"/>
    <b v="0"/>
  </r>
  <r>
    <x v="2"/>
    <x v="4"/>
    <n v="9"/>
    <m/>
    <x v="42"/>
    <m/>
    <n v="1"/>
    <n v="1"/>
    <s v="PCS"/>
    <n v="11250000"/>
    <n v="11250000"/>
    <s v="TOP OFF BOX 250"/>
    <s v="Sheet"/>
    <b v="0"/>
  </r>
  <r>
    <x v="2"/>
    <x v="4"/>
    <n v="10"/>
    <m/>
    <x v="43"/>
    <m/>
    <n v="1"/>
    <n v="1"/>
    <s v="PCS"/>
    <n v="7500000"/>
    <n v="7500000"/>
    <s v="TOP OFF BOX 250"/>
    <s v="Sheet"/>
    <b v="0"/>
  </r>
  <r>
    <x v="2"/>
    <x v="4"/>
    <n v="11"/>
    <m/>
    <x v="44"/>
    <m/>
    <n v="2"/>
    <n v="2"/>
    <s v="PCS"/>
    <n v="150000"/>
    <n v="300000"/>
    <s v="TOP OFF BOX 250"/>
    <s v="Sheet"/>
    <b v="0"/>
  </r>
  <r>
    <x v="2"/>
    <x v="4"/>
    <n v="12"/>
    <m/>
    <x v="45"/>
    <m/>
    <n v="2"/>
    <n v="2"/>
    <s v="PCS"/>
    <n v="100000"/>
    <n v="200000"/>
    <s v="TOP OFF BOX 250"/>
    <s v="Sheet"/>
    <b v="0"/>
  </r>
  <r>
    <x v="2"/>
    <x v="4"/>
    <n v="13"/>
    <m/>
    <x v="46"/>
    <m/>
    <n v="4"/>
    <n v="4"/>
    <s v="PCS"/>
    <n v="50000"/>
    <n v="200000"/>
    <s v="TOP OFF BOX 250"/>
    <s v="Sheet"/>
    <b v="0"/>
  </r>
  <r>
    <x v="2"/>
    <x v="4"/>
    <n v="14"/>
    <m/>
    <x v="47"/>
    <m/>
    <n v="2"/>
    <n v="2"/>
    <s v="PCS"/>
    <n v="100000"/>
    <n v="200000"/>
    <s v="TOP OFF BOX 250"/>
    <s v="Sheet"/>
    <b v="0"/>
  </r>
  <r>
    <x v="2"/>
    <x v="4"/>
    <n v="15"/>
    <m/>
    <x v="48"/>
    <m/>
    <n v="1"/>
    <n v="0.1"/>
    <s v="Kg"/>
    <n v="4200000"/>
    <n v="420000"/>
    <s v="TOP OFF BOX 250"/>
    <s v="Sheet"/>
    <b v="0"/>
  </r>
  <r>
    <x v="2"/>
    <x v="4"/>
    <n v="16"/>
    <m/>
    <x v="49"/>
    <m/>
    <n v="1"/>
    <n v="0.3"/>
    <s v="m"/>
    <m/>
    <n v="0"/>
    <s v="TOP OFF BOX 250"/>
    <s v="Sheet"/>
    <b v="0"/>
  </r>
  <r>
    <x v="2"/>
    <x v="4"/>
    <n v="17"/>
    <m/>
    <x v="50"/>
    <m/>
    <n v="1"/>
    <n v="0.15"/>
    <s v="m"/>
    <m/>
    <n v="0"/>
    <s v="TOP OFF BOX 250"/>
    <s v="Sheet"/>
    <b v="0"/>
  </r>
  <r>
    <x v="2"/>
    <x v="4"/>
    <n v="18"/>
    <m/>
    <x v="51"/>
    <m/>
    <n v="1"/>
    <m/>
    <s v="PCS"/>
    <m/>
    <n v="0"/>
    <s v="TOP OFF BOX 250"/>
    <s v="Sheet"/>
    <b v="0"/>
  </r>
  <r>
    <x v="2"/>
    <x v="4"/>
    <n v="19"/>
    <m/>
    <x v="52"/>
    <m/>
    <n v="1"/>
    <m/>
    <s v="PCS"/>
    <m/>
    <n v="0"/>
    <s v="TOP OFF BOX 250"/>
    <s v="Sheet"/>
    <b v="0"/>
  </r>
  <r>
    <x v="2"/>
    <x v="4"/>
    <n v="20"/>
    <m/>
    <x v="53"/>
    <m/>
    <n v="1"/>
    <m/>
    <s v="PCS"/>
    <m/>
    <n v="0"/>
    <s v="TOP OFF BOX 250"/>
    <s v="Sheet"/>
    <b v="0"/>
  </r>
  <r>
    <x v="2"/>
    <x v="4"/>
    <n v="21"/>
    <m/>
    <x v="54"/>
    <m/>
    <n v="1"/>
    <n v="1"/>
    <s v="PCS"/>
    <n v="74000000"/>
    <n v="74000000"/>
    <s v="TOP OFF BOX 250"/>
    <s v="Sheet"/>
    <b v="0"/>
  </r>
  <r>
    <x v="2"/>
    <x v="4"/>
    <n v="7"/>
    <m/>
    <x v="32"/>
    <m/>
    <m/>
    <n v="5"/>
    <s v="h"/>
    <n v="13000000"/>
    <n v="65000000"/>
    <s v="TOP OFF BOX 250"/>
    <s v="Sheet"/>
    <b v="0"/>
  </r>
  <r>
    <x v="2"/>
    <x v="4"/>
    <n v="8"/>
    <m/>
    <x v="35"/>
    <m/>
    <m/>
    <n v="0"/>
    <s v="%"/>
    <m/>
    <n v="0"/>
    <s v="TOP OFF BOX 250"/>
    <s v="Sheet"/>
    <b v="0"/>
  </r>
  <r>
    <x v="2"/>
    <x v="5"/>
    <n v="1"/>
    <s v="مس بافته شده"/>
    <x v="55"/>
    <m/>
    <n v="1"/>
    <n v="7"/>
    <s v="SET"/>
    <n v="20700000"/>
    <n v="144900000"/>
    <s v="Flexible connection"/>
    <s v="Sheet"/>
    <b v="0"/>
  </r>
  <r>
    <x v="2"/>
    <x v="5"/>
    <m/>
    <s v="قلع"/>
    <x v="10"/>
    <m/>
    <n v="0"/>
    <n v="10"/>
    <s v="Kg"/>
    <n v="3600000"/>
    <n v="36000000"/>
    <s v="Flexible connection"/>
    <s v="Sheet"/>
    <b v="0"/>
  </r>
  <r>
    <x v="2"/>
    <x v="5"/>
    <n v="3"/>
    <m/>
    <x v="56"/>
    <m/>
    <n v="16"/>
    <m/>
    <s v="PCS"/>
    <n v="50000"/>
    <n v="800000"/>
    <s v="Flexible connection"/>
    <s v="Sheet"/>
    <b v="0"/>
  </r>
  <r>
    <x v="2"/>
    <x v="5"/>
    <n v="4"/>
    <m/>
    <x v="57"/>
    <m/>
    <n v="16"/>
    <m/>
    <s v="PCS"/>
    <n v="15000"/>
    <n v="240000"/>
    <s v="Flexible connection"/>
    <s v="Sheet"/>
    <b v="0"/>
  </r>
  <r>
    <x v="2"/>
    <x v="5"/>
    <n v="5"/>
    <m/>
    <x v="58"/>
    <m/>
    <n v="32"/>
    <m/>
    <s v="PCS"/>
    <n v="5000"/>
    <n v="160000"/>
    <s v="Flexible connection"/>
    <s v="Sheet"/>
    <b v="0"/>
  </r>
  <r>
    <x v="2"/>
    <x v="5"/>
    <n v="6"/>
    <m/>
    <x v="59"/>
    <m/>
    <n v="16"/>
    <m/>
    <s v="PCS"/>
    <n v="5000"/>
    <n v="80000"/>
    <s v="Flexible connection"/>
    <s v="Sheet"/>
    <b v="0"/>
  </r>
  <r>
    <x v="2"/>
    <x v="5"/>
    <n v="7"/>
    <m/>
    <x v="32"/>
    <m/>
    <m/>
    <n v="1"/>
    <s v="h"/>
    <n v="13000000"/>
    <n v="13000000"/>
    <s v="Flexible connection"/>
    <s v="Sheet"/>
    <b v="0"/>
  </r>
  <r>
    <x v="2"/>
    <x v="5"/>
    <n v="8"/>
    <m/>
    <x v="35"/>
    <m/>
    <m/>
    <n v="0"/>
    <s v="%"/>
    <m/>
    <n v="0"/>
    <s v="Flexible connection"/>
    <s v="Sheet"/>
    <b v="0"/>
  </r>
  <r>
    <x v="2"/>
    <x v="6"/>
    <n v="1"/>
    <s v="مس"/>
    <x v="60"/>
    <m/>
    <n v="1"/>
    <n v="10"/>
    <s v="Kg"/>
    <n v="8500000"/>
    <n v="85000000"/>
    <s v="DISTRIBUTION BOARD"/>
    <s v="Sheet"/>
    <b v="0"/>
  </r>
  <r>
    <x v="2"/>
    <x v="6"/>
    <m/>
    <s v="قلع"/>
    <x v="10"/>
    <m/>
    <n v="0"/>
    <n v="10"/>
    <s v="Kg"/>
    <n v="3600000"/>
    <n v="36000000"/>
    <s v="DISTRIBUTION BOARD"/>
    <s v="Sheet"/>
    <b v="0"/>
  </r>
  <r>
    <x v="2"/>
    <x v="6"/>
    <n v="3"/>
    <m/>
    <x v="56"/>
    <m/>
    <n v="4"/>
    <m/>
    <s v="PCS"/>
    <n v="50000"/>
    <n v="200000"/>
    <s v="DISTRIBUTION BOARD"/>
    <s v="Sheet"/>
    <b v="0"/>
  </r>
  <r>
    <x v="2"/>
    <x v="6"/>
    <n v="4"/>
    <m/>
    <x v="57"/>
    <m/>
    <n v="4"/>
    <m/>
    <s v="PCS"/>
    <n v="15000"/>
    <n v="60000"/>
    <s v="DISTRIBUTION BOARD"/>
    <s v="Sheet"/>
    <b v="0"/>
  </r>
  <r>
    <x v="2"/>
    <x v="6"/>
    <n v="5"/>
    <m/>
    <x v="58"/>
    <m/>
    <n v="8"/>
    <m/>
    <s v="PCS"/>
    <n v="5000"/>
    <n v="40000"/>
    <s v="DISTRIBUTION BOARD"/>
    <s v="Sheet"/>
    <b v="0"/>
  </r>
  <r>
    <x v="2"/>
    <x v="6"/>
    <n v="6"/>
    <m/>
    <x v="59"/>
    <m/>
    <n v="4"/>
    <m/>
    <s v="PCS"/>
    <n v="5000"/>
    <n v="20000"/>
    <s v="DISTRIBUTION BOARD"/>
    <s v="Sheet"/>
    <b v="0"/>
  </r>
  <r>
    <x v="2"/>
    <x v="6"/>
    <n v="7"/>
    <m/>
    <x v="32"/>
    <m/>
    <m/>
    <n v="5"/>
    <s v="h"/>
    <n v="13000000"/>
    <n v="65000000"/>
    <s v="DISTRIBUTION BOARD"/>
    <s v="Sheet"/>
    <b v="0"/>
  </r>
  <r>
    <x v="2"/>
    <x v="6"/>
    <n v="8"/>
    <m/>
    <x v="35"/>
    <m/>
    <m/>
    <n v="0"/>
    <s v="%"/>
    <m/>
    <n v="0"/>
    <s v="DISTRIBUTION BOARD"/>
    <s v="Sheet"/>
    <b v="0"/>
  </r>
  <r>
    <x v="2"/>
    <x v="7"/>
    <n v="1"/>
    <s v="مس"/>
    <x v="61"/>
    <m/>
    <n v="1"/>
    <n v="10"/>
    <s v="Kg"/>
    <n v="8500000"/>
    <n v="85000000"/>
    <s v="Transformer connection"/>
    <s v="Sheet"/>
    <b v="0"/>
  </r>
  <r>
    <x v="2"/>
    <x v="7"/>
    <m/>
    <s v="قلع"/>
    <x v="10"/>
    <m/>
    <n v="0"/>
    <n v="10"/>
    <s v="Kg"/>
    <n v="3600000"/>
    <n v="36000000"/>
    <s v="Transformer connection"/>
    <s v="Sheet"/>
    <b v="0"/>
  </r>
  <r>
    <x v="2"/>
    <x v="7"/>
    <n v="3"/>
    <m/>
    <x v="56"/>
    <m/>
    <n v="16"/>
    <m/>
    <s v="PCS"/>
    <n v="50000"/>
    <n v="800000"/>
    <s v="Transformer connection"/>
    <s v="Sheet"/>
    <b v="0"/>
  </r>
  <r>
    <x v="2"/>
    <x v="7"/>
    <n v="4"/>
    <m/>
    <x v="57"/>
    <m/>
    <n v="16"/>
    <m/>
    <s v="PCS"/>
    <n v="15000"/>
    <n v="240000"/>
    <s v="Transformer connection"/>
    <s v="Sheet"/>
    <b v="0"/>
  </r>
  <r>
    <x v="2"/>
    <x v="7"/>
    <n v="5"/>
    <m/>
    <x v="58"/>
    <m/>
    <n v="32"/>
    <m/>
    <s v="PCS"/>
    <n v="5000"/>
    <n v="160000"/>
    <s v="Transformer connection"/>
    <s v="Sheet"/>
    <b v="0"/>
  </r>
  <r>
    <x v="2"/>
    <x v="7"/>
    <n v="6"/>
    <m/>
    <x v="59"/>
    <m/>
    <n v="16"/>
    <m/>
    <s v="PCS"/>
    <n v="5000"/>
    <n v="80000"/>
    <s v="Transformer connection"/>
    <s v="Sheet"/>
    <b v="0"/>
  </r>
  <r>
    <x v="2"/>
    <x v="7"/>
    <n v="7"/>
    <m/>
    <x v="32"/>
    <m/>
    <m/>
    <n v="5"/>
    <s v="h"/>
    <n v="13000000"/>
    <n v="65000000"/>
    <s v="Transformer connection"/>
    <s v="Sheet"/>
    <b v="0"/>
  </r>
  <r>
    <x v="2"/>
    <x v="7"/>
    <n v="8"/>
    <m/>
    <x v="35"/>
    <m/>
    <m/>
    <n v="0"/>
    <s v="%"/>
    <m/>
    <n v="0"/>
    <s v="Transformer connection"/>
    <s v="Sheet"/>
    <b v="0"/>
  </r>
  <r>
    <x v="2"/>
    <x v="8"/>
    <n v="1"/>
    <s v="آهن"/>
    <x v="62"/>
    <m/>
    <n v="1"/>
    <n v="25"/>
    <s v="Kg"/>
    <n v="5200000"/>
    <n v="130000000"/>
    <s v="Connection protection unit"/>
    <s v="Sheet"/>
    <b v="0"/>
  </r>
  <r>
    <x v="2"/>
    <x v="8"/>
    <m/>
    <s v="آهن"/>
    <x v="63"/>
    <m/>
    <n v="1"/>
    <m/>
    <s v="Kg"/>
    <m/>
    <n v="0"/>
    <s v="Connection protection unit"/>
    <s v="Sheet"/>
    <b v="0"/>
  </r>
  <r>
    <x v="2"/>
    <x v="8"/>
    <n v="3"/>
    <m/>
    <x v="38"/>
    <m/>
    <n v="32"/>
    <m/>
    <s v="PCS"/>
    <n v="10000"/>
    <n v="320000"/>
    <s v="Connection protection unit"/>
    <s v="Sheet"/>
    <b v="0"/>
  </r>
  <r>
    <x v="2"/>
    <x v="8"/>
    <n v="4"/>
    <m/>
    <x v="15"/>
    <m/>
    <n v="32"/>
    <m/>
    <s v="PCS"/>
    <n v="60000"/>
    <n v="1920000"/>
    <s v="Connection protection unit"/>
    <s v="Sheet"/>
    <b v="0"/>
  </r>
  <r>
    <x v="2"/>
    <x v="8"/>
    <n v="5"/>
    <m/>
    <x v="64"/>
    <m/>
    <n v="32"/>
    <m/>
    <s v="PCS"/>
    <n v="60000"/>
    <n v="1920000"/>
    <s v="Connection protection unit"/>
    <s v="Sheet"/>
    <b v="0"/>
  </r>
  <r>
    <x v="2"/>
    <x v="8"/>
    <n v="6"/>
    <m/>
    <x v="38"/>
    <m/>
    <n v="12"/>
    <m/>
    <s v="PCS"/>
    <n v="10000"/>
    <n v="120000"/>
    <s v="Connection protection unit"/>
    <s v="Sheet"/>
    <b v="0"/>
  </r>
  <r>
    <x v="2"/>
    <x v="8"/>
    <n v="7"/>
    <m/>
    <x v="65"/>
    <m/>
    <n v="12"/>
    <m/>
    <s v="PCS"/>
    <n v="10000"/>
    <n v="120000"/>
    <s v="Connection protection unit"/>
    <s v="Sheet"/>
    <b v="0"/>
  </r>
  <r>
    <x v="2"/>
    <x v="8"/>
    <n v="8"/>
    <m/>
    <x v="40"/>
    <m/>
    <n v="12"/>
    <m/>
    <s v="PCS"/>
    <n v="60000"/>
    <n v="720000"/>
    <s v="Connection protection unit"/>
    <s v="Sheet"/>
    <b v="0"/>
  </r>
  <r>
    <x v="2"/>
    <x v="8"/>
    <n v="9"/>
    <m/>
    <x v="66"/>
    <m/>
    <n v="32"/>
    <m/>
    <s v="PCS"/>
    <n v="10000"/>
    <n v="320000"/>
    <s v="Connection protection unit"/>
    <s v="Sheet"/>
    <b v="0"/>
  </r>
  <r>
    <x v="2"/>
    <x v="8"/>
    <n v="10"/>
    <m/>
    <x v="8"/>
    <m/>
    <n v="25"/>
    <m/>
    <s v="Kg"/>
    <n v="1430000"/>
    <n v="35750000"/>
    <s v="Connection protection unit"/>
    <s v="Sheet"/>
    <b v="0"/>
  </r>
  <r>
    <x v="2"/>
    <x v="8"/>
    <m/>
    <m/>
    <x v="30"/>
    <m/>
    <n v="1"/>
    <n v="6"/>
    <s v="m"/>
    <n v="460000"/>
    <n v="2760000"/>
    <s v="Connection protection unit"/>
    <s v="Sheet"/>
    <b v="0"/>
  </r>
  <r>
    <x v="2"/>
    <x v="8"/>
    <n v="11"/>
    <m/>
    <x v="32"/>
    <m/>
    <m/>
    <n v="5"/>
    <s v="h"/>
    <n v="13000000"/>
    <n v="65000000"/>
    <s v="Connection protection unit"/>
    <s v="Sheet"/>
    <b v="0"/>
  </r>
  <r>
    <x v="2"/>
    <x v="8"/>
    <n v="12"/>
    <m/>
    <x v="35"/>
    <m/>
    <m/>
    <n v="0"/>
    <s v="%"/>
    <m/>
    <n v="0"/>
    <s v="Connection protection unit"/>
    <s v="Sheet"/>
    <b v="0"/>
  </r>
  <r>
    <x v="2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2"/>
    <x v="9"/>
    <m/>
    <m/>
    <x v="68"/>
    <s v="200 X 100 X 3"/>
    <n v="2"/>
    <n v="0.94320000000000004"/>
    <s v="Kg"/>
    <n v="800000"/>
    <n v="754560"/>
    <s v="SPRINH HANGER"/>
    <s v="Sheet"/>
    <b v="0"/>
  </r>
  <r>
    <x v="2"/>
    <x v="9"/>
    <m/>
    <m/>
    <x v="69"/>
    <m/>
    <n v="2"/>
    <m/>
    <s v="PCS"/>
    <n v="5000000"/>
    <n v="10000000"/>
    <s v="SPRINH HANGER"/>
    <s v="Sheet"/>
    <b v="0"/>
  </r>
  <r>
    <x v="2"/>
    <x v="9"/>
    <n v="2"/>
    <m/>
    <x v="70"/>
    <n v="260"/>
    <n v="2"/>
    <n v="0.52"/>
    <s v="m"/>
    <n v="2000000"/>
    <n v="1040000"/>
    <s v="SPRINH HANGER"/>
    <s v="Sheet"/>
    <b v="0"/>
  </r>
  <r>
    <x v="2"/>
    <x v="9"/>
    <m/>
    <m/>
    <x v="71"/>
    <m/>
    <n v="10"/>
    <m/>
    <s v="PCS"/>
    <n v="200000"/>
    <n v="2000000"/>
    <s v="SPRINH HANGER"/>
    <s v="Sheet"/>
    <b v="0"/>
  </r>
  <r>
    <x v="2"/>
    <x v="9"/>
    <n v="7"/>
    <m/>
    <x v="72"/>
    <m/>
    <n v="4"/>
    <n v="4"/>
    <s v="PCS"/>
    <n v="300000"/>
    <n v="1200000"/>
    <s v="SPRINH HANGER"/>
    <s v="Sheet"/>
    <b v="0"/>
  </r>
  <r>
    <x v="2"/>
    <x v="9"/>
    <n v="8"/>
    <m/>
    <x v="58"/>
    <m/>
    <n v="10"/>
    <n v="10"/>
    <s v="PCS"/>
    <n v="30000"/>
    <n v="300000"/>
    <s v="SPRINH HANGER"/>
    <s v="Sheet"/>
    <b v="0"/>
  </r>
  <r>
    <x v="2"/>
    <x v="9"/>
    <n v="9"/>
    <m/>
    <x v="73"/>
    <m/>
    <n v="4"/>
    <n v="4"/>
    <s v="PCS"/>
    <n v="30000"/>
    <n v="120000"/>
    <s v="SPRINH HANGER"/>
    <s v="Sheet"/>
    <b v="0"/>
  </r>
  <r>
    <x v="2"/>
    <x v="9"/>
    <n v="12"/>
    <m/>
    <x v="46"/>
    <m/>
    <n v="4"/>
    <n v="4"/>
    <s v="PCS"/>
    <n v="30000"/>
    <n v="120000"/>
    <s v="SPRINH HANGER"/>
    <s v="Sheet"/>
    <b v="0"/>
  </r>
  <r>
    <x v="2"/>
    <x v="9"/>
    <n v="13"/>
    <m/>
    <x v="32"/>
    <m/>
    <m/>
    <n v="1"/>
    <s v="h"/>
    <n v="13000000"/>
    <n v="13000000"/>
    <s v="SPRINH HANGER"/>
    <s v="Sheet"/>
    <b v="0"/>
  </r>
  <r>
    <x v="2"/>
    <x v="9"/>
    <n v="14"/>
    <m/>
    <x v="35"/>
    <m/>
    <m/>
    <n v="0"/>
    <s v="%"/>
    <m/>
    <n v="0"/>
    <s v="SPRINH HANGER"/>
    <s v="Sheet"/>
    <b v="0"/>
  </r>
  <r>
    <x v="2"/>
    <x v="9"/>
    <m/>
    <m/>
    <x v="74"/>
    <n v="300"/>
    <n v="200"/>
    <n v="3"/>
    <n v="7.86"/>
    <m/>
    <n v="1.4148000000000001"/>
    <s v="SPRINH HANGER"/>
    <s v="Sheet"/>
    <b v="0"/>
  </r>
  <r>
    <x v="2"/>
    <x v="9"/>
    <m/>
    <m/>
    <x v="75"/>
    <n v="200"/>
    <n v="100"/>
    <n v="3"/>
    <n v="7.86"/>
    <m/>
    <n v="0.47160000000000002"/>
    <s v="SPRINH HANGER"/>
    <s v="Sheet"/>
    <b v="0"/>
  </r>
  <r>
    <x v="2"/>
    <x v="10"/>
    <n v="1"/>
    <s v="آهن"/>
    <x v="76"/>
    <m/>
    <n v="1"/>
    <n v="1.6485000000000001"/>
    <s v="Kg"/>
    <n v="700000"/>
    <n v="1153950"/>
    <s v="Suspension unit ceiling"/>
    <s v="Sheet"/>
    <b v="0"/>
  </r>
  <r>
    <x v="2"/>
    <x v="10"/>
    <n v="2"/>
    <s v="آهن"/>
    <x v="77"/>
    <m/>
    <n v="2"/>
    <m/>
    <s v="m"/>
    <n v="1200000"/>
    <n v="2400000"/>
    <s v="Suspension unit ceiling"/>
    <s v="Sheet"/>
    <b v="0"/>
  </r>
  <r>
    <x v="2"/>
    <x v="10"/>
    <n v="3"/>
    <m/>
    <x v="78"/>
    <m/>
    <n v="2"/>
    <m/>
    <s v="PCS"/>
    <n v="100000"/>
    <n v="200000"/>
    <s v="Suspension unit ceiling"/>
    <s v="Sheet"/>
    <b v="0"/>
  </r>
  <r>
    <x v="2"/>
    <x v="10"/>
    <n v="4"/>
    <m/>
    <x v="57"/>
    <m/>
    <n v="6"/>
    <m/>
    <s v="PCS"/>
    <n v="10000"/>
    <n v="60000"/>
    <s v="Suspension unit ceiling"/>
    <s v="Sheet"/>
    <b v="0"/>
  </r>
  <r>
    <x v="2"/>
    <x v="10"/>
    <n v="5"/>
    <m/>
    <x v="58"/>
    <m/>
    <n v="6"/>
    <m/>
    <s v="PCS"/>
    <n v="5000"/>
    <n v="30000"/>
    <s v="Suspension unit ceiling"/>
    <s v="Sheet"/>
    <b v="0"/>
  </r>
  <r>
    <x v="2"/>
    <x v="10"/>
    <n v="6"/>
    <m/>
    <x v="79"/>
    <m/>
    <n v="2"/>
    <m/>
    <s v="PCS"/>
    <n v="500000"/>
    <n v="1000000"/>
    <s v="Suspension unit ceiling"/>
    <s v="Sheet"/>
    <b v="0"/>
  </r>
  <r>
    <x v="2"/>
    <x v="10"/>
    <n v="7"/>
    <m/>
    <x v="80"/>
    <m/>
    <n v="2"/>
    <m/>
    <s v="PCS"/>
    <n v="10000"/>
    <n v="20000"/>
    <s v="Suspension unit ceiling"/>
    <s v="Sheet"/>
    <b v="0"/>
  </r>
  <r>
    <x v="2"/>
    <x v="10"/>
    <n v="8"/>
    <m/>
    <x v="65"/>
    <m/>
    <n v="2"/>
    <m/>
    <s v="PCS"/>
    <n v="5000"/>
    <n v="10000"/>
    <s v="Suspension unit ceiling"/>
    <s v="Sheet"/>
    <b v="0"/>
  </r>
  <r>
    <x v="2"/>
    <x v="10"/>
    <n v="9"/>
    <m/>
    <x v="40"/>
    <m/>
    <n v="2"/>
    <m/>
    <s v="PCS"/>
    <n v="60000"/>
    <n v="120000"/>
    <s v="Suspension unit ceiling"/>
    <s v="Sheet"/>
    <b v="0"/>
  </r>
  <r>
    <x v="2"/>
    <x v="10"/>
    <n v="10"/>
    <m/>
    <x v="32"/>
    <m/>
    <m/>
    <n v="3"/>
    <s v="h"/>
    <n v="13000000"/>
    <n v="39000000"/>
    <s v="Suspension unit ceiling"/>
    <s v="Sheet"/>
    <b v="0"/>
  </r>
  <r>
    <x v="2"/>
    <x v="10"/>
    <n v="11"/>
    <m/>
    <x v="35"/>
    <m/>
    <m/>
    <n v="0"/>
    <s v="%"/>
    <m/>
    <n v="0"/>
    <s v="Suspension unit ceiling"/>
    <s v="Sheet"/>
    <b v="0"/>
  </r>
  <r>
    <x v="2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2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2"/>
    <x v="11"/>
    <n v="7"/>
    <m/>
    <x v="13"/>
    <m/>
    <n v="2"/>
    <n v="2"/>
    <s v="PCS"/>
    <n v="50000"/>
    <n v="100000"/>
    <s v="Universal fixing unit"/>
    <s v="Sheet"/>
    <b v="0"/>
  </r>
  <r>
    <x v="2"/>
    <x v="11"/>
    <n v="8"/>
    <m/>
    <x v="64"/>
    <m/>
    <n v="4"/>
    <n v="4"/>
    <s v="PCS"/>
    <n v="30000"/>
    <n v="120000"/>
    <s v="Universal fixing unit"/>
    <s v="Sheet"/>
    <b v="0"/>
  </r>
  <r>
    <x v="2"/>
    <x v="11"/>
    <n v="9"/>
    <m/>
    <x v="82"/>
    <m/>
    <n v="1"/>
    <n v="1"/>
    <s v="PCS"/>
    <n v="30000"/>
    <n v="30000"/>
    <s v="Universal fixing unit"/>
    <s v="Sheet"/>
    <b v="0"/>
  </r>
  <r>
    <x v="2"/>
    <x v="11"/>
    <n v="13"/>
    <m/>
    <x v="32"/>
    <m/>
    <m/>
    <n v="1"/>
    <s v="h"/>
    <n v="13000000"/>
    <n v="13000000"/>
    <s v="Universal fixing unit"/>
    <s v="Sheet"/>
    <b v="0"/>
  </r>
  <r>
    <x v="2"/>
    <x v="11"/>
    <n v="14"/>
    <m/>
    <x v="35"/>
    <m/>
    <m/>
    <n v="0"/>
    <s v="%"/>
    <m/>
    <n v="0"/>
    <s v="Universal fixing unit"/>
    <s v="Sheet"/>
    <b v="0"/>
  </r>
  <r>
    <x v="2"/>
    <x v="11"/>
    <m/>
    <m/>
    <x v="74"/>
    <n v="300"/>
    <n v="100"/>
    <n v="2.5"/>
    <n v="7.86"/>
    <m/>
    <n v="0.58950000000000002"/>
    <s v="Universal fixing unit"/>
    <s v="Sheet"/>
    <b v="0"/>
  </r>
  <r>
    <x v="3"/>
    <x v="16"/>
    <n v="1"/>
    <s v="آلومینیوم"/>
    <x v="0"/>
    <n v="2735"/>
    <n v="2"/>
    <n v="7.6580000000000004"/>
    <s v="Kg"/>
    <n v="8500000"/>
    <n v="65092999.999999993"/>
    <s v="FEEDER-2000"/>
    <s v="Sheet"/>
    <b v="0"/>
  </r>
  <r>
    <x v="3"/>
    <x v="16"/>
    <n v="2"/>
    <m/>
    <x v="1"/>
    <n v="2735"/>
    <n v="0"/>
    <n v="0"/>
    <s v="Kg"/>
    <n v="8500000"/>
    <n v="0"/>
    <s v="FEEDER-2000"/>
    <s v="Sheet"/>
    <b v="0"/>
  </r>
  <r>
    <x v="3"/>
    <x v="16"/>
    <n v="3"/>
    <m/>
    <x v="85"/>
    <n v="2703"/>
    <n v="2"/>
    <n v="17.8398"/>
    <s v="Kg"/>
    <n v="8500000"/>
    <n v="151638300"/>
    <s v="FEEDER-2000"/>
    <s v="Sheet"/>
    <b v="0"/>
  </r>
  <r>
    <x v="3"/>
    <x v="16"/>
    <n v="4"/>
    <m/>
    <x v="3"/>
    <n v="120"/>
    <n v="4"/>
    <n v="0.48"/>
    <s v="Kg"/>
    <n v="8500000"/>
    <n v="4080000"/>
    <s v="FEEDER-2000"/>
    <s v="Sheet"/>
    <b v="0"/>
  </r>
  <r>
    <x v="3"/>
    <x v="16"/>
    <n v="5"/>
    <m/>
    <x v="4"/>
    <n v="180"/>
    <n v="4"/>
    <n v="1.7087760000000001"/>
    <s v="Kg"/>
    <n v="8500000"/>
    <n v="14524596"/>
    <s v="FEEDER-2000"/>
    <s v="Sheet"/>
    <b v="0"/>
  </r>
  <r>
    <x v="3"/>
    <x v="16"/>
    <n v="6"/>
    <m/>
    <x v="5"/>
    <n v="2970"/>
    <n v="4"/>
    <n v="44.264880000000019"/>
    <s v="Kg"/>
    <n v="8500000"/>
    <n v="376251480.00000018"/>
    <s v="FEEDER-2000"/>
    <s v="Sheet"/>
    <b v="0"/>
  </r>
  <r>
    <x v="3"/>
    <x v="16"/>
    <n v="7"/>
    <s v="عایق ها"/>
    <x v="6"/>
    <n v="0.13"/>
    <n v="5.8449600000000004"/>
    <n v="5.8449600000000004"/>
    <s v="M2"/>
    <n v="4275000"/>
    <n v="24987204"/>
    <s v="FEEDER-2000"/>
    <s v="Sheet"/>
    <b v="0"/>
  </r>
  <r>
    <x v="3"/>
    <x v="16"/>
    <n v="8"/>
    <m/>
    <x v="7"/>
    <n v="0.35"/>
    <n v="2.5717824"/>
    <n v="2.5717824"/>
    <s v="Kg"/>
    <n v="35750000"/>
    <n v="91941220.799999997"/>
    <s v="FEEDER-2000"/>
    <s v="Sheet"/>
    <b v="0"/>
  </r>
  <r>
    <x v="3"/>
    <x v="16"/>
    <n v="9"/>
    <m/>
    <x v="7"/>
    <n v="0.2"/>
    <n v="0"/>
    <n v="0"/>
    <s v="Kg"/>
    <n v="45760000"/>
    <n v="0"/>
    <s v="FEEDER-2000"/>
    <s v="Sheet"/>
    <b v="0"/>
  </r>
  <r>
    <x v="3"/>
    <x v="16"/>
    <n v="10"/>
    <s v="رنگ بدنه"/>
    <x v="8"/>
    <m/>
    <n v="25.497800000000002"/>
    <n v="25.497800000000002"/>
    <s v="Kg"/>
    <n v="1430000"/>
    <n v="36461854"/>
    <s v="FEEDER-2000"/>
    <s v="Sheet"/>
    <b v="0"/>
  </r>
  <r>
    <x v="3"/>
    <x v="16"/>
    <n v="11"/>
    <s v="قلع"/>
    <x v="9"/>
    <m/>
    <n v="8"/>
    <n v="8"/>
    <s v="Kg"/>
    <n v="3000000"/>
    <n v="24000000"/>
    <s v="FEEDER-2000"/>
    <s v="Sheet"/>
    <b v="0"/>
  </r>
  <r>
    <x v="3"/>
    <x v="16"/>
    <n v="12"/>
    <m/>
    <x v="10"/>
    <m/>
    <n v="44.264880000000019"/>
    <n v="44.264880000000019"/>
    <s v="PCS"/>
    <n v="3600000"/>
    <n v="159353568.00000003"/>
    <s v="FEEDER-2000"/>
    <s v="Sheet"/>
    <b v="0"/>
  </r>
  <r>
    <x v="3"/>
    <x v="16"/>
    <n v="13"/>
    <s v="چسب"/>
    <x v="11"/>
    <m/>
    <n v="11.88"/>
    <n v="11.88"/>
    <s v="PCS"/>
    <n v="3600000"/>
    <n v="42768000"/>
    <s v="FEEDER-2000"/>
    <s v="Sheet"/>
    <b v="0"/>
  </r>
  <r>
    <x v="3"/>
    <x v="16"/>
    <n v="14"/>
    <m/>
    <x v="12"/>
    <m/>
    <n v="0.1"/>
    <n v="0.1"/>
    <s v="PCS"/>
    <n v="5500000"/>
    <n v="550000"/>
    <s v="FEEDER-2000"/>
    <s v="Sheet"/>
    <b v="0"/>
  </r>
  <r>
    <x v="3"/>
    <x v="16"/>
    <n v="15"/>
    <s v="پیچ و مهره"/>
    <x v="13"/>
    <m/>
    <s v="80"/>
    <s v="80"/>
    <s v="PCS"/>
    <n v="200000"/>
    <n v="16000000"/>
    <s v="FEEDER-2000"/>
    <s v="Sheet"/>
    <b v="0"/>
  </r>
  <r>
    <x v="3"/>
    <x v="16"/>
    <n v="16"/>
    <m/>
    <x v="14"/>
    <m/>
    <n v="8"/>
    <n v="8"/>
    <s v="PCS"/>
    <n v="200000"/>
    <n v="1600000"/>
    <s v="FEEDER-2000"/>
    <s v="Sheet"/>
    <b v="0"/>
  </r>
  <r>
    <x v="3"/>
    <x v="16"/>
    <n v="17"/>
    <m/>
    <x v="15"/>
    <m/>
    <n v="88"/>
    <n v="88"/>
    <s v="PCS"/>
    <n v="200000"/>
    <n v="17600000"/>
    <s v="FEEDER-2000"/>
    <s v="Sheet"/>
    <b v="0"/>
  </r>
  <r>
    <x v="3"/>
    <x v="16"/>
    <n v="18"/>
    <m/>
    <x v="16"/>
    <m/>
    <n v="16"/>
    <n v="16"/>
    <s v="PCS"/>
    <n v="400000"/>
    <n v="6400000"/>
    <s v="FEEDER-2000"/>
    <s v="Sheet"/>
    <b v="0"/>
  </r>
  <r>
    <x v="3"/>
    <x v="16"/>
    <n v="19"/>
    <m/>
    <x v="17"/>
    <m/>
    <n v="16"/>
    <n v="16"/>
    <s v="PCS"/>
    <n v="120000"/>
    <n v="1920000"/>
    <s v="FEEDER-2000"/>
    <s v="Sheet"/>
    <b v="0"/>
  </r>
  <r>
    <x v="3"/>
    <x v="16"/>
    <n v="20"/>
    <m/>
    <x v="18"/>
    <m/>
    <n v="24"/>
    <n v="24"/>
    <s v="PCS"/>
    <n v="400000"/>
    <n v="9600000"/>
    <s v="FEEDER-2000"/>
    <s v="Sheet"/>
    <b v="0"/>
  </r>
  <r>
    <x v="3"/>
    <x v="16"/>
    <n v="21"/>
    <s v="مس"/>
    <x v="19"/>
    <n v="132"/>
    <n v="8"/>
    <n v="6.5286144000000004"/>
    <s v="Kg"/>
    <n v="35000000"/>
    <n v="228501504"/>
    <s v="FEEDER-2000"/>
    <s v="Sheet"/>
    <b v="0"/>
  </r>
  <r>
    <x v="3"/>
    <x v="16"/>
    <n v="22"/>
    <s v="آهن"/>
    <x v="20"/>
    <s v="115 X 185"/>
    <n v="2"/>
    <n v="2"/>
    <s v="Kg"/>
    <n v="5200000"/>
    <n v="10400000"/>
    <s v="FEEDER-2000"/>
    <s v="Sheet"/>
    <b v="0"/>
  </r>
  <r>
    <x v="3"/>
    <x v="16"/>
    <n v="23"/>
    <m/>
    <x v="21"/>
    <s v="425 X 265"/>
    <n v="2"/>
    <n v="1.2"/>
    <s v="Kg"/>
    <n v="5200000"/>
    <n v="6240000"/>
    <s v="FEEDER-2000"/>
    <s v="Sheet"/>
    <b v="0"/>
  </r>
  <r>
    <x v="3"/>
    <x v="16"/>
    <n v="24"/>
    <s v="الومینیوم"/>
    <x v="22"/>
    <s v="293*157"/>
    <n v="2"/>
    <n v="1.0351689999999998"/>
    <s v="Kg"/>
    <n v="8500000"/>
    <n v="8798936.4999999981"/>
    <s v="FEEDER-2000"/>
    <s v="Sheet"/>
    <b v="0"/>
  </r>
  <r>
    <x v="3"/>
    <x v="16"/>
    <n v="25"/>
    <s v="پلی امید"/>
    <x v="23"/>
    <n v="0.18"/>
    <s v="2"/>
    <s v="2"/>
    <s v="PCS"/>
    <n v="1300000"/>
    <n v="2600000"/>
    <s v="FEEDER-2000"/>
    <s v="Sheet"/>
    <b v="0"/>
  </r>
  <r>
    <x v="3"/>
    <x v="16"/>
    <n v="26"/>
    <m/>
    <x v="24"/>
    <n v="0.2"/>
    <s v="3"/>
    <s v="3"/>
    <s v="PCS"/>
    <n v="1300000"/>
    <n v="3900000"/>
    <s v="FEEDER-2000"/>
    <s v="Sheet"/>
    <b v="0"/>
  </r>
  <r>
    <x v="3"/>
    <x v="16"/>
    <n v="27"/>
    <s v="ABS"/>
    <x v="25"/>
    <s v="80 mm"/>
    <n v="1"/>
    <n v="1"/>
    <s v="PCS"/>
    <n v="100000"/>
    <n v="100000"/>
    <s v="FEEDER-2000"/>
    <s v="Sheet"/>
    <b v="0"/>
  </r>
  <r>
    <x v="3"/>
    <x v="16"/>
    <n v="28"/>
    <s v="پیچ و مهره"/>
    <x v="26"/>
    <m/>
    <n v="2"/>
    <n v="2"/>
    <s v="PCS"/>
    <n v="2400000"/>
    <n v="4800000"/>
    <s v="FEEDER-2000"/>
    <s v="Sheet"/>
    <b v="0"/>
  </r>
  <r>
    <x v="3"/>
    <x v="16"/>
    <n v="29"/>
    <m/>
    <x v="27"/>
    <m/>
    <n v="2"/>
    <n v="2"/>
    <s v="PCS"/>
    <n v="2400000"/>
    <n v="4800000"/>
    <s v="FEEDER-2000"/>
    <s v="Sheet"/>
    <b v="0"/>
  </r>
  <r>
    <x v="3"/>
    <x v="16"/>
    <n v="30"/>
    <m/>
    <x v="28"/>
    <m/>
    <n v="2"/>
    <n v="2"/>
    <s v="PCS"/>
    <n v="3000000"/>
    <n v="6000000"/>
    <s v="FEEDER-2000"/>
    <s v="Sheet"/>
    <b v="0"/>
  </r>
  <r>
    <x v="3"/>
    <x v="16"/>
    <n v="31"/>
    <s v="نوار IP"/>
    <x v="29"/>
    <m/>
    <n v="2"/>
    <n v="2"/>
    <s v="PCS"/>
    <n v="1300000"/>
    <n v="2600000"/>
    <s v="FEEDER-2000"/>
    <s v="Sheet"/>
    <b v="0"/>
  </r>
  <r>
    <x v="3"/>
    <x v="16"/>
    <n v="32"/>
    <s v="نوار IP"/>
    <x v="30"/>
    <m/>
    <n v="4"/>
    <n v="10.811999999999999"/>
    <s v="m"/>
    <n v="460000"/>
    <n v="4973520"/>
    <s v="FEEDER-2000"/>
    <s v="Sheet"/>
    <b v="0"/>
  </r>
  <r>
    <x v="3"/>
    <x v="16"/>
    <n v="33"/>
    <s v="ترموفیت"/>
    <x v="31"/>
    <n v="50"/>
    <n v="8"/>
    <n v="0.8"/>
    <s v="m "/>
    <n v="17526080"/>
    <n v="14020864"/>
    <s v="FEEDER-2000"/>
    <s v="Sheet"/>
    <b v="0"/>
  </r>
  <r>
    <x v="3"/>
    <x v="16"/>
    <n v="28"/>
    <m/>
    <x v="32"/>
    <m/>
    <m/>
    <n v="8"/>
    <s v="h"/>
    <n v="13000000"/>
    <n v="104000000"/>
    <s v="FEEDER-2000"/>
    <s v="Sheet"/>
    <b v="0"/>
  </r>
  <r>
    <x v="3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3"/>
    <x v="1"/>
    <n v="2"/>
    <m/>
    <x v="1"/>
    <n v="0"/>
    <n v="0"/>
    <n v="0"/>
    <s v="Kg"/>
    <n v="8500000"/>
    <n v="0"/>
    <s v="Vertical elbow"/>
    <s v="Sheet"/>
    <b v="0"/>
  </r>
  <r>
    <x v="3"/>
    <x v="1"/>
    <n v="3"/>
    <m/>
    <x v="85"/>
    <n v="0.70299999999999996"/>
    <n v="2"/>
    <n v="4.6397999999999993"/>
    <s v="Kg"/>
    <n v="8500000"/>
    <n v="39438299.999999993"/>
    <s v="Vertical elbow"/>
    <s v="Sheet"/>
    <b v="0"/>
  </r>
  <r>
    <x v="3"/>
    <x v="1"/>
    <n v="4"/>
    <m/>
    <x v="3"/>
    <n v="120"/>
    <n v="4"/>
    <n v="0.48"/>
    <s v="Kg"/>
    <n v="8500000"/>
    <n v="4080000"/>
    <s v="Vertical elbow"/>
    <s v="Sheet"/>
    <b v="0"/>
  </r>
  <r>
    <x v="3"/>
    <x v="1"/>
    <n v="5"/>
    <m/>
    <x v="4"/>
    <n v="180"/>
    <n v="4"/>
    <n v="1.7087760000000001"/>
    <s v="Kg"/>
    <n v="8500000"/>
    <n v="14524596"/>
    <s v="Vertical elbow"/>
    <s v="Sheet"/>
    <b v="0"/>
  </r>
  <r>
    <x v="3"/>
    <x v="1"/>
    <n v="6"/>
    <m/>
    <x v="5"/>
    <n v="0.96299999999999997"/>
    <n v="4"/>
    <n v="14.352551999999999"/>
    <s v="Kg"/>
    <n v="8500000"/>
    <n v="121996692"/>
    <s v="Vertical elbow"/>
    <s v="Sheet"/>
    <b v="0"/>
  </r>
  <r>
    <x v="3"/>
    <x v="1"/>
    <n v="7"/>
    <s v="عایق ها"/>
    <x v="6"/>
    <n v="0.13"/>
    <n v="1.895184"/>
    <n v="1.895184"/>
    <s v="M2"/>
    <n v="4275000"/>
    <n v="8101911.5999999996"/>
    <s v="Vertical elbow"/>
    <s v="Sheet"/>
    <b v="0"/>
  </r>
  <r>
    <x v="3"/>
    <x v="1"/>
    <n v="8"/>
    <m/>
    <x v="7"/>
    <n v="0.35"/>
    <n v="0"/>
    <n v="0"/>
    <s v="Kg"/>
    <n v="35750000"/>
    <n v="0"/>
    <s v="Vertical elbow"/>
    <s v="Sheet"/>
    <b v="0"/>
  </r>
  <r>
    <x v="3"/>
    <x v="1"/>
    <n v="9"/>
    <m/>
    <x v="7"/>
    <n v="0.2"/>
    <n v="0.94759199999999999"/>
    <n v="0.94759199999999999"/>
    <s v="Kg"/>
    <n v="45760000"/>
    <n v="43361809.920000002"/>
    <s v="Vertical elbow"/>
    <s v="Sheet"/>
    <b v="0"/>
  </r>
  <r>
    <x v="3"/>
    <x v="1"/>
    <n v="10"/>
    <s v="رنگ بدنه"/>
    <x v="8"/>
    <m/>
    <n v="6.7901999999999987"/>
    <n v="6.7901999999999987"/>
    <s v="PCS"/>
    <n v="1430000"/>
    <n v="9709985.9999999981"/>
    <s v="Vertical elbow"/>
    <s v="Sheet"/>
    <b v="0"/>
  </r>
  <r>
    <x v="3"/>
    <x v="1"/>
    <n v="11"/>
    <s v="قلع"/>
    <x v="9"/>
    <m/>
    <s v="8"/>
    <s v="8"/>
    <s v="Kg"/>
    <n v="3000000"/>
    <n v="24000000"/>
    <s v="Vertical elbow"/>
    <s v="Sheet"/>
    <b v="0"/>
  </r>
  <r>
    <x v="3"/>
    <x v="1"/>
    <n v="12"/>
    <m/>
    <x v="10"/>
    <m/>
    <n v="14.352551999999999"/>
    <n v="14.352551999999999"/>
    <s v="PCS"/>
    <n v="3600000"/>
    <n v="51669187.200000003"/>
    <s v="Vertical elbow"/>
    <s v="Sheet"/>
    <b v="0"/>
  </r>
  <r>
    <x v="3"/>
    <x v="1"/>
    <n v="13"/>
    <s v="چسب"/>
    <x v="11"/>
    <m/>
    <n v="3.8519999999999999"/>
    <n v="3.8519999999999999"/>
    <s v="PCS"/>
    <n v="3600000"/>
    <n v="13867200"/>
    <s v="Vertical elbow"/>
    <s v="Sheet"/>
    <b v="0"/>
  </r>
  <r>
    <x v="3"/>
    <x v="1"/>
    <n v="14"/>
    <m/>
    <x v="12"/>
    <m/>
    <n v="0.1"/>
    <n v="0.1"/>
    <s v="PCS"/>
    <n v="5500000"/>
    <n v="550000"/>
    <s v="Vertical elbow"/>
    <s v="Sheet"/>
    <b v="0"/>
  </r>
  <r>
    <x v="3"/>
    <x v="1"/>
    <n v="15"/>
    <s v="پیچ و مهره"/>
    <x v="13"/>
    <m/>
    <n v="20"/>
    <n v="20"/>
    <s v="PCS"/>
    <n v="200000"/>
    <n v="4000000"/>
    <s v="Vertical elbow"/>
    <s v="Sheet"/>
    <b v="0"/>
  </r>
  <r>
    <x v="3"/>
    <x v="1"/>
    <n v="16"/>
    <m/>
    <x v="14"/>
    <m/>
    <n v="8"/>
    <n v="8"/>
    <s v="PCS"/>
    <n v="200000"/>
    <n v="1600000"/>
    <s v="Vertical elbow"/>
    <s v="Sheet"/>
    <b v="0"/>
  </r>
  <r>
    <x v="3"/>
    <x v="1"/>
    <n v="17"/>
    <m/>
    <x v="15"/>
    <m/>
    <n v="28"/>
    <n v="28"/>
    <s v="PCS"/>
    <n v="200000"/>
    <n v="5600000"/>
    <s v="Vertical elbow"/>
    <s v="Sheet"/>
    <b v="0"/>
  </r>
  <r>
    <x v="3"/>
    <x v="1"/>
    <n v="18"/>
    <m/>
    <x v="16"/>
    <m/>
    <n v="16"/>
    <n v="16"/>
    <s v="PCS"/>
    <n v="400000"/>
    <n v="6400000"/>
    <s v="Vertical elbow"/>
    <s v="Sheet"/>
    <b v="0"/>
  </r>
  <r>
    <x v="3"/>
    <x v="1"/>
    <n v="19"/>
    <m/>
    <x v="17"/>
    <m/>
    <n v="16"/>
    <n v="16"/>
    <s v="PCS"/>
    <n v="120000"/>
    <n v="1920000"/>
    <s v="Vertical elbow"/>
    <s v="Sheet"/>
    <b v="0"/>
  </r>
  <r>
    <x v="3"/>
    <x v="1"/>
    <n v="20"/>
    <m/>
    <x v="18"/>
    <m/>
    <n v="24"/>
    <n v="24"/>
    <s v="PCS"/>
    <n v="400000"/>
    <n v="9600000"/>
    <s v="Vertical elbow"/>
    <s v="Sheet"/>
    <b v="0"/>
  </r>
  <r>
    <x v="3"/>
    <x v="1"/>
    <n v="21"/>
    <s v="مس"/>
    <x v="19"/>
    <n v="132"/>
    <s v="8"/>
    <n v="6.5286144000000004"/>
    <s v="Kg"/>
    <n v="35000000"/>
    <n v="228501504"/>
    <s v="Vertical elbow"/>
    <s v="Sheet"/>
    <b v="0"/>
  </r>
  <r>
    <x v="3"/>
    <x v="1"/>
    <n v="22"/>
    <s v="آهن"/>
    <x v="20"/>
    <s v="115 X 185"/>
    <n v="2"/>
    <n v="2"/>
    <s v="Kg"/>
    <n v="5200000"/>
    <n v="10400000"/>
    <s v="Vertical elbow"/>
    <s v="Sheet"/>
    <b v="0"/>
  </r>
  <r>
    <x v="3"/>
    <x v="1"/>
    <n v="23"/>
    <m/>
    <x v="21"/>
    <s v="425 X 265"/>
    <n v="2"/>
    <n v="1.2"/>
    <s v="Kg"/>
    <n v="5200000"/>
    <n v="6240000"/>
    <s v="Vertical elbow"/>
    <s v="Sheet"/>
    <b v="0"/>
  </r>
  <r>
    <x v="3"/>
    <x v="1"/>
    <n v="24"/>
    <s v="الومینیوم"/>
    <x v="22"/>
    <s v="293*157"/>
    <n v="2"/>
    <n v="1.0351689999999998"/>
    <s v="Kg"/>
    <n v="8500000"/>
    <n v="8798936.4999999981"/>
    <s v="Vertical elbow"/>
    <s v="Sheet"/>
    <b v="0"/>
  </r>
  <r>
    <x v="3"/>
    <x v="1"/>
    <n v="25"/>
    <s v="پلی امید"/>
    <x v="23"/>
    <n v="0.18"/>
    <n v="2"/>
    <n v="2"/>
    <s v="PCS"/>
    <n v="1300000"/>
    <n v="2600000"/>
    <s v="Vertical elbow"/>
    <s v="Sheet"/>
    <b v="0"/>
  </r>
  <r>
    <x v="3"/>
    <x v="1"/>
    <n v="26"/>
    <m/>
    <x v="24"/>
    <n v="0.2"/>
    <n v="3"/>
    <n v="3"/>
    <s v="PCS"/>
    <n v="1300000"/>
    <n v="3900000"/>
    <s v="Vertical elbow"/>
    <s v="Sheet"/>
    <b v="0"/>
  </r>
  <r>
    <x v="3"/>
    <x v="1"/>
    <n v="27"/>
    <s v="ABS"/>
    <x v="25"/>
    <s v="80 mm"/>
    <n v="1"/>
    <n v="1"/>
    <s v="PCS"/>
    <n v="100000"/>
    <n v="100000"/>
    <s v="Vertical elbow"/>
    <s v="Sheet"/>
    <b v="0"/>
  </r>
  <r>
    <x v="3"/>
    <x v="1"/>
    <n v="28"/>
    <s v="پیچ و مهره"/>
    <x v="26"/>
    <m/>
    <n v="2"/>
    <n v="2"/>
    <s v="PCS"/>
    <n v="2400000"/>
    <n v="4800000"/>
    <s v="Vertical elbow"/>
    <s v="Sheet"/>
    <b v="0"/>
  </r>
  <r>
    <x v="3"/>
    <x v="1"/>
    <n v="29"/>
    <m/>
    <x v="27"/>
    <m/>
    <n v="2"/>
    <n v="2"/>
    <s v="PCS"/>
    <n v="2400000"/>
    <n v="4800000"/>
    <s v="Vertical elbow"/>
    <s v="Sheet"/>
    <b v="0"/>
  </r>
  <r>
    <x v="3"/>
    <x v="1"/>
    <n v="30"/>
    <m/>
    <x v="28"/>
    <m/>
    <n v="2"/>
    <n v="2"/>
    <s v="PCS"/>
    <n v="3000000"/>
    <n v="6000000"/>
    <s v="Vertical elbow"/>
    <s v="Sheet"/>
    <b v="0"/>
  </r>
  <r>
    <x v="3"/>
    <x v="1"/>
    <n v="31"/>
    <s v="جوش"/>
    <x v="33"/>
    <m/>
    <n v="1"/>
    <n v="2"/>
    <s v="PCS"/>
    <n v="30000000"/>
    <n v="60000000"/>
    <s v="Vertical elbow"/>
    <s v="Sheet"/>
    <b v="0"/>
  </r>
  <r>
    <x v="3"/>
    <x v="1"/>
    <n v="32"/>
    <m/>
    <x v="34"/>
    <m/>
    <n v="1"/>
    <n v="4"/>
    <m/>
    <n v="24000000"/>
    <n v="96000000"/>
    <s v="Vertical elbow"/>
    <s v="Sheet"/>
    <b v="0"/>
  </r>
  <r>
    <x v="3"/>
    <x v="1"/>
    <n v="33"/>
    <s v="نوار IP"/>
    <x v="29"/>
    <m/>
    <n v="2"/>
    <n v="2"/>
    <s v="PCS"/>
    <n v="1300000"/>
    <n v="2600000"/>
    <s v="Vertical elbow"/>
    <s v="Sheet"/>
    <b v="0"/>
  </r>
  <r>
    <x v="3"/>
    <x v="1"/>
    <n v="34"/>
    <s v="نوار IP"/>
    <x v="30"/>
    <m/>
    <n v="4"/>
    <n v="2.8119999999999998"/>
    <s v="m"/>
    <n v="460000"/>
    <n v="1293520"/>
    <s v="Vertical elbow"/>
    <s v="Sheet"/>
    <b v="0"/>
  </r>
  <r>
    <x v="3"/>
    <x v="1"/>
    <n v="35"/>
    <s v="ترموفیت"/>
    <x v="31"/>
    <n v="50"/>
    <n v="8"/>
    <n v="0.8"/>
    <s v="m "/>
    <n v="17526080"/>
    <n v="14020864"/>
    <s v="Vertical elbow"/>
    <s v="Sheet"/>
    <b v="0"/>
  </r>
  <r>
    <x v="3"/>
    <x v="1"/>
    <n v="28"/>
    <m/>
    <x v="32"/>
    <m/>
    <m/>
    <n v="10"/>
    <s v="h"/>
    <n v="13000000"/>
    <n v="130000000"/>
    <s v="Vertical elbow"/>
    <s v="Sheet"/>
    <b v="0"/>
  </r>
  <r>
    <x v="3"/>
    <x v="1"/>
    <n v="29"/>
    <m/>
    <x v="35"/>
    <m/>
    <m/>
    <n v="0"/>
    <s v="%"/>
    <m/>
    <n v="0"/>
    <s v="Vertical elbow"/>
    <s v="Sheet"/>
    <b v="0"/>
  </r>
  <r>
    <x v="3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3"/>
    <x v="2"/>
    <n v="2"/>
    <m/>
    <x v="1"/>
    <n v="0"/>
    <n v="0"/>
    <n v="0"/>
    <s v="Kg"/>
    <n v="8500000"/>
    <n v="0"/>
    <s v="Horizontal elbow"/>
    <s v="Sheet"/>
    <b v="0"/>
  </r>
  <r>
    <x v="3"/>
    <x v="2"/>
    <n v="3"/>
    <m/>
    <x v="85"/>
    <n v="0.33500000000000002"/>
    <n v="2"/>
    <n v="2.2109999999999999"/>
    <s v="Kg"/>
    <n v="8500000"/>
    <n v="18793500"/>
    <s v="Horizontal elbow"/>
    <s v="Sheet"/>
    <b v="0"/>
  </r>
  <r>
    <x v="3"/>
    <x v="2"/>
    <n v="4"/>
    <m/>
    <x v="3"/>
    <n v="120"/>
    <n v="4"/>
    <n v="0.48"/>
    <s v="Kg"/>
    <n v="8500000"/>
    <n v="4080000"/>
    <s v="Horizontal elbow"/>
    <s v="Sheet"/>
    <b v="0"/>
  </r>
  <r>
    <x v="3"/>
    <x v="2"/>
    <n v="5"/>
    <m/>
    <x v="4"/>
    <n v="180"/>
    <n v="4"/>
    <n v="1.7087760000000001"/>
    <s v="Kg"/>
    <n v="8500000"/>
    <n v="14524596"/>
    <s v="Horizontal elbow"/>
    <s v="Sheet"/>
    <b v="0"/>
  </r>
  <r>
    <x v="3"/>
    <x v="2"/>
    <n v="6"/>
    <m/>
    <x v="5"/>
    <n v="0.55800000000000005"/>
    <n v="4"/>
    <n v="8.3164320000000007"/>
    <s v="Kg"/>
    <n v="8500000"/>
    <n v="70689672"/>
    <s v="Horizontal elbow"/>
    <s v="Sheet"/>
    <b v="0"/>
  </r>
  <r>
    <x v="3"/>
    <x v="2"/>
    <n v="7"/>
    <s v="عایق ها"/>
    <x v="6"/>
    <n v="0.13"/>
    <n v="1.098144"/>
    <n v="1.098144"/>
    <s v="M2"/>
    <n v="4275000"/>
    <n v="4694565.5999999996"/>
    <s v="Horizontal elbow"/>
    <s v="Sheet"/>
    <b v="0"/>
  </r>
  <r>
    <x v="3"/>
    <x v="2"/>
    <n v="8"/>
    <m/>
    <x v="7"/>
    <n v="0.35"/>
    <n v="0"/>
    <n v="0"/>
    <s v="Kg"/>
    <n v="35750000"/>
    <n v="0"/>
    <s v="Horizontal elbow"/>
    <s v="Sheet"/>
    <b v="0"/>
  </r>
  <r>
    <x v="3"/>
    <x v="2"/>
    <n v="9"/>
    <m/>
    <x v="7"/>
    <n v="0.2"/>
    <n v="0.549072"/>
    <n v="0.549072"/>
    <s v="Kg"/>
    <n v="45760000"/>
    <n v="25125534.719999999"/>
    <s v="Horizontal elbow"/>
    <s v="Sheet"/>
    <b v="0"/>
  </r>
  <r>
    <x v="3"/>
    <x v="2"/>
    <n v="10"/>
    <s v="رنگ بدنه"/>
    <x v="8"/>
    <m/>
    <n v="3.149"/>
    <n v="3.149"/>
    <s v="PCS"/>
    <n v="1430000"/>
    <n v="4503070"/>
    <s v="Horizontal elbow"/>
    <s v="Sheet"/>
    <b v="0"/>
  </r>
  <r>
    <x v="3"/>
    <x v="2"/>
    <n v="11"/>
    <s v="قلع"/>
    <x v="9"/>
    <m/>
    <s v="8"/>
    <s v="8"/>
    <s v="Kg"/>
    <n v="3000000"/>
    <n v="24000000"/>
    <s v="Horizontal elbow"/>
    <s v="Sheet"/>
    <b v="0"/>
  </r>
  <r>
    <x v="3"/>
    <x v="2"/>
    <n v="12"/>
    <m/>
    <x v="10"/>
    <m/>
    <n v="8.3164320000000007"/>
    <n v="8.3164320000000007"/>
    <s v="PCS"/>
    <n v="3600000"/>
    <n v="29939155.200000003"/>
    <s v="Horizontal elbow"/>
    <s v="Sheet"/>
    <b v="0"/>
  </r>
  <r>
    <x v="3"/>
    <x v="2"/>
    <n v="13"/>
    <s v="چسب"/>
    <x v="11"/>
    <m/>
    <n v="2.2320000000000002"/>
    <n v="2.2320000000000002"/>
    <s v="PCS"/>
    <n v="3600000"/>
    <n v="8035200.0000000019"/>
    <s v="Horizontal elbow"/>
    <s v="Sheet"/>
    <b v="0"/>
  </r>
  <r>
    <x v="3"/>
    <x v="2"/>
    <n v="14"/>
    <m/>
    <x v="12"/>
    <m/>
    <n v="0.1"/>
    <n v="0.1"/>
    <s v="PCS"/>
    <n v="5500000"/>
    <n v="550000"/>
    <s v="Horizontal elbow"/>
    <s v="Sheet"/>
    <b v="0"/>
  </r>
  <r>
    <x v="3"/>
    <x v="2"/>
    <n v="15"/>
    <s v="پیچ و مهره"/>
    <x v="13"/>
    <m/>
    <n v="20"/>
    <n v="20"/>
    <s v="PCS"/>
    <n v="200000"/>
    <n v="4000000"/>
    <s v="Horizontal elbow"/>
    <s v="Sheet"/>
    <b v="0"/>
  </r>
  <r>
    <x v="3"/>
    <x v="2"/>
    <n v="16"/>
    <m/>
    <x v="14"/>
    <m/>
    <n v="8"/>
    <n v="8"/>
    <s v="PCS"/>
    <n v="200000"/>
    <n v="1600000"/>
    <s v="Horizontal elbow"/>
    <s v="Sheet"/>
    <b v="0"/>
  </r>
  <r>
    <x v="3"/>
    <x v="2"/>
    <n v="17"/>
    <m/>
    <x v="15"/>
    <m/>
    <n v="16"/>
    <n v="16"/>
    <s v="PCS"/>
    <n v="200000"/>
    <n v="3200000"/>
    <s v="Horizontal elbow"/>
    <s v="Sheet"/>
    <b v="0"/>
  </r>
  <r>
    <x v="3"/>
    <x v="2"/>
    <n v="18"/>
    <m/>
    <x v="16"/>
    <m/>
    <n v="16"/>
    <n v="16"/>
    <s v="PCS"/>
    <n v="400000"/>
    <n v="6400000"/>
    <s v="Horizontal elbow"/>
    <s v="Sheet"/>
    <b v="0"/>
  </r>
  <r>
    <x v="3"/>
    <x v="2"/>
    <n v="19"/>
    <m/>
    <x v="17"/>
    <m/>
    <n v="16"/>
    <n v="16"/>
    <s v="PCS"/>
    <n v="120000"/>
    <n v="1920000"/>
    <s v="Horizontal elbow"/>
    <s v="Sheet"/>
    <b v="0"/>
  </r>
  <r>
    <x v="3"/>
    <x v="2"/>
    <n v="20"/>
    <m/>
    <x v="18"/>
    <m/>
    <n v="24"/>
    <n v="24"/>
    <s v="PCS"/>
    <n v="400000"/>
    <n v="9600000"/>
    <s v="Horizontal elbow"/>
    <s v="Sheet"/>
    <b v="0"/>
  </r>
  <r>
    <x v="3"/>
    <x v="2"/>
    <n v="21"/>
    <s v="مس"/>
    <x v="19"/>
    <n v="132"/>
    <s v="8"/>
    <n v="6.5286144000000004"/>
    <s v="Kg"/>
    <n v="35000000"/>
    <n v="228501504"/>
    <s v="Horizontal elbow"/>
    <s v="Sheet"/>
    <b v="0"/>
  </r>
  <r>
    <x v="3"/>
    <x v="2"/>
    <n v="22"/>
    <s v="آهن"/>
    <x v="20"/>
    <s v="115 X 185"/>
    <n v="2"/>
    <n v="2"/>
    <s v="Kg"/>
    <n v="5200000"/>
    <n v="10400000"/>
    <s v="Horizontal elbow"/>
    <s v="Sheet"/>
    <b v="0"/>
  </r>
  <r>
    <x v="3"/>
    <x v="2"/>
    <n v="23"/>
    <m/>
    <x v="21"/>
    <s v="425 X 265"/>
    <n v="2"/>
    <n v="1.2"/>
    <s v="Kg"/>
    <n v="5200000"/>
    <n v="6240000"/>
    <s v="Horizontal elbow"/>
    <s v="Sheet"/>
    <b v="0"/>
  </r>
  <r>
    <x v="3"/>
    <x v="2"/>
    <n v="24"/>
    <s v="الومینیوم"/>
    <x v="22"/>
    <s v="293*157"/>
    <n v="2"/>
    <n v="1.0351689999999998"/>
    <s v="Kg"/>
    <n v="8500000"/>
    <n v="8798936.4999999981"/>
    <s v="Horizontal elbow"/>
    <s v="Sheet"/>
    <b v="0"/>
  </r>
  <r>
    <x v="3"/>
    <x v="2"/>
    <n v="25"/>
    <s v="پلی امید"/>
    <x v="23"/>
    <n v="0.18"/>
    <n v="2"/>
    <n v="2"/>
    <s v="PCS"/>
    <n v="1300000"/>
    <n v="2600000"/>
    <s v="Horizontal elbow"/>
    <s v="Sheet"/>
    <b v="0"/>
  </r>
  <r>
    <x v="3"/>
    <x v="2"/>
    <n v="26"/>
    <m/>
    <x v="24"/>
    <n v="0.2"/>
    <n v="3"/>
    <n v="3"/>
    <s v="PCS"/>
    <n v="1300000"/>
    <n v="3900000"/>
    <s v="Horizontal elbow"/>
    <s v="Sheet"/>
    <b v="0"/>
  </r>
  <r>
    <x v="3"/>
    <x v="2"/>
    <n v="27"/>
    <s v="ABS"/>
    <x v="25"/>
    <s v="80 mm"/>
    <n v="1"/>
    <n v="1"/>
    <s v="PCS"/>
    <n v="100000"/>
    <n v="100000"/>
    <s v="Horizontal elbow"/>
    <s v="Sheet"/>
    <b v="0"/>
  </r>
  <r>
    <x v="3"/>
    <x v="2"/>
    <n v="28"/>
    <s v="پیچ و مهره"/>
    <x v="26"/>
    <m/>
    <n v="2"/>
    <n v="2"/>
    <s v="PCS"/>
    <n v="2400000"/>
    <n v="4800000"/>
    <s v="Horizontal elbow"/>
    <s v="Sheet"/>
    <b v="0"/>
  </r>
  <r>
    <x v="3"/>
    <x v="2"/>
    <n v="29"/>
    <m/>
    <x v="27"/>
    <m/>
    <n v="2"/>
    <n v="2"/>
    <s v="PCS"/>
    <n v="2400000"/>
    <n v="4800000"/>
    <s v="Horizontal elbow"/>
    <s v="Sheet"/>
    <b v="0"/>
  </r>
  <r>
    <x v="3"/>
    <x v="2"/>
    <n v="30"/>
    <m/>
    <x v="28"/>
    <m/>
    <n v="2"/>
    <n v="2"/>
    <s v="PCS"/>
    <n v="3000000"/>
    <n v="6000000"/>
    <s v="Horizontal elbow"/>
    <s v="Sheet"/>
    <b v="0"/>
  </r>
  <r>
    <x v="3"/>
    <x v="2"/>
    <n v="31"/>
    <s v="جوش"/>
    <x v="33"/>
    <m/>
    <n v="1"/>
    <n v="2"/>
    <s v="PCS"/>
    <n v="30000000"/>
    <n v="60000000"/>
    <s v="Horizontal elbow"/>
    <s v="Sheet"/>
    <b v="0"/>
  </r>
  <r>
    <x v="3"/>
    <x v="2"/>
    <n v="32"/>
    <m/>
    <x v="34"/>
    <m/>
    <n v="1"/>
    <n v="0"/>
    <s v="PCS"/>
    <n v="24000000"/>
    <n v="0"/>
    <s v="Horizontal elbow"/>
    <s v="Sheet"/>
    <b v="0"/>
  </r>
  <r>
    <x v="3"/>
    <x v="2"/>
    <n v="33"/>
    <s v="نوار IP"/>
    <x v="29"/>
    <m/>
    <n v="2"/>
    <n v="2"/>
    <s v="PCS"/>
    <n v="1300000"/>
    <n v="2600000"/>
    <s v="Horizontal elbow"/>
    <s v="Sheet"/>
    <b v="0"/>
  </r>
  <r>
    <x v="3"/>
    <x v="2"/>
    <n v="34"/>
    <s v="نوار IP"/>
    <x v="30"/>
    <m/>
    <n v="4"/>
    <n v="1.34"/>
    <s v="m"/>
    <n v="460000"/>
    <n v="616400"/>
    <s v="Horizontal elbow"/>
    <s v="Sheet"/>
    <b v="0"/>
  </r>
  <r>
    <x v="3"/>
    <x v="2"/>
    <n v="35"/>
    <s v="ترموفیت"/>
    <x v="31"/>
    <n v="50"/>
    <n v="8"/>
    <n v="0.8"/>
    <s v="m "/>
    <n v="17526080"/>
    <n v="14020864"/>
    <s v="Horizontal elbow"/>
    <s v="Sheet"/>
    <b v="0"/>
  </r>
  <r>
    <x v="3"/>
    <x v="2"/>
    <n v="28"/>
    <m/>
    <x v="32"/>
    <m/>
    <m/>
    <n v="8"/>
    <s v="h"/>
    <n v="13000000"/>
    <n v="104000000"/>
    <s v="Horizontal elbow"/>
    <s v="Sheet"/>
    <b v="0"/>
  </r>
  <r>
    <x v="3"/>
    <x v="2"/>
    <n v="29"/>
    <m/>
    <x v="35"/>
    <m/>
    <m/>
    <n v="0"/>
    <s v="%"/>
    <m/>
    <n v="0"/>
    <s v="Horizontal elbow"/>
    <s v="Sheet"/>
    <b v="0"/>
  </r>
  <r>
    <x v="3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3"/>
    <x v="3"/>
    <n v="2"/>
    <m/>
    <x v="1"/>
    <n v="0"/>
    <n v="0"/>
    <n v="0"/>
    <s v="Kg"/>
    <n v="8500000"/>
    <n v="0"/>
    <s v="Flange end "/>
    <s v="Sheet"/>
    <b v="0"/>
  </r>
  <r>
    <x v="3"/>
    <x v="3"/>
    <n v="3"/>
    <m/>
    <x v="85"/>
    <n v="168"/>
    <n v="2"/>
    <n v="1.1088"/>
    <s v="Kg"/>
    <n v="8500000"/>
    <n v="9424800"/>
    <s v="Flange end "/>
    <s v="Sheet"/>
    <b v="0"/>
  </r>
  <r>
    <x v="3"/>
    <x v="3"/>
    <n v="4"/>
    <m/>
    <x v="3"/>
    <n v="120"/>
    <n v="4"/>
    <n v="0.48"/>
    <s v="Kg"/>
    <n v="8500000"/>
    <n v="4080000"/>
    <s v="Flange end "/>
    <s v="Sheet"/>
    <b v="0"/>
  </r>
  <r>
    <x v="3"/>
    <x v="3"/>
    <n v="5"/>
    <m/>
    <x v="4"/>
    <n v="180"/>
    <n v="2"/>
    <n v="0.85438800000000004"/>
    <s v="Kg"/>
    <n v="8500000"/>
    <n v="7262298"/>
    <s v="Flange end "/>
    <s v="Sheet"/>
    <b v="0"/>
  </r>
  <r>
    <x v="3"/>
    <x v="3"/>
    <n v="6"/>
    <m/>
    <x v="5"/>
    <n v="0.58799999999999997"/>
    <n v="4"/>
    <n v="8.7635520000000007"/>
    <s v="Kg"/>
    <n v="8500000"/>
    <n v="74490192"/>
    <s v="Flange end "/>
    <s v="Sheet"/>
    <b v="0"/>
  </r>
  <r>
    <x v="3"/>
    <x v="3"/>
    <n v="7"/>
    <s v="عایق ها"/>
    <x v="6"/>
    <n v="0.13"/>
    <n v="1.157184"/>
    <n v="1.157184"/>
    <s v="M2"/>
    <n v="4275000"/>
    <n v="4946961.5999999996"/>
    <s v="Flange end "/>
    <s v="Sheet"/>
    <b v="0"/>
  </r>
  <r>
    <x v="3"/>
    <x v="3"/>
    <n v="8"/>
    <m/>
    <x v="7"/>
    <n v="0.35"/>
    <n v="0"/>
    <n v="0"/>
    <s v="Kg"/>
    <n v="35750000"/>
    <n v="0"/>
    <s v="Flange end "/>
    <s v="Sheet"/>
    <b v="0"/>
  </r>
  <r>
    <x v="3"/>
    <x v="3"/>
    <n v="9"/>
    <m/>
    <x v="7"/>
    <n v="0.2"/>
    <n v="0.578592"/>
    <n v="0.578592"/>
    <s v="Kg"/>
    <n v="45760000"/>
    <n v="26476369.920000002"/>
    <s v="Flange end "/>
    <s v="Sheet"/>
    <b v="0"/>
  </r>
  <r>
    <x v="3"/>
    <x v="3"/>
    <n v="10"/>
    <s v="رنگ بدنه"/>
    <x v="8"/>
    <m/>
    <n v="1.5791999999999999"/>
    <n v="1.5791999999999999"/>
    <s v="Kg"/>
    <n v="1430000"/>
    <n v="2258256"/>
    <s v="Flange end "/>
    <s v="Sheet"/>
    <b v="0"/>
  </r>
  <r>
    <x v="3"/>
    <x v="3"/>
    <n v="11"/>
    <s v="قلع"/>
    <x v="9"/>
    <m/>
    <n v="8"/>
    <n v="8"/>
    <s v="Kg"/>
    <n v="3000000"/>
    <n v="24000000"/>
    <s v="Flange end "/>
    <s v="Sheet"/>
    <b v="0"/>
  </r>
  <r>
    <x v="3"/>
    <x v="3"/>
    <n v="12"/>
    <m/>
    <x v="10"/>
    <m/>
    <n v="8.7635520000000007"/>
    <n v="8.7635520000000007"/>
    <s v="PCS"/>
    <n v="3600000"/>
    <n v="31548787.200000003"/>
    <s v="Flange end "/>
    <s v="Sheet"/>
    <b v="0"/>
  </r>
  <r>
    <x v="3"/>
    <x v="3"/>
    <n v="13"/>
    <s v="چسب"/>
    <x v="11"/>
    <m/>
    <n v="2.3519999999999999"/>
    <n v="2.3519999999999999"/>
    <s v="PCS"/>
    <n v="3600000"/>
    <n v="8467200"/>
    <s v="Flange end "/>
    <s v="Sheet"/>
    <b v="0"/>
  </r>
  <r>
    <x v="3"/>
    <x v="3"/>
    <n v="14"/>
    <m/>
    <x v="12"/>
    <m/>
    <n v="0.1"/>
    <n v="0.1"/>
    <s v="PCS"/>
    <n v="5500000"/>
    <n v="550000"/>
    <s v="Flange end "/>
    <s v="Sheet"/>
    <b v="0"/>
  </r>
  <r>
    <x v="3"/>
    <x v="3"/>
    <n v="15"/>
    <s v="پیچ و مهره"/>
    <x v="13"/>
    <m/>
    <s v="80"/>
    <n v="8"/>
    <s v="PCS"/>
    <n v="200000"/>
    <n v="1600000"/>
    <s v="Flange end "/>
    <s v="Sheet"/>
    <b v="0"/>
  </r>
  <r>
    <x v="3"/>
    <x v="3"/>
    <n v="16"/>
    <m/>
    <x v="14"/>
    <m/>
    <n v="8"/>
    <n v="8"/>
    <s v="PCS"/>
    <n v="200000"/>
    <n v="1600000"/>
    <s v="Flange end "/>
    <s v="Sheet"/>
    <b v="0"/>
  </r>
  <r>
    <x v="3"/>
    <x v="3"/>
    <n v="17"/>
    <m/>
    <x v="15"/>
    <m/>
    <n v="88"/>
    <n v="16"/>
    <s v="PCS"/>
    <n v="200000"/>
    <n v="3200000"/>
    <s v="Flange end "/>
    <s v="Sheet"/>
    <b v="0"/>
  </r>
  <r>
    <x v="3"/>
    <x v="3"/>
    <n v="18"/>
    <m/>
    <x v="16"/>
    <m/>
    <n v="16"/>
    <n v="16"/>
    <s v="PCS"/>
    <n v="400000"/>
    <n v="6400000"/>
    <s v="Flange end "/>
    <s v="Sheet"/>
    <b v="0"/>
  </r>
  <r>
    <x v="3"/>
    <x v="3"/>
    <n v="19"/>
    <m/>
    <x v="17"/>
    <m/>
    <n v="16"/>
    <n v="16"/>
    <s v="PCS"/>
    <n v="120000"/>
    <n v="1920000"/>
    <s v="Flange end "/>
    <s v="Sheet"/>
    <b v="0"/>
  </r>
  <r>
    <x v="3"/>
    <x v="3"/>
    <n v="20"/>
    <m/>
    <x v="18"/>
    <m/>
    <n v="24"/>
    <n v="24"/>
    <s v="PCS"/>
    <n v="400000"/>
    <n v="9600000"/>
    <s v="Flange end "/>
    <s v="Sheet"/>
    <b v="0"/>
  </r>
  <r>
    <x v="3"/>
    <x v="3"/>
    <n v="21"/>
    <s v="مس"/>
    <x v="19"/>
    <n v="132"/>
    <n v="8"/>
    <n v="6.5286144000000004"/>
    <s v="Kg"/>
    <n v="35000000"/>
    <n v="228501504"/>
    <s v="Flange end "/>
    <s v="Sheet"/>
    <b v="0"/>
  </r>
  <r>
    <x v="3"/>
    <x v="3"/>
    <n v="22"/>
    <s v="آهن"/>
    <x v="20"/>
    <s v="115 X 185"/>
    <n v="2"/>
    <n v="2"/>
    <s v="Kg"/>
    <n v="5200000"/>
    <n v="10400000"/>
    <s v="Flange end "/>
    <s v="Sheet"/>
    <b v="0"/>
  </r>
  <r>
    <x v="3"/>
    <x v="3"/>
    <n v="23"/>
    <m/>
    <x v="21"/>
    <s v="425 X 265"/>
    <n v="2"/>
    <n v="1.2"/>
    <s v="Kg"/>
    <n v="5200000"/>
    <n v="6240000"/>
    <s v="Flange end "/>
    <s v="Sheet"/>
    <b v="0"/>
  </r>
  <r>
    <x v="3"/>
    <x v="3"/>
    <n v="24"/>
    <s v="الومینیوم"/>
    <x v="22"/>
    <s v="293*157"/>
    <n v="2"/>
    <n v="1.0351689999999998"/>
    <s v="Kg"/>
    <n v="8500000"/>
    <n v="8798936.4999999981"/>
    <s v="Flange end "/>
    <s v="Sheet"/>
    <b v="0"/>
  </r>
  <r>
    <x v="3"/>
    <x v="3"/>
    <n v="25"/>
    <s v="پلی امید"/>
    <x v="23"/>
    <n v="0.18"/>
    <s v="2"/>
    <s v="2"/>
    <s v="PCS"/>
    <n v="1300000"/>
    <n v="2600000"/>
    <s v="Flange end "/>
    <s v="Sheet"/>
    <b v="0"/>
  </r>
  <r>
    <x v="3"/>
    <x v="3"/>
    <n v="26"/>
    <m/>
    <x v="24"/>
    <n v="0.2"/>
    <s v="3"/>
    <s v="3"/>
    <s v="PCS"/>
    <n v="1300000"/>
    <n v="3900000"/>
    <s v="Flange end "/>
    <s v="Sheet"/>
    <b v="0"/>
  </r>
  <r>
    <x v="3"/>
    <x v="3"/>
    <n v="27"/>
    <s v="ABS"/>
    <x v="25"/>
    <s v="80 mm"/>
    <n v="1"/>
    <n v="1"/>
    <s v="PCS"/>
    <n v="100000"/>
    <n v="100000"/>
    <s v="Flange end "/>
    <s v="Sheet"/>
    <b v="0"/>
  </r>
  <r>
    <x v="3"/>
    <x v="3"/>
    <n v="28"/>
    <s v="پیچ و مهره"/>
    <x v="26"/>
    <m/>
    <n v="2"/>
    <n v="2"/>
    <s v="PCS"/>
    <n v="2400000"/>
    <n v="4800000"/>
    <s v="Flange end "/>
    <s v="Sheet"/>
    <b v="0"/>
  </r>
  <r>
    <x v="3"/>
    <x v="3"/>
    <n v="29"/>
    <m/>
    <x v="27"/>
    <m/>
    <n v="2"/>
    <n v="2"/>
    <s v="PCS"/>
    <n v="2400000"/>
    <n v="4800000"/>
    <s v="Flange end "/>
    <s v="Sheet"/>
    <b v="0"/>
  </r>
  <r>
    <x v="3"/>
    <x v="3"/>
    <n v="30"/>
    <m/>
    <x v="28"/>
    <m/>
    <n v="2"/>
    <n v="2"/>
    <s v="PCS"/>
    <n v="3000000"/>
    <n v="6000000"/>
    <s v="Flange end "/>
    <s v="Sheet"/>
    <b v="0"/>
  </r>
  <r>
    <x v="3"/>
    <x v="3"/>
    <n v="31"/>
    <s v="نوار IP"/>
    <x v="29"/>
    <m/>
    <n v="2"/>
    <n v="2"/>
    <s v="PCS"/>
    <n v="1300000"/>
    <n v="2600000"/>
    <s v="Flange end "/>
    <s v="Sheet"/>
    <b v="0"/>
  </r>
  <r>
    <x v="3"/>
    <x v="3"/>
    <n v="32"/>
    <s v="نوار IP"/>
    <x v="30"/>
    <m/>
    <n v="4"/>
    <n v="0.67200000000000004"/>
    <s v="m"/>
    <n v="460000"/>
    <n v="309120"/>
    <s v="Flange end "/>
    <s v="Sheet"/>
    <b v="0"/>
  </r>
  <r>
    <x v="3"/>
    <x v="3"/>
    <n v="33"/>
    <s v="ترموفیت"/>
    <x v="31"/>
    <n v="50"/>
    <n v="8"/>
    <n v="0.8"/>
    <s v="m "/>
    <n v="12655280.000000002"/>
    <n v="10124224.000000002"/>
    <s v="Flange end "/>
    <s v="Sheet"/>
    <b v="0"/>
  </r>
  <r>
    <x v="3"/>
    <x v="3"/>
    <n v="28"/>
    <m/>
    <x v="32"/>
    <m/>
    <m/>
    <n v="8"/>
    <s v="h"/>
    <n v="13000000"/>
    <n v="104000000"/>
    <s v="Flange end "/>
    <s v="Sheet"/>
    <b v="0"/>
  </r>
  <r>
    <x v="3"/>
    <x v="3"/>
    <n v="29"/>
    <m/>
    <x v="35"/>
    <m/>
    <m/>
    <n v="0"/>
    <s v="%"/>
    <m/>
    <n v="0"/>
    <s v="Flange end "/>
    <s v="Sheet"/>
    <b v="0"/>
  </r>
  <r>
    <x v="3"/>
    <x v="4"/>
    <n v="1"/>
    <s v="آهن"/>
    <x v="36"/>
    <m/>
    <n v="1"/>
    <n v="9"/>
    <s v="Kg"/>
    <n v="5200000"/>
    <n v="46800000"/>
    <s v="TOP OFF BOX 250"/>
    <s v="Sheet"/>
    <b v="0"/>
  </r>
  <r>
    <x v="3"/>
    <x v="4"/>
    <n v="4"/>
    <s v="مسی"/>
    <x v="37"/>
    <m/>
    <n v="4"/>
    <n v="0.5"/>
    <s v="Kg"/>
    <n v="22000000"/>
    <n v="11000000"/>
    <s v="TOP OFF BOX 250"/>
    <s v="Sheet"/>
    <b v="0"/>
  </r>
  <r>
    <x v="3"/>
    <x v="4"/>
    <n v="5"/>
    <m/>
    <x v="38"/>
    <m/>
    <n v="20"/>
    <n v="20"/>
    <s v="PCS"/>
    <n v="26000"/>
    <n v="520000"/>
    <s v="TOP OFF BOX 250"/>
    <s v="Sheet"/>
    <b v="0"/>
  </r>
  <r>
    <x v="3"/>
    <x v="4"/>
    <n v="6"/>
    <m/>
    <x v="39"/>
    <m/>
    <n v="6"/>
    <n v="6"/>
    <s v="PCS"/>
    <n v="195000"/>
    <n v="1170000"/>
    <s v="TOP OFF BOX 250"/>
    <s v="Sheet"/>
    <b v="0"/>
  </r>
  <r>
    <x v="3"/>
    <x v="4"/>
    <n v="7"/>
    <m/>
    <x v="40"/>
    <m/>
    <n v="20"/>
    <n v="20"/>
    <s v="PCS"/>
    <n v="13000"/>
    <n v="260000"/>
    <s v="TOP OFF BOX 250"/>
    <s v="Sheet"/>
    <b v="0"/>
  </r>
  <r>
    <x v="3"/>
    <x v="4"/>
    <n v="8"/>
    <m/>
    <x v="41"/>
    <m/>
    <n v="20"/>
    <n v="20"/>
    <s v="PCS"/>
    <n v="75000"/>
    <n v="1500000"/>
    <s v="TOP OFF BOX 250"/>
    <s v="Sheet"/>
    <b v="0"/>
  </r>
  <r>
    <x v="3"/>
    <x v="4"/>
    <n v="9"/>
    <m/>
    <x v="42"/>
    <m/>
    <n v="1"/>
    <n v="1"/>
    <s v="PCS"/>
    <n v="11250000"/>
    <n v="11250000"/>
    <s v="TOP OFF BOX 250"/>
    <s v="Sheet"/>
    <b v="0"/>
  </r>
  <r>
    <x v="3"/>
    <x v="4"/>
    <n v="10"/>
    <m/>
    <x v="43"/>
    <m/>
    <n v="1"/>
    <n v="1"/>
    <s v="PCS"/>
    <n v="7500000"/>
    <n v="7500000"/>
    <s v="TOP OFF BOX 250"/>
    <s v="Sheet"/>
    <b v="0"/>
  </r>
  <r>
    <x v="3"/>
    <x v="4"/>
    <n v="11"/>
    <m/>
    <x v="44"/>
    <m/>
    <n v="2"/>
    <n v="2"/>
    <s v="PCS"/>
    <n v="150000"/>
    <n v="300000"/>
    <s v="TOP OFF BOX 250"/>
    <s v="Sheet"/>
    <b v="0"/>
  </r>
  <r>
    <x v="3"/>
    <x v="4"/>
    <n v="12"/>
    <m/>
    <x v="45"/>
    <m/>
    <n v="2"/>
    <n v="2"/>
    <s v="PCS"/>
    <n v="100000"/>
    <n v="200000"/>
    <s v="TOP OFF BOX 250"/>
    <s v="Sheet"/>
    <b v="0"/>
  </r>
  <r>
    <x v="3"/>
    <x v="4"/>
    <n v="13"/>
    <m/>
    <x v="46"/>
    <m/>
    <n v="4"/>
    <n v="4"/>
    <s v="PCS"/>
    <n v="50000"/>
    <n v="200000"/>
    <s v="TOP OFF BOX 250"/>
    <s v="Sheet"/>
    <b v="0"/>
  </r>
  <r>
    <x v="3"/>
    <x v="4"/>
    <n v="14"/>
    <m/>
    <x v="47"/>
    <m/>
    <n v="2"/>
    <n v="2"/>
    <s v="PCS"/>
    <n v="100000"/>
    <n v="200000"/>
    <s v="TOP OFF BOX 250"/>
    <s v="Sheet"/>
    <b v="0"/>
  </r>
  <r>
    <x v="3"/>
    <x v="4"/>
    <n v="15"/>
    <m/>
    <x v="48"/>
    <m/>
    <n v="1"/>
    <n v="0.1"/>
    <s v="Kg"/>
    <n v="4200000"/>
    <n v="420000"/>
    <s v="TOP OFF BOX 250"/>
    <s v="Sheet"/>
    <b v="0"/>
  </r>
  <r>
    <x v="3"/>
    <x v="4"/>
    <n v="16"/>
    <m/>
    <x v="49"/>
    <m/>
    <n v="1"/>
    <n v="0.3"/>
    <s v="m"/>
    <m/>
    <n v="0"/>
    <s v="TOP OFF BOX 250"/>
    <s v="Sheet"/>
    <b v="0"/>
  </r>
  <r>
    <x v="3"/>
    <x v="4"/>
    <n v="17"/>
    <m/>
    <x v="50"/>
    <m/>
    <n v="1"/>
    <n v="0.15"/>
    <s v="m"/>
    <m/>
    <n v="0"/>
    <s v="TOP OFF BOX 250"/>
    <s v="Sheet"/>
    <b v="0"/>
  </r>
  <r>
    <x v="3"/>
    <x v="4"/>
    <n v="18"/>
    <m/>
    <x v="51"/>
    <m/>
    <n v="1"/>
    <m/>
    <s v="PCS"/>
    <m/>
    <n v="0"/>
    <s v="TOP OFF BOX 250"/>
    <s v="Sheet"/>
    <b v="0"/>
  </r>
  <r>
    <x v="3"/>
    <x v="4"/>
    <n v="19"/>
    <m/>
    <x v="52"/>
    <m/>
    <n v="1"/>
    <m/>
    <s v="PCS"/>
    <m/>
    <n v="0"/>
    <s v="TOP OFF BOX 250"/>
    <s v="Sheet"/>
    <b v="0"/>
  </r>
  <r>
    <x v="3"/>
    <x v="4"/>
    <n v="20"/>
    <m/>
    <x v="53"/>
    <m/>
    <n v="1"/>
    <m/>
    <s v="PCS"/>
    <m/>
    <n v="0"/>
    <s v="TOP OFF BOX 250"/>
    <s v="Sheet"/>
    <b v="0"/>
  </r>
  <r>
    <x v="3"/>
    <x v="4"/>
    <n v="21"/>
    <m/>
    <x v="54"/>
    <m/>
    <n v="1"/>
    <n v="1"/>
    <s v="PCS"/>
    <n v="74000000"/>
    <n v="74000000"/>
    <s v="TOP OFF BOX 250"/>
    <s v="Sheet"/>
    <b v="0"/>
  </r>
  <r>
    <x v="3"/>
    <x v="4"/>
    <n v="7"/>
    <m/>
    <x v="32"/>
    <m/>
    <m/>
    <n v="5"/>
    <s v="h"/>
    <n v="13000000"/>
    <n v="65000000"/>
    <s v="TOP OFF BOX 250"/>
    <s v="Sheet"/>
    <b v="0"/>
  </r>
  <r>
    <x v="3"/>
    <x v="4"/>
    <n v="8"/>
    <m/>
    <x v="35"/>
    <m/>
    <m/>
    <n v="0"/>
    <s v="%"/>
    <m/>
    <n v="0"/>
    <s v="TOP OFF BOX 250"/>
    <s v="Sheet"/>
    <b v="0"/>
  </r>
  <r>
    <x v="3"/>
    <x v="5"/>
    <n v="1"/>
    <s v="مس بافته شده"/>
    <x v="55"/>
    <m/>
    <n v="1"/>
    <n v="7"/>
    <s v="SET"/>
    <n v="27599999.999999996"/>
    <n v="193199999.99999997"/>
    <s v="Flexible connection"/>
    <s v="Sheet"/>
    <b v="0"/>
  </r>
  <r>
    <x v="3"/>
    <x v="5"/>
    <m/>
    <s v="قلع"/>
    <x v="10"/>
    <m/>
    <n v="0"/>
    <n v="12"/>
    <s v="Kg"/>
    <n v="3600000"/>
    <n v="43200000"/>
    <s v="Flexible connection"/>
    <s v="Sheet"/>
    <b v="0"/>
  </r>
  <r>
    <x v="3"/>
    <x v="5"/>
    <n v="3"/>
    <m/>
    <x v="56"/>
    <m/>
    <n v="16"/>
    <m/>
    <s v="PCS"/>
    <n v="50000"/>
    <n v="800000"/>
    <s v="Flexible connection"/>
    <s v="Sheet"/>
    <b v="0"/>
  </r>
  <r>
    <x v="3"/>
    <x v="5"/>
    <n v="4"/>
    <m/>
    <x v="57"/>
    <m/>
    <n v="16"/>
    <m/>
    <s v="PCS"/>
    <n v="15000"/>
    <n v="240000"/>
    <s v="Flexible connection"/>
    <s v="Sheet"/>
    <b v="0"/>
  </r>
  <r>
    <x v="3"/>
    <x v="5"/>
    <n v="5"/>
    <m/>
    <x v="58"/>
    <m/>
    <n v="32"/>
    <m/>
    <s v="PCS"/>
    <n v="5000"/>
    <n v="160000"/>
    <s v="Flexible connection"/>
    <s v="Sheet"/>
    <b v="0"/>
  </r>
  <r>
    <x v="3"/>
    <x v="5"/>
    <n v="6"/>
    <m/>
    <x v="59"/>
    <m/>
    <n v="16"/>
    <m/>
    <s v="PCS"/>
    <n v="5000"/>
    <n v="80000"/>
    <s v="Flexible connection"/>
    <s v="Sheet"/>
    <b v="0"/>
  </r>
  <r>
    <x v="3"/>
    <x v="5"/>
    <n v="7"/>
    <m/>
    <x v="32"/>
    <m/>
    <m/>
    <n v="1"/>
    <s v="h"/>
    <n v="13000000"/>
    <n v="13000000"/>
    <s v="Flexible connection"/>
    <s v="Sheet"/>
    <b v="0"/>
  </r>
  <r>
    <x v="3"/>
    <x v="5"/>
    <n v="8"/>
    <m/>
    <x v="35"/>
    <m/>
    <m/>
    <n v="0"/>
    <s v="%"/>
    <m/>
    <n v="0"/>
    <s v="Flexible connection"/>
    <s v="Sheet"/>
    <b v="0"/>
  </r>
  <r>
    <x v="3"/>
    <x v="6"/>
    <n v="1"/>
    <s v="مس"/>
    <x v="60"/>
    <m/>
    <n v="1"/>
    <n v="12"/>
    <s v="Kg"/>
    <n v="8500000"/>
    <n v="102000000"/>
    <s v="DISTRIBUTION BOARD"/>
    <s v="Sheet"/>
    <b v="0"/>
  </r>
  <r>
    <x v="3"/>
    <x v="6"/>
    <m/>
    <s v="قلع"/>
    <x v="10"/>
    <m/>
    <n v="0"/>
    <n v="12"/>
    <s v="Kg"/>
    <n v="3600000"/>
    <n v="43200000"/>
    <s v="DISTRIBUTION BOARD"/>
    <s v="Sheet"/>
    <b v="0"/>
  </r>
  <r>
    <x v="3"/>
    <x v="6"/>
    <n v="3"/>
    <m/>
    <x v="56"/>
    <m/>
    <n v="4"/>
    <m/>
    <s v="PCS"/>
    <n v="50000"/>
    <n v="200000"/>
    <s v="DISTRIBUTION BOARD"/>
    <s v="Sheet"/>
    <b v="0"/>
  </r>
  <r>
    <x v="3"/>
    <x v="6"/>
    <n v="4"/>
    <m/>
    <x v="57"/>
    <m/>
    <n v="4"/>
    <m/>
    <s v="PCS"/>
    <n v="15000"/>
    <n v="60000"/>
    <s v="DISTRIBUTION BOARD"/>
    <s v="Sheet"/>
    <b v="0"/>
  </r>
  <r>
    <x v="3"/>
    <x v="6"/>
    <n v="5"/>
    <m/>
    <x v="58"/>
    <m/>
    <n v="8"/>
    <m/>
    <s v="PCS"/>
    <n v="5000"/>
    <n v="40000"/>
    <s v="DISTRIBUTION BOARD"/>
    <s v="Sheet"/>
    <b v="0"/>
  </r>
  <r>
    <x v="3"/>
    <x v="6"/>
    <n v="6"/>
    <m/>
    <x v="59"/>
    <m/>
    <n v="4"/>
    <m/>
    <s v="PCS"/>
    <n v="5000"/>
    <n v="20000"/>
    <s v="DISTRIBUTION BOARD"/>
    <s v="Sheet"/>
    <b v="0"/>
  </r>
  <r>
    <x v="3"/>
    <x v="6"/>
    <n v="7"/>
    <m/>
    <x v="32"/>
    <m/>
    <m/>
    <n v="5"/>
    <s v="h"/>
    <n v="13000000"/>
    <n v="65000000"/>
    <s v="DISTRIBUTION BOARD"/>
    <s v="Sheet"/>
    <b v="0"/>
  </r>
  <r>
    <x v="3"/>
    <x v="6"/>
    <n v="8"/>
    <m/>
    <x v="35"/>
    <m/>
    <m/>
    <n v="0"/>
    <s v="%"/>
    <m/>
    <n v="0"/>
    <s v="DISTRIBUTION BOARD"/>
    <s v="Sheet"/>
    <b v="0"/>
  </r>
  <r>
    <x v="3"/>
    <x v="7"/>
    <n v="1"/>
    <s v="مس"/>
    <x v="61"/>
    <m/>
    <n v="1"/>
    <n v="12"/>
    <s v="Kg"/>
    <n v="8500000"/>
    <n v="102000000"/>
    <s v="Transformer connection"/>
    <s v="Sheet"/>
    <b v="0"/>
  </r>
  <r>
    <x v="3"/>
    <x v="7"/>
    <m/>
    <s v="قلع"/>
    <x v="10"/>
    <m/>
    <n v="0"/>
    <n v="12"/>
    <s v="Kg"/>
    <n v="3600000"/>
    <n v="43200000"/>
    <s v="Transformer connection"/>
    <s v="Sheet"/>
    <b v="0"/>
  </r>
  <r>
    <x v="3"/>
    <x v="7"/>
    <n v="3"/>
    <m/>
    <x v="56"/>
    <m/>
    <n v="16"/>
    <m/>
    <s v="PCS"/>
    <n v="50000"/>
    <n v="800000"/>
    <s v="Transformer connection"/>
    <s v="Sheet"/>
    <b v="0"/>
  </r>
  <r>
    <x v="3"/>
    <x v="7"/>
    <n v="4"/>
    <m/>
    <x v="57"/>
    <m/>
    <n v="16"/>
    <m/>
    <s v="PCS"/>
    <n v="15000"/>
    <n v="240000"/>
    <s v="Transformer connection"/>
    <s v="Sheet"/>
    <b v="0"/>
  </r>
  <r>
    <x v="3"/>
    <x v="7"/>
    <n v="5"/>
    <m/>
    <x v="58"/>
    <m/>
    <n v="32"/>
    <m/>
    <s v="PCS"/>
    <n v="5000"/>
    <n v="160000"/>
    <s v="Transformer connection"/>
    <s v="Sheet"/>
    <b v="0"/>
  </r>
  <r>
    <x v="3"/>
    <x v="7"/>
    <n v="6"/>
    <m/>
    <x v="59"/>
    <m/>
    <n v="16"/>
    <m/>
    <s v="PCS"/>
    <n v="5000"/>
    <n v="80000"/>
    <s v="Transformer connection"/>
    <s v="Sheet"/>
    <b v="0"/>
  </r>
  <r>
    <x v="3"/>
    <x v="7"/>
    <n v="7"/>
    <m/>
    <x v="32"/>
    <m/>
    <m/>
    <n v="5"/>
    <s v="h"/>
    <n v="13000000"/>
    <n v="65000000"/>
    <s v="Transformer connection"/>
    <s v="Sheet"/>
    <b v="0"/>
  </r>
  <r>
    <x v="3"/>
    <x v="7"/>
    <n v="8"/>
    <m/>
    <x v="35"/>
    <m/>
    <m/>
    <n v="0"/>
    <s v="%"/>
    <m/>
    <n v="0"/>
    <s v="Transformer connection"/>
    <s v="Sheet"/>
    <b v="0"/>
  </r>
  <r>
    <x v="3"/>
    <x v="8"/>
    <n v="1"/>
    <s v="آهن"/>
    <x v="62"/>
    <m/>
    <n v="1"/>
    <n v="25"/>
    <s v="Kg"/>
    <n v="5200000"/>
    <n v="130000000"/>
    <s v="Connection protection unit"/>
    <s v="Sheet"/>
    <b v="0"/>
  </r>
  <r>
    <x v="3"/>
    <x v="8"/>
    <m/>
    <s v="آهن"/>
    <x v="63"/>
    <m/>
    <n v="1"/>
    <m/>
    <s v="Kg"/>
    <m/>
    <n v="0"/>
    <s v="Connection protection unit"/>
    <s v="Sheet"/>
    <b v="0"/>
  </r>
  <r>
    <x v="3"/>
    <x v="8"/>
    <n v="3"/>
    <m/>
    <x v="38"/>
    <m/>
    <n v="32"/>
    <m/>
    <s v="PCS"/>
    <n v="10000"/>
    <n v="320000"/>
    <s v="Connection protection unit"/>
    <s v="Sheet"/>
    <b v="0"/>
  </r>
  <r>
    <x v="3"/>
    <x v="8"/>
    <n v="4"/>
    <m/>
    <x v="15"/>
    <m/>
    <n v="32"/>
    <m/>
    <s v="PCS"/>
    <n v="60000"/>
    <n v="1920000"/>
    <s v="Connection protection unit"/>
    <s v="Sheet"/>
    <b v="0"/>
  </r>
  <r>
    <x v="3"/>
    <x v="8"/>
    <n v="5"/>
    <m/>
    <x v="64"/>
    <m/>
    <n v="32"/>
    <m/>
    <s v="PCS"/>
    <n v="60000"/>
    <n v="1920000"/>
    <s v="Connection protection unit"/>
    <s v="Sheet"/>
    <b v="0"/>
  </r>
  <r>
    <x v="3"/>
    <x v="8"/>
    <n v="6"/>
    <m/>
    <x v="38"/>
    <m/>
    <n v="12"/>
    <m/>
    <s v="PCS"/>
    <n v="10000"/>
    <n v="120000"/>
    <s v="Connection protection unit"/>
    <s v="Sheet"/>
    <b v="0"/>
  </r>
  <r>
    <x v="3"/>
    <x v="8"/>
    <n v="7"/>
    <m/>
    <x v="65"/>
    <m/>
    <n v="12"/>
    <m/>
    <s v="PCS"/>
    <n v="10000"/>
    <n v="120000"/>
    <s v="Connection protection unit"/>
    <s v="Sheet"/>
    <b v="0"/>
  </r>
  <r>
    <x v="3"/>
    <x v="8"/>
    <n v="8"/>
    <m/>
    <x v="40"/>
    <m/>
    <n v="12"/>
    <m/>
    <s v="PCS"/>
    <n v="60000"/>
    <n v="720000"/>
    <s v="Connection protection unit"/>
    <s v="Sheet"/>
    <b v="0"/>
  </r>
  <r>
    <x v="3"/>
    <x v="8"/>
    <n v="9"/>
    <m/>
    <x v="66"/>
    <m/>
    <n v="32"/>
    <m/>
    <s v="PCS"/>
    <n v="10000"/>
    <n v="320000"/>
    <s v="Connection protection unit"/>
    <s v="Sheet"/>
    <b v="0"/>
  </r>
  <r>
    <x v="3"/>
    <x v="8"/>
    <n v="10"/>
    <m/>
    <x v="8"/>
    <m/>
    <n v="25"/>
    <m/>
    <s v="Kg"/>
    <n v="1430000"/>
    <n v="35750000"/>
    <s v="Connection protection unit"/>
    <s v="Sheet"/>
    <b v="0"/>
  </r>
  <r>
    <x v="3"/>
    <x v="8"/>
    <m/>
    <m/>
    <x v="30"/>
    <m/>
    <n v="1"/>
    <n v="6"/>
    <s v="m"/>
    <n v="460000"/>
    <n v="2760000"/>
    <s v="Connection protection unit"/>
    <s v="Sheet"/>
    <b v="0"/>
  </r>
  <r>
    <x v="3"/>
    <x v="8"/>
    <n v="11"/>
    <m/>
    <x v="32"/>
    <m/>
    <m/>
    <n v="5"/>
    <s v="h"/>
    <n v="13000000"/>
    <n v="65000000"/>
    <s v="Connection protection unit"/>
    <s v="Sheet"/>
    <b v="0"/>
  </r>
  <r>
    <x v="3"/>
    <x v="8"/>
    <n v="12"/>
    <m/>
    <x v="35"/>
    <m/>
    <m/>
    <n v="0"/>
    <s v="%"/>
    <m/>
    <n v="0"/>
    <s v="Connection protection unit"/>
    <s v="Sheet"/>
    <b v="0"/>
  </r>
  <r>
    <x v="3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3"/>
    <x v="9"/>
    <m/>
    <m/>
    <x v="68"/>
    <s v="200 X 100 X 3"/>
    <n v="2"/>
    <n v="0.94320000000000004"/>
    <s v="Kg"/>
    <n v="800000"/>
    <n v="754560"/>
    <s v="SPRINH HANGER"/>
    <s v="Sheet"/>
    <b v="0"/>
  </r>
  <r>
    <x v="3"/>
    <x v="9"/>
    <m/>
    <m/>
    <x v="69"/>
    <m/>
    <n v="2"/>
    <m/>
    <s v="PCS"/>
    <n v="5000000"/>
    <n v="10000000"/>
    <s v="SPRINH HANGER"/>
    <s v="Sheet"/>
    <b v="0"/>
  </r>
  <r>
    <x v="3"/>
    <x v="9"/>
    <n v="2"/>
    <m/>
    <x v="70"/>
    <n v="260"/>
    <n v="2"/>
    <n v="0.52"/>
    <s v="m"/>
    <n v="2000000"/>
    <n v="1040000"/>
    <s v="SPRINH HANGER"/>
    <s v="Sheet"/>
    <b v="0"/>
  </r>
  <r>
    <x v="3"/>
    <x v="9"/>
    <m/>
    <m/>
    <x v="71"/>
    <m/>
    <n v="10"/>
    <m/>
    <s v="PCS"/>
    <n v="200000"/>
    <n v="2000000"/>
    <s v="SPRINH HANGER"/>
    <s v="Sheet"/>
    <b v="0"/>
  </r>
  <r>
    <x v="3"/>
    <x v="9"/>
    <n v="7"/>
    <m/>
    <x v="72"/>
    <m/>
    <n v="4"/>
    <n v="4"/>
    <s v="PCS"/>
    <n v="300000"/>
    <n v="1200000"/>
    <s v="SPRINH HANGER"/>
    <s v="Sheet"/>
    <b v="0"/>
  </r>
  <r>
    <x v="3"/>
    <x v="9"/>
    <n v="8"/>
    <m/>
    <x v="58"/>
    <m/>
    <n v="10"/>
    <n v="10"/>
    <s v="PCS"/>
    <n v="30000"/>
    <n v="300000"/>
    <s v="SPRINH HANGER"/>
    <s v="Sheet"/>
    <b v="0"/>
  </r>
  <r>
    <x v="3"/>
    <x v="9"/>
    <n v="9"/>
    <m/>
    <x v="73"/>
    <m/>
    <n v="4"/>
    <n v="4"/>
    <s v="PCS"/>
    <n v="30000"/>
    <n v="120000"/>
    <s v="SPRINH HANGER"/>
    <s v="Sheet"/>
    <b v="0"/>
  </r>
  <r>
    <x v="3"/>
    <x v="9"/>
    <n v="12"/>
    <m/>
    <x v="46"/>
    <m/>
    <n v="4"/>
    <n v="4"/>
    <s v="PCS"/>
    <n v="30000"/>
    <n v="120000"/>
    <s v="SPRINH HANGER"/>
    <s v="Sheet"/>
    <b v="0"/>
  </r>
  <r>
    <x v="3"/>
    <x v="9"/>
    <n v="13"/>
    <m/>
    <x v="32"/>
    <m/>
    <m/>
    <n v="1"/>
    <s v="h"/>
    <n v="13000000"/>
    <n v="13000000"/>
    <s v="SPRINH HANGER"/>
    <s v="Sheet"/>
    <b v="0"/>
  </r>
  <r>
    <x v="3"/>
    <x v="9"/>
    <n v="14"/>
    <m/>
    <x v="35"/>
    <m/>
    <m/>
    <n v="0"/>
    <s v="%"/>
    <m/>
    <n v="0"/>
    <s v="SPRINH HANGER"/>
    <s v="Sheet"/>
    <b v="0"/>
  </r>
  <r>
    <x v="3"/>
    <x v="9"/>
    <m/>
    <m/>
    <x v="74"/>
    <n v="300"/>
    <n v="200"/>
    <n v="3"/>
    <n v="7.86"/>
    <m/>
    <n v="1.4148000000000001"/>
    <s v="SPRINH HANGER"/>
    <s v="Sheet"/>
    <b v="0"/>
  </r>
  <r>
    <x v="3"/>
    <x v="9"/>
    <m/>
    <m/>
    <x v="75"/>
    <n v="200"/>
    <n v="100"/>
    <n v="3"/>
    <n v="7.86"/>
    <m/>
    <n v="0.47160000000000002"/>
    <s v="SPRINH HANGER"/>
    <s v="Sheet"/>
    <b v="0"/>
  </r>
  <r>
    <x v="3"/>
    <x v="10"/>
    <n v="1"/>
    <s v="آهن"/>
    <x v="76"/>
    <m/>
    <n v="1"/>
    <n v="1.6485000000000001"/>
    <s v="Kg"/>
    <n v="700000"/>
    <n v="1153950"/>
    <s v="Suspension unit ceiling"/>
    <s v="Sheet"/>
    <b v="0"/>
  </r>
  <r>
    <x v="3"/>
    <x v="10"/>
    <n v="2"/>
    <s v="آهن"/>
    <x v="77"/>
    <m/>
    <n v="2"/>
    <m/>
    <s v="m"/>
    <n v="1200000"/>
    <n v="2400000"/>
    <s v="Suspension unit ceiling"/>
    <s v="Sheet"/>
    <b v="0"/>
  </r>
  <r>
    <x v="3"/>
    <x v="10"/>
    <n v="3"/>
    <m/>
    <x v="78"/>
    <m/>
    <n v="2"/>
    <m/>
    <s v="PCS"/>
    <n v="100000"/>
    <n v="200000"/>
    <s v="Suspension unit ceiling"/>
    <s v="Sheet"/>
    <b v="0"/>
  </r>
  <r>
    <x v="3"/>
    <x v="10"/>
    <n v="4"/>
    <m/>
    <x v="57"/>
    <m/>
    <n v="6"/>
    <m/>
    <s v="PCS"/>
    <n v="10000"/>
    <n v="60000"/>
    <s v="Suspension unit ceiling"/>
    <s v="Sheet"/>
    <b v="0"/>
  </r>
  <r>
    <x v="3"/>
    <x v="10"/>
    <n v="5"/>
    <m/>
    <x v="58"/>
    <m/>
    <n v="6"/>
    <m/>
    <s v="PCS"/>
    <n v="5000"/>
    <n v="30000"/>
    <s v="Suspension unit ceiling"/>
    <s v="Sheet"/>
    <b v="0"/>
  </r>
  <r>
    <x v="3"/>
    <x v="10"/>
    <n v="6"/>
    <m/>
    <x v="79"/>
    <m/>
    <n v="2"/>
    <m/>
    <s v="PCS"/>
    <n v="500000"/>
    <n v="1000000"/>
    <s v="Suspension unit ceiling"/>
    <s v="Sheet"/>
    <b v="0"/>
  </r>
  <r>
    <x v="3"/>
    <x v="10"/>
    <n v="7"/>
    <m/>
    <x v="80"/>
    <m/>
    <n v="2"/>
    <m/>
    <s v="PCS"/>
    <n v="10000"/>
    <n v="20000"/>
    <s v="Suspension unit ceiling"/>
    <s v="Sheet"/>
    <b v="0"/>
  </r>
  <r>
    <x v="3"/>
    <x v="10"/>
    <n v="8"/>
    <m/>
    <x v="65"/>
    <m/>
    <n v="2"/>
    <m/>
    <s v="PCS"/>
    <n v="5000"/>
    <n v="10000"/>
    <s v="Suspension unit ceiling"/>
    <s v="Sheet"/>
    <b v="0"/>
  </r>
  <r>
    <x v="3"/>
    <x v="10"/>
    <n v="9"/>
    <m/>
    <x v="40"/>
    <m/>
    <n v="2"/>
    <m/>
    <s v="PCS"/>
    <n v="60000"/>
    <n v="120000"/>
    <s v="Suspension unit ceiling"/>
    <s v="Sheet"/>
    <b v="0"/>
  </r>
  <r>
    <x v="3"/>
    <x v="10"/>
    <n v="10"/>
    <m/>
    <x v="32"/>
    <m/>
    <m/>
    <n v="3"/>
    <s v="h"/>
    <n v="13000000"/>
    <n v="39000000"/>
    <s v="Suspension unit ceiling"/>
    <s v="Sheet"/>
    <b v="0"/>
  </r>
  <r>
    <x v="3"/>
    <x v="10"/>
    <n v="11"/>
    <m/>
    <x v="35"/>
    <m/>
    <m/>
    <n v="0"/>
    <s v="%"/>
    <m/>
    <n v="0"/>
    <s v="Suspension unit ceiling"/>
    <s v="Sheet"/>
    <b v="0"/>
  </r>
  <r>
    <x v="3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3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3"/>
    <x v="11"/>
    <n v="7"/>
    <m/>
    <x v="13"/>
    <m/>
    <n v="2"/>
    <n v="2"/>
    <s v="PCS"/>
    <n v="50000"/>
    <n v="100000"/>
    <s v="Universal fixing unit"/>
    <s v="Sheet"/>
    <b v="0"/>
  </r>
  <r>
    <x v="3"/>
    <x v="11"/>
    <n v="8"/>
    <m/>
    <x v="64"/>
    <m/>
    <n v="4"/>
    <n v="4"/>
    <s v="PCS"/>
    <n v="30000"/>
    <n v="120000"/>
    <s v="Universal fixing unit"/>
    <s v="Sheet"/>
    <b v="0"/>
  </r>
  <r>
    <x v="3"/>
    <x v="11"/>
    <n v="9"/>
    <m/>
    <x v="82"/>
    <m/>
    <n v="1"/>
    <n v="1"/>
    <s v="PCS"/>
    <n v="30000"/>
    <n v="30000"/>
    <s v="Universal fixing unit"/>
    <s v="Sheet"/>
    <b v="0"/>
  </r>
  <r>
    <x v="3"/>
    <x v="11"/>
    <n v="13"/>
    <m/>
    <x v="32"/>
    <m/>
    <m/>
    <n v="1"/>
    <s v="h"/>
    <n v="13000000"/>
    <n v="13000000"/>
    <s v="Universal fixing unit"/>
    <s v="Sheet"/>
    <b v="0"/>
  </r>
  <r>
    <x v="3"/>
    <x v="11"/>
    <n v="14"/>
    <m/>
    <x v="35"/>
    <m/>
    <m/>
    <n v="0"/>
    <s v="%"/>
    <m/>
    <n v="0"/>
    <s v="Universal fixing unit"/>
    <s v="Sheet"/>
    <b v="0"/>
  </r>
  <r>
    <x v="3"/>
    <x v="11"/>
    <m/>
    <m/>
    <x v="74"/>
    <n v="300"/>
    <n v="100"/>
    <n v="2.5"/>
    <n v="7.86"/>
    <m/>
    <n v="0.58950000000000002"/>
    <s v="Universal fixing unit"/>
    <s v="Sheet"/>
    <b v="0"/>
  </r>
  <r>
    <x v="4"/>
    <x v="17"/>
    <n v="1"/>
    <s v="آلومینیوم"/>
    <x v="0"/>
    <n v="2735"/>
    <n v="2"/>
    <n v="7.6580000000000004"/>
    <s v="Kg"/>
    <n v="8500000"/>
    <n v="65092999.999999993"/>
    <s v="FEEDER-2500"/>
    <s v="Sheet"/>
    <b v="0"/>
  </r>
  <r>
    <x v="4"/>
    <x v="17"/>
    <n v="2"/>
    <m/>
    <x v="1"/>
    <n v="2735"/>
    <n v="1"/>
    <n v="3.8290000000000002"/>
    <s v="Kg"/>
    <n v="8500000"/>
    <n v="32546499.999999996"/>
    <s v="FEEDER-2500"/>
    <s v="Sheet"/>
    <b v="0"/>
  </r>
  <r>
    <x v="4"/>
    <x v="17"/>
    <n v="3"/>
    <m/>
    <x v="86"/>
    <n v="2703"/>
    <n v="4"/>
    <n v="28.1112"/>
    <s v="Kg"/>
    <n v="8500000"/>
    <n v="238945200"/>
    <s v="FEEDER-2500"/>
    <s v="Sheet"/>
    <b v="0"/>
  </r>
  <r>
    <x v="4"/>
    <x v="17"/>
    <n v="4"/>
    <m/>
    <x v="3"/>
    <n v="120"/>
    <n v="4"/>
    <n v="0.48"/>
    <s v="Kg"/>
    <n v="8500000"/>
    <n v="4080000"/>
    <s v="FEEDER-2500"/>
    <s v="Sheet"/>
    <b v="0"/>
  </r>
  <r>
    <x v="4"/>
    <x v="17"/>
    <n v="5"/>
    <m/>
    <x v="4"/>
    <n v="180"/>
    <n v="4"/>
    <n v="2.4552719999999999"/>
    <s v="Kg"/>
    <n v="8500000"/>
    <n v="20869812"/>
    <s v="FEEDER-2500"/>
    <s v="Sheet"/>
    <b v="0"/>
  </r>
  <r>
    <x v="4"/>
    <x v="17"/>
    <n v="6"/>
    <m/>
    <x v="5"/>
    <s v="2970"/>
    <n v="8"/>
    <n v="53.887680000000017"/>
    <s v="Kg"/>
    <n v="8500000"/>
    <n v="458045280.00000018"/>
    <s v="FEEDER-2500"/>
    <s v="Sheet"/>
    <b v="0"/>
  </r>
  <r>
    <x v="4"/>
    <x v="17"/>
    <n v="7"/>
    <s v="عایق ها"/>
    <x v="6"/>
    <n v="0.13"/>
    <n v="9.1238399999999995"/>
    <n v="9.1238399999999995"/>
    <s v="M2"/>
    <n v="4275000"/>
    <n v="39004416"/>
    <s v="FEEDER-2500"/>
    <s v="Sheet"/>
    <b v="0"/>
  </r>
  <r>
    <x v="4"/>
    <x v="17"/>
    <n v="8"/>
    <m/>
    <x v="7"/>
    <n v="0.35"/>
    <n v="3.2617728000000001"/>
    <n v="3.2617728000000001"/>
    <s v="Kg"/>
    <n v="35750000"/>
    <n v="116608377.59999999"/>
    <s v="FEEDER-2500"/>
    <s v="Sheet"/>
    <b v="0"/>
  </r>
  <r>
    <x v="4"/>
    <x v="17"/>
    <n v="9"/>
    <m/>
    <x v="7"/>
    <n v="0.2"/>
    <n v="0"/>
    <n v="0"/>
    <s v="Kg"/>
    <n v="45760000"/>
    <n v="0"/>
    <s v="FEEDER-2500"/>
    <s v="Sheet"/>
    <b v="0"/>
  </r>
  <r>
    <x v="4"/>
    <x v="17"/>
    <n v="10"/>
    <s v="رنگ بدنه"/>
    <x v="8"/>
    <m/>
    <n v="39.598199999999999"/>
    <n v="39.598199999999999"/>
    <s v="Kg"/>
    <n v="1430000"/>
    <n v="56625426"/>
    <s v="FEEDER-2500"/>
    <s v="Sheet"/>
    <b v="0"/>
  </r>
  <r>
    <x v="4"/>
    <x v="17"/>
    <n v="11"/>
    <s v="قلع"/>
    <x v="9"/>
    <m/>
    <n v="16"/>
    <n v="16"/>
    <s v="Kg"/>
    <n v="3000000"/>
    <n v="48000000"/>
    <s v="FEEDER-2500"/>
    <s v="Sheet"/>
    <b v="0"/>
  </r>
  <r>
    <x v="4"/>
    <x v="17"/>
    <n v="12"/>
    <m/>
    <x v="10"/>
    <m/>
    <n v="53.887680000000017"/>
    <n v="53.887680000000017"/>
    <s v="PCS"/>
    <n v="3600000"/>
    <n v="193995648.00000009"/>
    <s v="FEEDER-2500"/>
    <s v="Sheet"/>
    <b v="0"/>
  </r>
  <r>
    <x v="4"/>
    <x v="17"/>
    <n v="13"/>
    <s v="چسب"/>
    <x v="11"/>
    <m/>
    <n v="23.76"/>
    <n v="23.76"/>
    <s v="PCS"/>
    <n v="3600000"/>
    <n v="85536000"/>
    <s v="FEEDER-2500"/>
    <s v="Sheet"/>
    <b v="0"/>
  </r>
  <r>
    <x v="4"/>
    <x v="17"/>
    <n v="14"/>
    <m/>
    <x v="12"/>
    <m/>
    <n v="0.4"/>
    <n v="0.4"/>
    <s v="PCS"/>
    <n v="5500000"/>
    <n v="2200000"/>
    <s v="FEEDER-2500"/>
    <s v="Sheet"/>
    <b v="0"/>
  </r>
  <r>
    <x v="4"/>
    <x v="17"/>
    <n v="15"/>
    <s v="پیچ و مهره"/>
    <x v="13"/>
    <m/>
    <s v="80"/>
    <s v="80"/>
    <s v="PCS"/>
    <n v="200000"/>
    <n v="16000000"/>
    <s v="FEEDER-2500"/>
    <s v="Sheet"/>
    <b v="0"/>
  </r>
  <r>
    <x v="4"/>
    <x v="17"/>
    <n v="16"/>
    <m/>
    <x v="14"/>
    <m/>
    <n v="8"/>
    <n v="8"/>
    <s v="PCS"/>
    <n v="200000"/>
    <n v="1600000"/>
    <s v="FEEDER-2500"/>
    <s v="Sheet"/>
    <b v="0"/>
  </r>
  <r>
    <x v="4"/>
    <x v="17"/>
    <n v="17"/>
    <m/>
    <x v="15"/>
    <m/>
    <n v="88"/>
    <n v="88"/>
    <s v="PCS"/>
    <n v="200000"/>
    <n v="17600000"/>
    <s v="FEEDER-2500"/>
    <s v="Sheet"/>
    <b v="0"/>
  </r>
  <r>
    <x v="4"/>
    <x v="17"/>
    <n v="18"/>
    <m/>
    <x v="16"/>
    <m/>
    <n v="16"/>
    <n v="16"/>
    <s v="PCS"/>
    <n v="400000"/>
    <n v="6400000"/>
    <s v="FEEDER-2500"/>
    <s v="Sheet"/>
    <b v="0"/>
  </r>
  <r>
    <x v="4"/>
    <x v="17"/>
    <n v="19"/>
    <m/>
    <x v="17"/>
    <m/>
    <n v="16"/>
    <n v="16"/>
    <s v="PCS"/>
    <n v="120000"/>
    <n v="1920000"/>
    <s v="FEEDER-2500"/>
    <s v="Sheet"/>
    <b v="0"/>
  </r>
  <r>
    <x v="4"/>
    <x v="17"/>
    <n v="20"/>
    <m/>
    <x v="18"/>
    <m/>
    <n v="24"/>
    <n v="24"/>
    <s v="PCS"/>
    <n v="400000"/>
    <n v="9600000"/>
    <s v="FEEDER-2500"/>
    <s v="Sheet"/>
    <b v="0"/>
  </r>
  <r>
    <x v="4"/>
    <x v="17"/>
    <n v="21"/>
    <s v="مس"/>
    <x v="19"/>
    <n v="132"/>
    <n v="16"/>
    <n v="7.9478783999999996"/>
    <s v="Kg"/>
    <n v="35000000"/>
    <n v="278175744"/>
    <s v="FEEDER-2500"/>
    <s v="Sheet"/>
    <b v="0"/>
  </r>
  <r>
    <x v="4"/>
    <x v="17"/>
    <n v="22"/>
    <s v="آهن"/>
    <x v="20"/>
    <s v="115 X 185"/>
    <n v="2"/>
    <n v="2.6"/>
    <s v="Kg"/>
    <n v="5200000"/>
    <n v="13520000"/>
    <s v="FEEDER-2500"/>
    <s v="Sheet"/>
    <b v="0"/>
  </r>
  <r>
    <x v="4"/>
    <x v="17"/>
    <n v="23"/>
    <m/>
    <x v="21"/>
    <s v="425 X 265"/>
    <n v="2"/>
    <n v="1.2"/>
    <s v="Kg"/>
    <n v="5200000"/>
    <n v="6240000"/>
    <s v="FEEDER-2500"/>
    <s v="Sheet"/>
    <b v="0"/>
  </r>
  <r>
    <x v="4"/>
    <x v="17"/>
    <n v="24"/>
    <s v="الومینیوم"/>
    <x v="22"/>
    <s v="118*157"/>
    <n v="2"/>
    <n v="1.487393"/>
    <s v="Kg"/>
    <n v="8500000"/>
    <n v="12642840.5"/>
    <s v="FEEDER-2500"/>
    <s v="Sheet"/>
    <b v="0"/>
  </r>
  <r>
    <x v="4"/>
    <x v="17"/>
    <n v="25"/>
    <s v="پلی امید"/>
    <x v="23"/>
    <n v="0.18"/>
    <n v="4"/>
    <n v="4"/>
    <s v="PCS"/>
    <n v="910000"/>
    <n v="3640000"/>
    <s v="FEEDER-2500"/>
    <s v="Sheet"/>
    <b v="0"/>
  </r>
  <r>
    <x v="4"/>
    <x v="17"/>
    <n v="26"/>
    <m/>
    <x v="24"/>
    <n v="0.2"/>
    <n v="6"/>
    <n v="6"/>
    <s v="PCS"/>
    <n v="910000"/>
    <n v="5460000"/>
    <s v="FEEDER-2500"/>
    <s v="Sheet"/>
    <b v="0"/>
  </r>
  <r>
    <x v="4"/>
    <x v="17"/>
    <n v="27"/>
    <s v="ABS"/>
    <x v="25"/>
    <s v="80 mm"/>
    <n v="2"/>
    <n v="2"/>
    <s v="PCS"/>
    <n v="100000"/>
    <n v="200000"/>
    <s v="FEEDER-2500"/>
    <s v="Sheet"/>
    <b v="0"/>
  </r>
  <r>
    <x v="4"/>
    <x v="17"/>
    <n v="28"/>
    <s v="پیچ و مهره"/>
    <x v="26"/>
    <m/>
    <n v="4"/>
    <n v="4"/>
    <s v="PCS"/>
    <n v="2400000"/>
    <n v="9600000"/>
    <s v="FEEDER-2500"/>
    <s v="Sheet"/>
    <b v="0"/>
  </r>
  <r>
    <x v="4"/>
    <x v="17"/>
    <n v="29"/>
    <m/>
    <x v="27"/>
    <m/>
    <n v="4"/>
    <n v="4"/>
    <s v="PCS"/>
    <n v="2400000"/>
    <n v="9600000"/>
    <s v="FEEDER-2500"/>
    <s v="Sheet"/>
    <b v="0"/>
  </r>
  <r>
    <x v="4"/>
    <x v="17"/>
    <n v="30"/>
    <m/>
    <x v="28"/>
    <m/>
    <n v="4"/>
    <n v="4"/>
    <s v="PCS"/>
    <n v="3000000"/>
    <n v="12000000"/>
    <s v="FEEDER-2500"/>
    <s v="Sheet"/>
    <b v="0"/>
  </r>
  <r>
    <x v="4"/>
    <x v="17"/>
    <n v="31"/>
    <s v="نوار IP"/>
    <x v="29"/>
    <m/>
    <n v="2"/>
    <n v="2"/>
    <s v="PCS"/>
    <n v="1300000"/>
    <n v="2600000"/>
    <s v="FEEDER-2500"/>
    <s v="Sheet"/>
    <b v="0"/>
  </r>
  <r>
    <x v="4"/>
    <x v="17"/>
    <n v="32"/>
    <s v="نوار IP"/>
    <x v="30"/>
    <m/>
    <n v="8"/>
    <n v="21.623999999999999"/>
    <s v="m"/>
    <n v="460000"/>
    <n v="9947040"/>
    <s v="FEEDER-2500"/>
    <s v="Sheet"/>
    <b v="0"/>
  </r>
  <r>
    <x v="4"/>
    <x v="17"/>
    <n v="33"/>
    <s v="ترموفیت"/>
    <x v="31"/>
    <n v="50"/>
    <n v="16"/>
    <n v="1.6"/>
    <s v="m "/>
    <n v="9739400"/>
    <n v="15583040"/>
    <s v="FEEDER-2500"/>
    <s v="Sheet"/>
    <b v="0"/>
  </r>
  <r>
    <x v="4"/>
    <x v="17"/>
    <n v="28"/>
    <m/>
    <x v="32"/>
    <m/>
    <m/>
    <n v="8"/>
    <s v="h"/>
    <n v="13000000"/>
    <n v="104000000"/>
    <s v="FEEDER-2500"/>
    <s v="Sheet"/>
    <b v="0"/>
  </r>
  <r>
    <x v="4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4"/>
    <x v="1"/>
    <n v="2"/>
    <m/>
    <x v="1"/>
    <n v="0.76800000000000002"/>
    <n v="1"/>
    <n v="1.0751999999999999"/>
    <s v="Kg"/>
    <n v="8500000"/>
    <n v="9139200"/>
    <s v="Vertical elbow"/>
    <s v="Sheet"/>
    <b v="0"/>
  </r>
  <r>
    <x v="4"/>
    <x v="1"/>
    <n v="3"/>
    <m/>
    <x v="86"/>
    <n v="0.70299999999999996"/>
    <n v="4"/>
    <n v="7.3112000000000004"/>
    <s v="Kg"/>
    <n v="8500000"/>
    <n v="62145199.999999993"/>
    <s v="Vertical elbow"/>
    <s v="Sheet"/>
    <b v="0"/>
  </r>
  <r>
    <x v="4"/>
    <x v="1"/>
    <n v="4"/>
    <m/>
    <x v="3"/>
    <n v="120"/>
    <n v="4"/>
    <n v="0.48"/>
    <s v="Kg"/>
    <n v="8500000"/>
    <n v="4080000"/>
    <s v="Vertical elbow"/>
    <s v="Sheet"/>
    <b v="0"/>
  </r>
  <r>
    <x v="4"/>
    <x v="1"/>
    <n v="5"/>
    <m/>
    <x v="4"/>
    <n v="180"/>
    <n v="4"/>
    <n v="2.4552719999999999"/>
    <s v="Kg"/>
    <n v="8500000"/>
    <n v="20869812"/>
    <s v="Vertical elbow"/>
    <s v="Sheet"/>
    <b v="0"/>
  </r>
  <r>
    <x v="4"/>
    <x v="1"/>
    <n v="6"/>
    <m/>
    <x v="5"/>
    <n v="0.96299999999999997"/>
    <n v="8"/>
    <n v="17.472672000000003"/>
    <s v="Kg"/>
    <n v="8500000"/>
    <n v="148517712.00000003"/>
    <s v="Vertical elbow"/>
    <s v="Sheet"/>
    <b v="0"/>
  </r>
  <r>
    <x v="4"/>
    <x v="1"/>
    <n v="7"/>
    <s v="عایق ها"/>
    <x v="6"/>
    <n v="0.13"/>
    <n v="2.403648"/>
    <n v="2.403648"/>
    <s v="M2"/>
    <n v="4275000"/>
    <n v="10275595.199999999"/>
    <s v="Vertical elbow"/>
    <s v="Sheet"/>
    <b v="0"/>
  </r>
  <r>
    <x v="4"/>
    <x v="1"/>
    <n v="8"/>
    <m/>
    <x v="7"/>
    <n v="0.35"/>
    <n v="0"/>
    <n v="0"/>
    <s v="Kg"/>
    <n v="35750000"/>
    <n v="0"/>
    <s v="Vertical elbow"/>
    <s v="Sheet"/>
    <b v="0"/>
  </r>
  <r>
    <x v="4"/>
    <x v="1"/>
    <n v="9"/>
    <m/>
    <x v="7"/>
    <n v="0.2"/>
    <n v="1.201824"/>
    <n v="1.201824"/>
    <s v="Kg"/>
    <n v="45760000"/>
    <n v="54995466.240000002"/>
    <s v="Vertical elbow"/>
    <s v="Sheet"/>
    <b v="0"/>
  </r>
  <r>
    <x v="4"/>
    <x v="1"/>
    <n v="10"/>
    <s v="رنگ بدنه"/>
    <x v="8"/>
    <m/>
    <n v="10.536799999999999"/>
    <n v="10.536799999999999"/>
    <s v="PCS"/>
    <n v="1430000"/>
    <n v="15067624"/>
    <s v="Vertical elbow"/>
    <s v="Sheet"/>
    <b v="0"/>
  </r>
  <r>
    <x v="4"/>
    <x v="1"/>
    <n v="11"/>
    <s v="قلع"/>
    <x v="9"/>
    <m/>
    <n v="16"/>
    <n v="16"/>
    <s v="Kg"/>
    <n v="3000000"/>
    <n v="48000000"/>
    <s v="Vertical elbow"/>
    <s v="Sheet"/>
    <b v="0"/>
  </r>
  <r>
    <x v="4"/>
    <x v="1"/>
    <n v="12"/>
    <m/>
    <x v="10"/>
    <m/>
    <n v="17.472672000000003"/>
    <n v="17.472672000000003"/>
    <s v="PCS"/>
    <n v="3600000"/>
    <n v="62901619.20000001"/>
    <s v="Vertical elbow"/>
    <s v="Sheet"/>
    <b v="0"/>
  </r>
  <r>
    <x v="4"/>
    <x v="1"/>
    <n v="13"/>
    <s v="چسب"/>
    <x v="11"/>
    <m/>
    <n v="7.7039999999999997"/>
    <n v="7.7039999999999997"/>
    <s v="PCS"/>
    <n v="3600000"/>
    <n v="27734400"/>
    <s v="Vertical elbow"/>
    <s v="Sheet"/>
    <b v="0"/>
  </r>
  <r>
    <x v="4"/>
    <x v="1"/>
    <n v="14"/>
    <m/>
    <x v="12"/>
    <m/>
    <n v="0.4"/>
    <n v="0.4"/>
    <s v="PCS"/>
    <n v="5500000"/>
    <n v="2200000"/>
    <s v="Vertical elbow"/>
    <s v="Sheet"/>
    <b v="0"/>
  </r>
  <r>
    <x v="4"/>
    <x v="1"/>
    <n v="15"/>
    <s v="پیچ و مهره"/>
    <x v="13"/>
    <m/>
    <n v="20"/>
    <n v="20"/>
    <s v="PCS"/>
    <n v="200000"/>
    <n v="4000000"/>
    <s v="Vertical elbow"/>
    <s v="Sheet"/>
    <b v="0"/>
  </r>
  <r>
    <x v="4"/>
    <x v="1"/>
    <n v="16"/>
    <m/>
    <x v="14"/>
    <m/>
    <n v="8"/>
    <n v="8"/>
    <s v="PCS"/>
    <n v="200000"/>
    <n v="1600000"/>
    <s v="Vertical elbow"/>
    <s v="Sheet"/>
    <b v="0"/>
  </r>
  <r>
    <x v="4"/>
    <x v="1"/>
    <n v="17"/>
    <m/>
    <x v="15"/>
    <m/>
    <n v="28"/>
    <n v="28"/>
    <s v="PCS"/>
    <n v="200000"/>
    <n v="5600000"/>
    <s v="Vertical elbow"/>
    <s v="Sheet"/>
    <b v="0"/>
  </r>
  <r>
    <x v="4"/>
    <x v="1"/>
    <n v="18"/>
    <m/>
    <x v="16"/>
    <m/>
    <n v="16"/>
    <n v="16"/>
    <s v="PCS"/>
    <n v="400000"/>
    <n v="6400000"/>
    <s v="Vertical elbow"/>
    <s v="Sheet"/>
    <b v="0"/>
  </r>
  <r>
    <x v="4"/>
    <x v="1"/>
    <n v="19"/>
    <m/>
    <x v="17"/>
    <m/>
    <n v="16"/>
    <n v="16"/>
    <s v="PCS"/>
    <n v="120000"/>
    <n v="1920000"/>
    <s v="Vertical elbow"/>
    <s v="Sheet"/>
    <b v="0"/>
  </r>
  <r>
    <x v="4"/>
    <x v="1"/>
    <n v="20"/>
    <m/>
    <x v="18"/>
    <m/>
    <n v="24"/>
    <n v="24"/>
    <s v="PCS"/>
    <n v="400000"/>
    <n v="9600000"/>
    <s v="Vertical elbow"/>
    <s v="Sheet"/>
    <b v="0"/>
  </r>
  <r>
    <x v="4"/>
    <x v="1"/>
    <n v="21"/>
    <s v="مس"/>
    <x v="19"/>
    <n v="132"/>
    <n v="16"/>
    <n v="7.9478783999999996"/>
    <s v="Kg"/>
    <n v="35000000"/>
    <n v="278175744"/>
    <s v="Vertical elbow"/>
    <s v="Sheet"/>
    <b v="0"/>
  </r>
  <r>
    <x v="4"/>
    <x v="1"/>
    <n v="22"/>
    <s v="آهن"/>
    <x v="20"/>
    <s v="115 X 185"/>
    <n v="2"/>
    <n v="2.6"/>
    <s v="Kg"/>
    <n v="5200000"/>
    <n v="13520000"/>
    <s v="Vertical elbow"/>
    <s v="Sheet"/>
    <b v="0"/>
  </r>
  <r>
    <x v="4"/>
    <x v="1"/>
    <n v="23"/>
    <m/>
    <x v="21"/>
    <s v="425 X 265"/>
    <n v="2"/>
    <n v="1.2"/>
    <s v="Kg"/>
    <n v="5200000"/>
    <n v="6240000"/>
    <s v="Vertical elbow"/>
    <s v="Sheet"/>
    <b v="0"/>
  </r>
  <r>
    <x v="4"/>
    <x v="1"/>
    <n v="24"/>
    <s v="الومینیوم"/>
    <x v="22"/>
    <s v="163*157"/>
    <n v="2"/>
    <n v="1.487393"/>
    <s v="Kg"/>
    <n v="8500000"/>
    <n v="12642840.5"/>
    <s v="Vertical elbow"/>
    <s v="Sheet"/>
    <b v="0"/>
  </r>
  <r>
    <x v="4"/>
    <x v="1"/>
    <n v="25"/>
    <s v="پلی امید"/>
    <x v="23"/>
    <n v="0.18"/>
    <n v="4"/>
    <n v="4"/>
    <s v="PCS"/>
    <n v="910000"/>
    <n v="3640000"/>
    <s v="Vertical elbow"/>
    <s v="Sheet"/>
    <b v="0"/>
  </r>
  <r>
    <x v="4"/>
    <x v="1"/>
    <n v="26"/>
    <m/>
    <x v="24"/>
    <n v="0.2"/>
    <n v="6"/>
    <n v="6"/>
    <s v="PCS"/>
    <n v="910000"/>
    <n v="5460000"/>
    <s v="Vertical elbow"/>
    <s v="Sheet"/>
    <b v="0"/>
  </r>
  <r>
    <x v="4"/>
    <x v="1"/>
    <n v="27"/>
    <s v="ABS"/>
    <x v="25"/>
    <s v="80 mm"/>
    <n v="2"/>
    <n v="2"/>
    <s v="PCS"/>
    <n v="100000"/>
    <n v="200000"/>
    <s v="Vertical elbow"/>
    <s v="Sheet"/>
    <b v="0"/>
  </r>
  <r>
    <x v="4"/>
    <x v="1"/>
    <n v="28"/>
    <s v="پیچ و مهره"/>
    <x v="26"/>
    <m/>
    <n v="4"/>
    <n v="4"/>
    <s v="PCS"/>
    <n v="2400000"/>
    <n v="9600000"/>
    <s v="Vertical elbow"/>
    <s v="Sheet"/>
    <b v="0"/>
  </r>
  <r>
    <x v="4"/>
    <x v="1"/>
    <n v="29"/>
    <m/>
    <x v="27"/>
    <m/>
    <n v="4"/>
    <n v="4"/>
    <s v="PCS"/>
    <n v="2400000"/>
    <n v="9600000"/>
    <s v="Vertical elbow"/>
    <s v="Sheet"/>
    <b v="0"/>
  </r>
  <r>
    <x v="4"/>
    <x v="1"/>
    <n v="30"/>
    <m/>
    <x v="28"/>
    <m/>
    <n v="4"/>
    <n v="4"/>
    <s v="PCS"/>
    <n v="3000000"/>
    <n v="12000000"/>
    <s v="Vertical elbow"/>
    <s v="Sheet"/>
    <b v="0"/>
  </r>
  <r>
    <x v="4"/>
    <x v="1"/>
    <n v="31"/>
    <s v="جوش"/>
    <x v="33"/>
    <m/>
    <n v="1"/>
    <n v="4"/>
    <s v="PCS"/>
    <n v="30000000"/>
    <n v="120000000"/>
    <s v="Vertical elbow"/>
    <s v="Sheet"/>
    <b v="0"/>
  </r>
  <r>
    <x v="4"/>
    <x v="1"/>
    <n v="32"/>
    <m/>
    <x v="34"/>
    <m/>
    <n v="1"/>
    <n v="8"/>
    <m/>
    <n v="18000000"/>
    <n v="144000000"/>
    <s v="Vertical elbow"/>
    <s v="Sheet"/>
    <b v="0"/>
  </r>
  <r>
    <x v="4"/>
    <x v="1"/>
    <n v="33"/>
    <s v="نوار IP"/>
    <x v="29"/>
    <m/>
    <n v="2"/>
    <n v="2"/>
    <s v="PCS"/>
    <n v="1300000"/>
    <n v="2600000"/>
    <s v="Vertical elbow"/>
    <s v="Sheet"/>
    <b v="0"/>
  </r>
  <r>
    <x v="4"/>
    <x v="1"/>
    <n v="34"/>
    <s v="نوار IP"/>
    <x v="30"/>
    <m/>
    <n v="8"/>
    <n v="5.6239999999999997"/>
    <s v="m"/>
    <n v="460000"/>
    <n v="2587040"/>
    <s v="Vertical elbow"/>
    <s v="Sheet"/>
    <b v="0"/>
  </r>
  <r>
    <x v="4"/>
    <x v="1"/>
    <n v="35"/>
    <s v="ترموفیت"/>
    <x v="31"/>
    <n v="50"/>
    <n v="16"/>
    <n v="1.6"/>
    <s v="m "/>
    <n v="9739400"/>
    <n v="15583040"/>
    <s v="Vertical elbow"/>
    <s v="Sheet"/>
    <b v="0"/>
  </r>
  <r>
    <x v="4"/>
    <x v="1"/>
    <n v="28"/>
    <m/>
    <x v="32"/>
    <m/>
    <m/>
    <n v="12"/>
    <s v="h"/>
    <n v="13000000"/>
    <n v="156000000"/>
    <s v="Vertical elbow"/>
    <s v="Sheet"/>
    <b v="0"/>
  </r>
  <r>
    <x v="4"/>
    <x v="1"/>
    <n v="29"/>
    <m/>
    <x v="35"/>
    <m/>
    <m/>
    <n v="0"/>
    <s v="%"/>
    <m/>
    <n v="0"/>
    <s v="Vertical elbow"/>
    <s v="Sheet"/>
    <b v="0"/>
  </r>
  <r>
    <x v="4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4"/>
    <x v="2"/>
    <n v="2"/>
    <m/>
    <x v="1"/>
    <n v="0.33500000000000002"/>
    <n v="1"/>
    <n v="0.46899999999999997"/>
    <s v="Kg"/>
    <n v="8500000"/>
    <n v="3986499.9999999991"/>
    <s v="Horizontal elbow"/>
    <s v="Sheet"/>
    <b v="0"/>
  </r>
  <r>
    <x v="4"/>
    <x v="2"/>
    <n v="3"/>
    <m/>
    <x v="86"/>
    <n v="0.33500000000000002"/>
    <n v="4"/>
    <n v="3.4840000000000004"/>
    <s v="Kg"/>
    <n v="8500000"/>
    <n v="29614000.000000004"/>
    <s v="Horizontal elbow"/>
    <s v="Sheet"/>
    <b v="0"/>
  </r>
  <r>
    <x v="4"/>
    <x v="2"/>
    <n v="4"/>
    <m/>
    <x v="3"/>
    <n v="120"/>
    <n v="4"/>
    <n v="0.48"/>
    <s v="Kg"/>
    <n v="8500000"/>
    <n v="4080000"/>
    <s v="Horizontal elbow"/>
    <s v="Sheet"/>
    <b v="0"/>
  </r>
  <r>
    <x v="4"/>
    <x v="2"/>
    <n v="5"/>
    <m/>
    <x v="4"/>
    <n v="180"/>
    <n v="4"/>
    <n v="2.4552719999999999"/>
    <s v="Kg"/>
    <n v="8500000"/>
    <n v="20869812"/>
    <s v="Horizontal elbow"/>
    <s v="Sheet"/>
    <b v="0"/>
  </r>
  <r>
    <x v="4"/>
    <x v="2"/>
    <n v="6"/>
    <m/>
    <x v="5"/>
    <n v="0.55800000000000005"/>
    <n v="8"/>
    <n v="10.124352"/>
    <s v="Kg"/>
    <n v="8500000"/>
    <n v="86056992"/>
    <s v="Horizontal elbow"/>
    <s v="Sheet"/>
    <b v="0"/>
  </r>
  <r>
    <x v="4"/>
    <x v="2"/>
    <n v="7"/>
    <s v="عایق ها"/>
    <x v="6"/>
    <n v="0.13"/>
    <n v="1.392768"/>
    <n v="1.392768"/>
    <s v="M2"/>
    <n v="4275000"/>
    <n v="5954083.2000000002"/>
    <s v="Horizontal elbow"/>
    <s v="Sheet"/>
    <b v="0"/>
  </r>
  <r>
    <x v="4"/>
    <x v="2"/>
    <n v="8"/>
    <m/>
    <x v="7"/>
    <n v="0.35"/>
    <n v="0"/>
    <n v="0"/>
    <s v="Kg"/>
    <n v="35750000"/>
    <n v="0"/>
    <s v="Horizontal elbow"/>
    <s v="Sheet"/>
    <b v="0"/>
  </r>
  <r>
    <x v="4"/>
    <x v="2"/>
    <n v="9"/>
    <m/>
    <x v="7"/>
    <n v="0.2"/>
    <n v="0.696384"/>
    <n v="0.696384"/>
    <s v="Kg"/>
    <n v="45760000"/>
    <n v="31866531.84"/>
    <s v="Horizontal elbow"/>
    <s v="Sheet"/>
    <b v="0"/>
  </r>
  <r>
    <x v="4"/>
    <x v="2"/>
    <n v="10"/>
    <s v="رنگ بدنه"/>
    <x v="8"/>
    <m/>
    <n v="4.8910000000000009"/>
    <n v="4.8910000000000009"/>
    <s v="PCS"/>
    <n v="1430000"/>
    <n v="6994130.0000000009"/>
    <s v="Horizontal elbow"/>
    <s v="Sheet"/>
    <b v="0"/>
  </r>
  <r>
    <x v="4"/>
    <x v="2"/>
    <n v="11"/>
    <s v="قلع"/>
    <x v="9"/>
    <m/>
    <n v="16"/>
    <n v="16"/>
    <s v="Kg"/>
    <n v="3000000"/>
    <n v="48000000"/>
    <s v="Horizontal elbow"/>
    <s v="Sheet"/>
    <b v="0"/>
  </r>
  <r>
    <x v="4"/>
    <x v="2"/>
    <n v="12"/>
    <m/>
    <x v="10"/>
    <m/>
    <n v="10.124352"/>
    <n v="10.124352"/>
    <s v="PCS"/>
    <n v="3600000"/>
    <n v="36447667.200000003"/>
    <s v="Horizontal elbow"/>
    <s v="Sheet"/>
    <b v="0"/>
  </r>
  <r>
    <x v="4"/>
    <x v="2"/>
    <n v="13"/>
    <s v="چسب"/>
    <x v="11"/>
    <m/>
    <n v="4.4640000000000004"/>
    <n v="4.4640000000000004"/>
    <s v="PCS"/>
    <n v="3600000"/>
    <n v="16070400.000000002"/>
    <s v="Horizontal elbow"/>
    <s v="Sheet"/>
    <b v="0"/>
  </r>
  <r>
    <x v="4"/>
    <x v="2"/>
    <n v="14"/>
    <m/>
    <x v="12"/>
    <m/>
    <n v="0.4"/>
    <n v="0.4"/>
    <s v="PCS"/>
    <n v="5500000"/>
    <n v="2200000"/>
    <s v="Horizontal elbow"/>
    <s v="Sheet"/>
    <b v="0"/>
  </r>
  <r>
    <x v="4"/>
    <x v="2"/>
    <n v="15"/>
    <s v="پیچ و مهره"/>
    <x v="13"/>
    <m/>
    <n v="20"/>
    <n v="20"/>
    <s v="PCS"/>
    <n v="200000"/>
    <n v="4000000"/>
    <s v="Horizontal elbow"/>
    <s v="Sheet"/>
    <b v="0"/>
  </r>
  <r>
    <x v="4"/>
    <x v="2"/>
    <n v="16"/>
    <m/>
    <x v="14"/>
    <m/>
    <n v="8"/>
    <n v="8"/>
    <s v="PCS"/>
    <n v="200000"/>
    <n v="1600000"/>
    <s v="Horizontal elbow"/>
    <s v="Sheet"/>
    <b v="0"/>
  </r>
  <r>
    <x v="4"/>
    <x v="2"/>
    <n v="17"/>
    <m/>
    <x v="15"/>
    <m/>
    <n v="16"/>
    <n v="16"/>
    <s v="PCS"/>
    <n v="200000"/>
    <n v="3200000"/>
    <s v="Horizontal elbow"/>
    <s v="Sheet"/>
    <b v="0"/>
  </r>
  <r>
    <x v="4"/>
    <x v="2"/>
    <n v="18"/>
    <m/>
    <x v="16"/>
    <m/>
    <n v="16"/>
    <n v="16"/>
    <s v="PCS"/>
    <n v="400000"/>
    <n v="6400000"/>
    <s v="Horizontal elbow"/>
    <s v="Sheet"/>
    <b v="0"/>
  </r>
  <r>
    <x v="4"/>
    <x v="2"/>
    <n v="19"/>
    <m/>
    <x v="17"/>
    <m/>
    <n v="16"/>
    <n v="16"/>
    <s v="PCS"/>
    <n v="120000"/>
    <n v="1920000"/>
    <s v="Horizontal elbow"/>
    <s v="Sheet"/>
    <b v="0"/>
  </r>
  <r>
    <x v="4"/>
    <x v="2"/>
    <n v="20"/>
    <m/>
    <x v="18"/>
    <m/>
    <n v="24"/>
    <n v="24"/>
    <s v="PCS"/>
    <n v="400000"/>
    <n v="9600000"/>
    <s v="Horizontal elbow"/>
    <s v="Sheet"/>
    <b v="0"/>
  </r>
  <r>
    <x v="4"/>
    <x v="2"/>
    <n v="21"/>
    <s v="مس"/>
    <x v="19"/>
    <n v="132"/>
    <n v="16"/>
    <n v="7.9478783999999996"/>
    <s v="Kg"/>
    <n v="35000000"/>
    <n v="278175744"/>
    <s v="Horizontal elbow"/>
    <s v="Sheet"/>
    <b v="0"/>
  </r>
  <r>
    <x v="4"/>
    <x v="2"/>
    <n v="22"/>
    <s v="آهن"/>
    <x v="20"/>
    <s v="115 X 185"/>
    <n v="2"/>
    <n v="2.6"/>
    <s v="Kg"/>
    <n v="5200000"/>
    <n v="13520000"/>
    <s v="Horizontal elbow"/>
    <s v="Sheet"/>
    <b v="0"/>
  </r>
  <r>
    <x v="4"/>
    <x v="2"/>
    <n v="23"/>
    <m/>
    <x v="21"/>
    <s v="425 X 265"/>
    <n v="2"/>
    <n v="1.2"/>
    <s v="Kg"/>
    <n v="5200000"/>
    <n v="6240000"/>
    <s v="Horizontal elbow"/>
    <s v="Sheet"/>
    <b v="0"/>
  </r>
  <r>
    <x v="4"/>
    <x v="2"/>
    <n v="24"/>
    <s v="الومینیوم"/>
    <x v="22"/>
    <s v="163*157"/>
    <n v="2"/>
    <n v="1.487393"/>
    <s v="Kg"/>
    <n v="8500000"/>
    <n v="12642840.5"/>
    <s v="Horizontal elbow"/>
    <s v="Sheet"/>
    <b v="0"/>
  </r>
  <r>
    <x v="4"/>
    <x v="2"/>
    <n v="25"/>
    <s v="پلی امید"/>
    <x v="23"/>
    <n v="0.18"/>
    <n v="4"/>
    <n v="4"/>
    <s v="PCS"/>
    <n v="910000"/>
    <n v="3640000"/>
    <s v="Horizontal elbow"/>
    <s v="Sheet"/>
    <b v="0"/>
  </r>
  <r>
    <x v="4"/>
    <x v="2"/>
    <n v="26"/>
    <m/>
    <x v="24"/>
    <n v="0.2"/>
    <n v="6"/>
    <n v="6"/>
    <s v="PCS"/>
    <n v="910000"/>
    <n v="5460000"/>
    <s v="Horizontal elbow"/>
    <s v="Sheet"/>
    <b v="0"/>
  </r>
  <r>
    <x v="4"/>
    <x v="2"/>
    <n v="27"/>
    <s v="ABS"/>
    <x v="25"/>
    <s v="80 mm"/>
    <n v="2"/>
    <n v="2"/>
    <s v="PCS"/>
    <n v="100000"/>
    <n v="200000"/>
    <s v="Horizontal elbow"/>
    <s v="Sheet"/>
    <b v="0"/>
  </r>
  <r>
    <x v="4"/>
    <x v="2"/>
    <n v="28"/>
    <s v="پیچ و مهره"/>
    <x v="26"/>
    <m/>
    <n v="4"/>
    <n v="4"/>
    <s v="PCS"/>
    <n v="2400000"/>
    <n v="9600000"/>
    <s v="Horizontal elbow"/>
    <s v="Sheet"/>
    <b v="0"/>
  </r>
  <r>
    <x v="4"/>
    <x v="2"/>
    <n v="29"/>
    <m/>
    <x v="27"/>
    <m/>
    <n v="4"/>
    <n v="4"/>
    <s v="PCS"/>
    <n v="2400000"/>
    <n v="9600000"/>
    <s v="Horizontal elbow"/>
    <s v="Sheet"/>
    <b v="0"/>
  </r>
  <r>
    <x v="4"/>
    <x v="2"/>
    <n v="30"/>
    <m/>
    <x v="28"/>
    <m/>
    <n v="4"/>
    <n v="4"/>
    <s v="PCS"/>
    <n v="3000000"/>
    <n v="12000000"/>
    <s v="Horizontal elbow"/>
    <s v="Sheet"/>
    <b v="0"/>
  </r>
  <r>
    <x v="4"/>
    <x v="2"/>
    <n v="31"/>
    <s v="جوش"/>
    <x v="33"/>
    <m/>
    <n v="1"/>
    <n v="4"/>
    <s v="PCS"/>
    <n v="30000000"/>
    <n v="120000000"/>
    <s v="Horizontal elbow"/>
    <s v="Sheet"/>
    <b v="0"/>
  </r>
  <r>
    <x v="4"/>
    <x v="2"/>
    <n v="32"/>
    <m/>
    <x v="34"/>
    <m/>
    <n v="1"/>
    <n v="0"/>
    <s v="PCS"/>
    <n v="19000000"/>
    <n v="0"/>
    <s v="Horizontal elbow"/>
    <s v="Sheet"/>
    <b v="0"/>
  </r>
  <r>
    <x v="4"/>
    <x v="2"/>
    <n v="33"/>
    <s v="نوار IP"/>
    <x v="29"/>
    <m/>
    <n v="2"/>
    <n v="2"/>
    <s v="PCS"/>
    <n v="1300000"/>
    <n v="2600000"/>
    <s v="Horizontal elbow"/>
    <s v="Sheet"/>
    <b v="0"/>
  </r>
  <r>
    <x v="4"/>
    <x v="2"/>
    <n v="34"/>
    <s v="نوار IP"/>
    <x v="30"/>
    <m/>
    <n v="8"/>
    <n v="2.68"/>
    <s v="m"/>
    <n v="460000"/>
    <n v="1232800"/>
    <s v="Horizontal elbow"/>
    <s v="Sheet"/>
    <b v="0"/>
  </r>
  <r>
    <x v="4"/>
    <x v="2"/>
    <n v="35"/>
    <s v="ترموفیت"/>
    <x v="31"/>
    <n v="50"/>
    <n v="16"/>
    <n v="1.6"/>
    <s v="m "/>
    <n v="9739400"/>
    <n v="15583040"/>
    <s v="Horizontal elbow"/>
    <s v="Sheet"/>
    <b v="0"/>
  </r>
  <r>
    <x v="4"/>
    <x v="2"/>
    <n v="28"/>
    <m/>
    <x v="32"/>
    <m/>
    <m/>
    <n v="10"/>
    <s v="h"/>
    <n v="13000000"/>
    <n v="130000000"/>
    <s v="Horizontal elbow"/>
    <s v="Sheet"/>
    <b v="0"/>
  </r>
  <r>
    <x v="4"/>
    <x v="2"/>
    <n v="29"/>
    <m/>
    <x v="35"/>
    <m/>
    <m/>
    <n v="0"/>
    <s v="%"/>
    <m/>
    <n v="0"/>
    <s v="Horizontal elbow"/>
    <s v="Sheet"/>
    <b v="0"/>
  </r>
  <r>
    <x v="4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4"/>
    <x v="3"/>
    <n v="2"/>
    <m/>
    <x v="1"/>
    <n v="168"/>
    <n v="1"/>
    <n v="0.23519999999999999"/>
    <s v="Kg"/>
    <n v="8500000"/>
    <n v="1999200"/>
    <s v="Flange end "/>
    <s v="Sheet"/>
    <b v="0"/>
  </r>
  <r>
    <x v="4"/>
    <x v="3"/>
    <n v="3"/>
    <m/>
    <x v="87"/>
    <n v="168"/>
    <n v="4"/>
    <n v="1.7472000000000001"/>
    <s v="Kg"/>
    <n v="8500000"/>
    <n v="14851200"/>
    <s v="Flange end "/>
    <s v="Sheet"/>
    <b v="0"/>
  </r>
  <r>
    <x v="4"/>
    <x v="3"/>
    <n v="4"/>
    <m/>
    <x v="3"/>
    <n v="120"/>
    <n v="4"/>
    <n v="0.48"/>
    <s v="Kg"/>
    <n v="8500000"/>
    <n v="4080000"/>
    <s v="Flange end "/>
    <s v="Sheet"/>
    <b v="0"/>
  </r>
  <r>
    <x v="4"/>
    <x v="3"/>
    <n v="5"/>
    <m/>
    <x v="4"/>
    <n v="180"/>
    <n v="2"/>
    <n v="1.2276359999999999"/>
    <s v="Kg"/>
    <n v="8500000"/>
    <n v="10434906"/>
    <s v="Flange end "/>
    <s v="Sheet"/>
    <b v="0"/>
  </r>
  <r>
    <x v="4"/>
    <x v="3"/>
    <n v="6"/>
    <m/>
    <x v="5"/>
    <n v="0.58799999999999997"/>
    <n v="8"/>
    <n v="10.668672000000001"/>
    <s v="Kg"/>
    <n v="8500000"/>
    <n v="90683712"/>
    <s v="Flange end "/>
    <s v="Sheet"/>
    <b v="0"/>
  </r>
  <r>
    <x v="4"/>
    <x v="3"/>
    <n v="7"/>
    <s v="عایق ها"/>
    <x v="6"/>
    <n v="0.13"/>
    <n v="1.4676479999999998"/>
    <n v="1.4676479999999998"/>
    <s v="M2"/>
    <n v="4275000"/>
    <n v="6274195.1999999993"/>
    <s v="Flange end "/>
    <s v="Sheet"/>
    <b v="0"/>
  </r>
  <r>
    <x v="4"/>
    <x v="3"/>
    <n v="8"/>
    <m/>
    <x v="7"/>
    <n v="0.35"/>
    <n v="0"/>
    <n v="0"/>
    <s v="Kg"/>
    <n v="35750000"/>
    <n v="0"/>
    <s v="Flange end "/>
    <s v="Sheet"/>
    <b v="0"/>
  </r>
  <r>
    <x v="4"/>
    <x v="3"/>
    <n v="9"/>
    <m/>
    <x v="7"/>
    <n v="0.2"/>
    <n v="0.73382400000000003"/>
    <n v="0.73382400000000003"/>
    <s v="Kg"/>
    <n v="45760000"/>
    <n v="33579786.239999995"/>
    <s v="Flange end "/>
    <s v="Sheet"/>
    <b v="0"/>
  </r>
  <r>
    <x v="4"/>
    <x v="3"/>
    <n v="10"/>
    <s v="رنگ بدنه"/>
    <x v="8"/>
    <m/>
    <n v="2.4527999999999999"/>
    <n v="2.4527999999999999"/>
    <s v="Kg"/>
    <n v="1430000"/>
    <n v="3507504"/>
    <s v="Flange end "/>
    <s v="Sheet"/>
    <b v="0"/>
  </r>
  <r>
    <x v="4"/>
    <x v="3"/>
    <n v="11"/>
    <s v="قلع"/>
    <x v="9"/>
    <m/>
    <n v="16"/>
    <n v="16"/>
    <s v="Kg"/>
    <n v="3000000"/>
    <n v="48000000"/>
    <s v="Flange end "/>
    <s v="Sheet"/>
    <b v="0"/>
  </r>
  <r>
    <x v="4"/>
    <x v="3"/>
    <n v="12"/>
    <m/>
    <x v="10"/>
    <m/>
    <n v="10.668672000000001"/>
    <n v="10.668672000000001"/>
    <s v="PCS"/>
    <n v="3600000"/>
    <n v="38407219.200000003"/>
    <s v="Flange end "/>
    <s v="Sheet"/>
    <b v="0"/>
  </r>
  <r>
    <x v="4"/>
    <x v="3"/>
    <n v="13"/>
    <s v="چسب"/>
    <x v="11"/>
    <m/>
    <n v="4.7039999999999997"/>
    <n v="4.7039999999999997"/>
    <s v="PCS"/>
    <n v="3600000"/>
    <n v="16934400"/>
    <s v="Flange end "/>
    <s v="Sheet"/>
    <b v="0"/>
  </r>
  <r>
    <x v="4"/>
    <x v="3"/>
    <n v="14"/>
    <m/>
    <x v="12"/>
    <m/>
    <n v="0.4"/>
    <n v="0.4"/>
    <s v="PCS"/>
    <n v="5500000"/>
    <n v="2200000"/>
    <s v="Flange end "/>
    <s v="Sheet"/>
    <b v="0"/>
  </r>
  <r>
    <x v="4"/>
    <x v="3"/>
    <n v="15"/>
    <s v="پیچ و مهره"/>
    <x v="13"/>
    <m/>
    <s v="80"/>
    <n v="8"/>
    <s v="PCS"/>
    <n v="200000"/>
    <n v="1600000"/>
    <s v="Flange end "/>
    <s v="Sheet"/>
    <b v="0"/>
  </r>
  <r>
    <x v="4"/>
    <x v="3"/>
    <n v="16"/>
    <m/>
    <x v="14"/>
    <m/>
    <n v="8"/>
    <n v="8"/>
    <s v="PCS"/>
    <n v="200000"/>
    <n v="1600000"/>
    <s v="Flange end "/>
    <s v="Sheet"/>
    <b v="0"/>
  </r>
  <r>
    <x v="4"/>
    <x v="3"/>
    <n v="17"/>
    <m/>
    <x v="15"/>
    <m/>
    <n v="88"/>
    <n v="16"/>
    <s v="PCS"/>
    <n v="200000"/>
    <n v="3200000"/>
    <s v="Flange end "/>
    <s v="Sheet"/>
    <b v="0"/>
  </r>
  <r>
    <x v="4"/>
    <x v="3"/>
    <n v="18"/>
    <m/>
    <x v="16"/>
    <m/>
    <n v="16"/>
    <n v="16"/>
    <s v="PCS"/>
    <n v="400000"/>
    <n v="6400000"/>
    <s v="Flange end "/>
    <s v="Sheet"/>
    <b v="0"/>
  </r>
  <r>
    <x v="4"/>
    <x v="3"/>
    <n v="19"/>
    <m/>
    <x v="17"/>
    <m/>
    <n v="16"/>
    <n v="16"/>
    <s v="PCS"/>
    <n v="120000"/>
    <n v="1920000"/>
    <s v="Flange end "/>
    <s v="Sheet"/>
    <b v="0"/>
  </r>
  <r>
    <x v="4"/>
    <x v="3"/>
    <n v="20"/>
    <m/>
    <x v="18"/>
    <m/>
    <n v="24"/>
    <n v="24"/>
    <s v="PCS"/>
    <n v="400000"/>
    <n v="9600000"/>
    <s v="Flange end "/>
    <s v="Sheet"/>
    <b v="0"/>
  </r>
  <r>
    <x v="4"/>
    <x v="3"/>
    <n v="21"/>
    <s v="مس"/>
    <x v="19"/>
    <n v="132"/>
    <n v="16"/>
    <n v="7.9478783999999996"/>
    <s v="Kg"/>
    <n v="35000000"/>
    <n v="278175744"/>
    <s v="Flange end "/>
    <s v="Sheet"/>
    <b v="0"/>
  </r>
  <r>
    <x v="4"/>
    <x v="3"/>
    <n v="22"/>
    <s v="آهن"/>
    <x v="20"/>
    <s v="115 X 185"/>
    <n v="2"/>
    <n v="2.6"/>
    <s v="Kg"/>
    <n v="5200000"/>
    <n v="13520000"/>
    <s v="Flange end "/>
    <s v="Sheet"/>
    <b v="0"/>
  </r>
  <r>
    <x v="4"/>
    <x v="3"/>
    <n v="23"/>
    <m/>
    <x v="21"/>
    <s v="425 X 265"/>
    <n v="2"/>
    <n v="1.2"/>
    <s v="Kg"/>
    <n v="5200000"/>
    <n v="6240000"/>
    <s v="Flange end "/>
    <s v="Sheet"/>
    <b v="0"/>
  </r>
  <r>
    <x v="4"/>
    <x v="3"/>
    <n v="24"/>
    <s v="الومینیوم"/>
    <x v="22"/>
    <s v="163*157"/>
    <n v="2"/>
    <n v="1.487393"/>
    <s v="Kg"/>
    <n v="8500000"/>
    <n v="12642840.5"/>
    <s v="Flange end "/>
    <s v="Sheet"/>
    <b v="0"/>
  </r>
  <r>
    <x v="4"/>
    <x v="3"/>
    <n v="25"/>
    <s v="پلی امید"/>
    <x v="23"/>
    <n v="0.18"/>
    <n v="4"/>
    <n v="4"/>
    <s v="PCS"/>
    <n v="910000"/>
    <n v="3640000"/>
    <s v="Flange end "/>
    <s v="Sheet"/>
    <b v="0"/>
  </r>
  <r>
    <x v="4"/>
    <x v="3"/>
    <n v="26"/>
    <m/>
    <x v="24"/>
    <n v="0.2"/>
    <n v="6"/>
    <n v="6"/>
    <s v="PCS"/>
    <n v="910000"/>
    <n v="5460000"/>
    <s v="Flange end "/>
    <s v="Sheet"/>
    <b v="0"/>
  </r>
  <r>
    <x v="4"/>
    <x v="3"/>
    <n v="27"/>
    <s v="ABS"/>
    <x v="25"/>
    <s v="80 mm"/>
    <n v="2"/>
    <n v="2"/>
    <s v="PCS"/>
    <n v="100000"/>
    <n v="200000"/>
    <s v="Flange end "/>
    <s v="Sheet"/>
    <b v="0"/>
  </r>
  <r>
    <x v="4"/>
    <x v="3"/>
    <n v="28"/>
    <s v="پیچ و مهره"/>
    <x v="26"/>
    <m/>
    <n v="4"/>
    <n v="4"/>
    <s v="PCS"/>
    <n v="2400000"/>
    <n v="9600000"/>
    <s v="Flange end "/>
    <s v="Sheet"/>
    <b v="0"/>
  </r>
  <r>
    <x v="4"/>
    <x v="3"/>
    <n v="29"/>
    <m/>
    <x v="27"/>
    <m/>
    <n v="4"/>
    <n v="4"/>
    <s v="PCS"/>
    <n v="2400000"/>
    <n v="9600000"/>
    <s v="Flange end "/>
    <s v="Sheet"/>
    <b v="0"/>
  </r>
  <r>
    <x v="4"/>
    <x v="3"/>
    <n v="30"/>
    <m/>
    <x v="28"/>
    <m/>
    <n v="4"/>
    <n v="4"/>
    <s v="PCS"/>
    <n v="3000000"/>
    <n v="12000000"/>
    <s v="Flange end "/>
    <s v="Sheet"/>
    <b v="0"/>
  </r>
  <r>
    <x v="4"/>
    <x v="3"/>
    <n v="31"/>
    <s v="نوار IP"/>
    <x v="29"/>
    <m/>
    <n v="2"/>
    <n v="2"/>
    <s v="PCS"/>
    <n v="1300000"/>
    <n v="2600000"/>
    <s v="Flange end "/>
    <s v="Sheet"/>
    <b v="0"/>
  </r>
  <r>
    <x v="4"/>
    <x v="3"/>
    <n v="32"/>
    <s v="نوار IP"/>
    <x v="30"/>
    <m/>
    <n v="8"/>
    <n v="1.3440000000000001"/>
    <s v="m"/>
    <n v="460000"/>
    <n v="618240"/>
    <s v="Flange end "/>
    <s v="Sheet"/>
    <b v="0"/>
  </r>
  <r>
    <x v="4"/>
    <x v="3"/>
    <n v="33"/>
    <s v="ترموفیت"/>
    <x v="31"/>
    <n v="50"/>
    <n v="8"/>
    <n v="0.8"/>
    <s v="m "/>
    <n v="9739400"/>
    <n v="7791520"/>
    <s v="Flange end "/>
    <s v="Sheet"/>
    <b v="0"/>
  </r>
  <r>
    <x v="4"/>
    <x v="3"/>
    <n v="28"/>
    <m/>
    <x v="32"/>
    <m/>
    <m/>
    <n v="8"/>
    <s v="h"/>
    <n v="13000000"/>
    <n v="104000000"/>
    <s v="Flange end "/>
    <s v="Sheet"/>
    <b v="0"/>
  </r>
  <r>
    <x v="4"/>
    <x v="3"/>
    <n v="29"/>
    <m/>
    <x v="35"/>
    <m/>
    <m/>
    <n v="0"/>
    <s v="%"/>
    <m/>
    <n v="0"/>
    <s v="Flange end "/>
    <s v="Sheet"/>
    <b v="0"/>
  </r>
  <r>
    <x v="4"/>
    <x v="4"/>
    <n v="1"/>
    <s v="آهن"/>
    <x v="36"/>
    <m/>
    <n v="1"/>
    <n v="9"/>
    <s v="Kg"/>
    <n v="5200000"/>
    <n v="46800000"/>
    <s v="TOP OFF BOX 250"/>
    <s v="Sheet"/>
    <b v="0"/>
  </r>
  <r>
    <x v="4"/>
    <x v="4"/>
    <n v="4"/>
    <s v="مسی"/>
    <x v="37"/>
    <m/>
    <n v="4"/>
    <n v="0.5"/>
    <s v="Kg"/>
    <n v="22000000"/>
    <n v="11000000"/>
    <s v="TOP OFF BOX 250"/>
    <s v="Sheet"/>
    <b v="0"/>
  </r>
  <r>
    <x v="4"/>
    <x v="4"/>
    <n v="5"/>
    <m/>
    <x v="38"/>
    <m/>
    <n v="20"/>
    <n v="20"/>
    <s v="PCS"/>
    <n v="26000"/>
    <n v="520000"/>
    <s v="TOP OFF BOX 250"/>
    <s v="Sheet"/>
    <b v="0"/>
  </r>
  <r>
    <x v="4"/>
    <x v="4"/>
    <n v="6"/>
    <m/>
    <x v="39"/>
    <m/>
    <n v="6"/>
    <n v="6"/>
    <s v="PCS"/>
    <n v="195000"/>
    <n v="1170000"/>
    <s v="TOP OFF BOX 250"/>
    <s v="Sheet"/>
    <b v="0"/>
  </r>
  <r>
    <x v="4"/>
    <x v="4"/>
    <n v="7"/>
    <m/>
    <x v="40"/>
    <m/>
    <n v="20"/>
    <n v="20"/>
    <s v="PCS"/>
    <n v="13000"/>
    <n v="260000"/>
    <s v="TOP OFF BOX 250"/>
    <s v="Sheet"/>
    <b v="0"/>
  </r>
  <r>
    <x v="4"/>
    <x v="4"/>
    <n v="8"/>
    <m/>
    <x v="41"/>
    <m/>
    <n v="20"/>
    <n v="20"/>
    <s v="PCS"/>
    <n v="75000"/>
    <n v="1500000"/>
    <s v="TOP OFF BOX 250"/>
    <s v="Sheet"/>
    <b v="0"/>
  </r>
  <r>
    <x v="4"/>
    <x v="4"/>
    <n v="9"/>
    <m/>
    <x v="42"/>
    <m/>
    <n v="1"/>
    <n v="1"/>
    <s v="PCS"/>
    <n v="11250000"/>
    <n v="11250000"/>
    <s v="TOP OFF BOX 250"/>
    <s v="Sheet"/>
    <b v="0"/>
  </r>
  <r>
    <x v="4"/>
    <x v="4"/>
    <n v="10"/>
    <m/>
    <x v="43"/>
    <m/>
    <n v="1"/>
    <n v="1"/>
    <s v="PCS"/>
    <n v="7500000"/>
    <n v="7500000"/>
    <s v="TOP OFF BOX 250"/>
    <s v="Sheet"/>
    <b v="0"/>
  </r>
  <r>
    <x v="4"/>
    <x v="4"/>
    <n v="11"/>
    <m/>
    <x v="44"/>
    <m/>
    <n v="2"/>
    <n v="2"/>
    <s v="PCS"/>
    <n v="150000"/>
    <n v="300000"/>
    <s v="TOP OFF BOX 250"/>
    <s v="Sheet"/>
    <b v="0"/>
  </r>
  <r>
    <x v="4"/>
    <x v="4"/>
    <n v="12"/>
    <m/>
    <x v="45"/>
    <m/>
    <n v="2"/>
    <n v="2"/>
    <s v="PCS"/>
    <n v="100000"/>
    <n v="200000"/>
    <s v="TOP OFF BOX 250"/>
    <s v="Sheet"/>
    <b v="0"/>
  </r>
  <r>
    <x v="4"/>
    <x v="4"/>
    <n v="13"/>
    <m/>
    <x v="46"/>
    <m/>
    <n v="4"/>
    <n v="4"/>
    <s v="PCS"/>
    <n v="50000"/>
    <n v="200000"/>
    <s v="TOP OFF BOX 250"/>
    <s v="Sheet"/>
    <b v="0"/>
  </r>
  <r>
    <x v="4"/>
    <x v="4"/>
    <n v="14"/>
    <m/>
    <x v="47"/>
    <m/>
    <n v="2"/>
    <n v="2"/>
    <s v="PCS"/>
    <n v="100000"/>
    <n v="200000"/>
    <s v="TOP OFF BOX 250"/>
    <s v="Sheet"/>
    <b v="0"/>
  </r>
  <r>
    <x v="4"/>
    <x v="4"/>
    <n v="15"/>
    <m/>
    <x v="48"/>
    <m/>
    <n v="1"/>
    <n v="0.1"/>
    <s v="Kg"/>
    <n v="4200000"/>
    <n v="420000"/>
    <s v="TOP OFF BOX 250"/>
    <s v="Sheet"/>
    <b v="0"/>
  </r>
  <r>
    <x v="4"/>
    <x v="4"/>
    <n v="16"/>
    <m/>
    <x v="49"/>
    <m/>
    <n v="1"/>
    <n v="0.3"/>
    <s v="m"/>
    <m/>
    <n v="0"/>
    <s v="TOP OFF BOX 250"/>
    <s v="Sheet"/>
    <b v="0"/>
  </r>
  <r>
    <x v="4"/>
    <x v="4"/>
    <n v="17"/>
    <m/>
    <x v="50"/>
    <m/>
    <n v="1"/>
    <n v="0.15"/>
    <s v="m"/>
    <m/>
    <n v="0"/>
    <s v="TOP OFF BOX 250"/>
    <s v="Sheet"/>
    <b v="0"/>
  </r>
  <r>
    <x v="4"/>
    <x v="4"/>
    <n v="18"/>
    <m/>
    <x v="51"/>
    <m/>
    <n v="1"/>
    <m/>
    <s v="PCS"/>
    <m/>
    <n v="0"/>
    <s v="TOP OFF BOX 250"/>
    <s v="Sheet"/>
    <b v="0"/>
  </r>
  <r>
    <x v="4"/>
    <x v="4"/>
    <n v="19"/>
    <m/>
    <x v="52"/>
    <m/>
    <n v="1"/>
    <m/>
    <s v="PCS"/>
    <m/>
    <n v="0"/>
    <s v="TOP OFF BOX 250"/>
    <s v="Sheet"/>
    <b v="0"/>
  </r>
  <r>
    <x v="4"/>
    <x v="4"/>
    <n v="20"/>
    <m/>
    <x v="53"/>
    <m/>
    <n v="1"/>
    <m/>
    <s v="PCS"/>
    <m/>
    <n v="0"/>
    <s v="TOP OFF BOX 250"/>
    <s v="Sheet"/>
    <b v="0"/>
  </r>
  <r>
    <x v="4"/>
    <x v="4"/>
    <n v="21"/>
    <m/>
    <x v="54"/>
    <m/>
    <n v="1"/>
    <n v="1"/>
    <s v="PCS"/>
    <n v="74000000"/>
    <n v="74000000"/>
    <s v="TOP OFF BOX 250"/>
    <s v="Sheet"/>
    <b v="0"/>
  </r>
  <r>
    <x v="4"/>
    <x v="4"/>
    <n v="7"/>
    <m/>
    <x v="32"/>
    <m/>
    <m/>
    <n v="5"/>
    <s v="h"/>
    <n v="13000000"/>
    <n v="65000000"/>
    <s v="TOP OFF BOX 250"/>
    <s v="Sheet"/>
    <b v="0"/>
  </r>
  <r>
    <x v="4"/>
    <x v="4"/>
    <n v="8"/>
    <m/>
    <x v="35"/>
    <m/>
    <m/>
    <n v="0"/>
    <s v="%"/>
    <m/>
    <n v="0"/>
    <s v="TOP OFF BOX 250"/>
    <s v="Sheet"/>
    <b v="0"/>
  </r>
  <r>
    <x v="4"/>
    <x v="5"/>
    <n v="1"/>
    <s v="مس بافته شده"/>
    <x v="55"/>
    <m/>
    <n v="1"/>
    <n v="11"/>
    <s v="SET"/>
    <n v="20700000"/>
    <n v="227700000"/>
    <s v="Flexible connection"/>
    <s v="Sheet"/>
    <b v="0"/>
  </r>
  <r>
    <x v="4"/>
    <x v="5"/>
    <m/>
    <s v="قلع"/>
    <x v="10"/>
    <m/>
    <n v="0"/>
    <n v="16"/>
    <s v="Kg"/>
    <n v="3600000"/>
    <n v="57600000"/>
    <s v="Flexible connection"/>
    <s v="Sheet"/>
    <b v="0"/>
  </r>
  <r>
    <x v="4"/>
    <x v="5"/>
    <n v="3"/>
    <m/>
    <x v="56"/>
    <m/>
    <n v="16"/>
    <m/>
    <s v="PCS"/>
    <n v="50000"/>
    <n v="800000"/>
    <s v="Flexible connection"/>
    <s v="Sheet"/>
    <b v="0"/>
  </r>
  <r>
    <x v="4"/>
    <x v="5"/>
    <n v="4"/>
    <m/>
    <x v="57"/>
    <m/>
    <n v="16"/>
    <m/>
    <s v="PCS"/>
    <n v="15000"/>
    <n v="240000"/>
    <s v="Flexible connection"/>
    <s v="Sheet"/>
    <b v="0"/>
  </r>
  <r>
    <x v="4"/>
    <x v="5"/>
    <n v="5"/>
    <m/>
    <x v="58"/>
    <m/>
    <n v="32"/>
    <m/>
    <s v="PCS"/>
    <n v="5000"/>
    <n v="160000"/>
    <s v="Flexible connection"/>
    <s v="Sheet"/>
    <b v="0"/>
  </r>
  <r>
    <x v="4"/>
    <x v="5"/>
    <n v="6"/>
    <m/>
    <x v="59"/>
    <m/>
    <n v="16"/>
    <m/>
    <s v="PCS"/>
    <n v="5000"/>
    <n v="80000"/>
    <s v="Flexible connection"/>
    <s v="Sheet"/>
    <b v="0"/>
  </r>
  <r>
    <x v="4"/>
    <x v="5"/>
    <n v="7"/>
    <m/>
    <x v="32"/>
    <m/>
    <m/>
    <n v="1"/>
    <s v="h"/>
    <n v="13000000"/>
    <n v="13000000"/>
    <s v="Flexible connection"/>
    <s v="Sheet"/>
    <b v="0"/>
  </r>
  <r>
    <x v="4"/>
    <x v="5"/>
    <n v="8"/>
    <m/>
    <x v="35"/>
    <m/>
    <m/>
    <n v="0"/>
    <s v="%"/>
    <m/>
    <n v="0"/>
    <s v="Flexible connection"/>
    <s v="Sheet"/>
    <b v="0"/>
  </r>
  <r>
    <x v="4"/>
    <x v="6"/>
    <n v="1"/>
    <s v="مس"/>
    <x v="60"/>
    <m/>
    <n v="1"/>
    <n v="16"/>
    <s v="Kg"/>
    <n v="8500000"/>
    <n v="136000000"/>
    <s v="DISTRIBUTION BOARD"/>
    <s v="Sheet"/>
    <b v="0"/>
  </r>
  <r>
    <x v="4"/>
    <x v="6"/>
    <m/>
    <s v="قلع"/>
    <x v="10"/>
    <m/>
    <n v="0"/>
    <n v="16"/>
    <s v="Kg"/>
    <n v="3600000"/>
    <n v="57600000"/>
    <s v="DISTRIBUTION BOARD"/>
    <s v="Sheet"/>
    <b v="0"/>
  </r>
  <r>
    <x v="4"/>
    <x v="6"/>
    <n v="3"/>
    <m/>
    <x v="56"/>
    <m/>
    <n v="4"/>
    <m/>
    <s v="PCS"/>
    <n v="50000"/>
    <n v="200000"/>
    <s v="DISTRIBUTION BOARD"/>
    <s v="Sheet"/>
    <b v="0"/>
  </r>
  <r>
    <x v="4"/>
    <x v="6"/>
    <n v="4"/>
    <m/>
    <x v="57"/>
    <m/>
    <n v="4"/>
    <m/>
    <s v="PCS"/>
    <n v="15000"/>
    <n v="60000"/>
    <s v="DISTRIBUTION BOARD"/>
    <s v="Sheet"/>
    <b v="0"/>
  </r>
  <r>
    <x v="4"/>
    <x v="6"/>
    <n v="5"/>
    <m/>
    <x v="58"/>
    <m/>
    <n v="8"/>
    <m/>
    <s v="PCS"/>
    <n v="5000"/>
    <n v="40000"/>
    <s v="DISTRIBUTION BOARD"/>
    <s v="Sheet"/>
    <b v="0"/>
  </r>
  <r>
    <x v="4"/>
    <x v="6"/>
    <n v="6"/>
    <m/>
    <x v="59"/>
    <m/>
    <n v="4"/>
    <m/>
    <s v="PCS"/>
    <n v="5000"/>
    <n v="20000"/>
    <s v="DISTRIBUTION BOARD"/>
    <s v="Sheet"/>
    <b v="0"/>
  </r>
  <r>
    <x v="4"/>
    <x v="6"/>
    <n v="7"/>
    <m/>
    <x v="32"/>
    <m/>
    <m/>
    <n v="5"/>
    <s v="h"/>
    <n v="13000000"/>
    <n v="65000000"/>
    <s v="DISTRIBUTION BOARD"/>
    <s v="Sheet"/>
    <b v="0"/>
  </r>
  <r>
    <x v="4"/>
    <x v="6"/>
    <n v="8"/>
    <m/>
    <x v="35"/>
    <m/>
    <m/>
    <n v="0"/>
    <s v="%"/>
    <m/>
    <n v="0"/>
    <s v="DISTRIBUTION BOARD"/>
    <s v="Sheet"/>
    <b v="0"/>
  </r>
  <r>
    <x v="4"/>
    <x v="7"/>
    <n v="1"/>
    <s v="مس"/>
    <x v="61"/>
    <m/>
    <n v="1"/>
    <n v="16"/>
    <s v="Kg"/>
    <n v="8500000"/>
    <n v="136000000"/>
    <s v="Transformer connection"/>
    <s v="Sheet"/>
    <b v="0"/>
  </r>
  <r>
    <x v="4"/>
    <x v="7"/>
    <m/>
    <s v="قلع"/>
    <x v="10"/>
    <m/>
    <n v="0"/>
    <n v="16"/>
    <s v="Kg"/>
    <n v="3600000"/>
    <n v="57600000"/>
    <s v="Transformer connection"/>
    <s v="Sheet"/>
    <b v="0"/>
  </r>
  <r>
    <x v="4"/>
    <x v="7"/>
    <n v="3"/>
    <m/>
    <x v="56"/>
    <m/>
    <n v="16"/>
    <m/>
    <s v="PCS"/>
    <n v="50000"/>
    <n v="800000"/>
    <s v="Transformer connection"/>
    <s v="Sheet"/>
    <b v="0"/>
  </r>
  <r>
    <x v="4"/>
    <x v="7"/>
    <n v="4"/>
    <m/>
    <x v="57"/>
    <m/>
    <n v="16"/>
    <m/>
    <s v="PCS"/>
    <n v="15000"/>
    <n v="240000"/>
    <s v="Transformer connection"/>
    <s v="Sheet"/>
    <b v="0"/>
  </r>
  <r>
    <x v="4"/>
    <x v="7"/>
    <n v="5"/>
    <m/>
    <x v="58"/>
    <m/>
    <n v="32"/>
    <m/>
    <s v="PCS"/>
    <n v="5000"/>
    <n v="160000"/>
    <s v="Transformer connection"/>
    <s v="Sheet"/>
    <b v="0"/>
  </r>
  <r>
    <x v="4"/>
    <x v="7"/>
    <n v="6"/>
    <m/>
    <x v="59"/>
    <m/>
    <n v="16"/>
    <m/>
    <s v="PCS"/>
    <n v="5000"/>
    <n v="80000"/>
    <s v="Transformer connection"/>
    <s v="Sheet"/>
    <b v="0"/>
  </r>
  <r>
    <x v="4"/>
    <x v="7"/>
    <n v="7"/>
    <m/>
    <x v="32"/>
    <m/>
    <m/>
    <n v="5"/>
    <s v="h"/>
    <n v="13000000"/>
    <n v="65000000"/>
    <s v="Transformer connection"/>
    <s v="Sheet"/>
    <b v="0"/>
  </r>
  <r>
    <x v="4"/>
    <x v="7"/>
    <n v="8"/>
    <m/>
    <x v="35"/>
    <m/>
    <m/>
    <n v="0"/>
    <s v="%"/>
    <m/>
    <n v="0"/>
    <s v="Transformer connection"/>
    <s v="Sheet"/>
    <b v="0"/>
  </r>
  <r>
    <x v="4"/>
    <x v="8"/>
    <n v="1"/>
    <s v="آهن"/>
    <x v="62"/>
    <m/>
    <n v="1"/>
    <n v="25"/>
    <s v="Kg"/>
    <n v="5200000"/>
    <n v="130000000"/>
    <s v="Connection protection unit"/>
    <s v="Sheet"/>
    <b v="0"/>
  </r>
  <r>
    <x v="4"/>
    <x v="8"/>
    <m/>
    <s v="آهن"/>
    <x v="63"/>
    <m/>
    <n v="1"/>
    <m/>
    <s v="Kg"/>
    <m/>
    <n v="0"/>
    <s v="Connection protection unit"/>
    <s v="Sheet"/>
    <b v="0"/>
  </r>
  <r>
    <x v="4"/>
    <x v="8"/>
    <n v="3"/>
    <m/>
    <x v="38"/>
    <m/>
    <n v="32"/>
    <m/>
    <s v="PCS"/>
    <n v="10000"/>
    <n v="320000"/>
    <s v="Connection protection unit"/>
    <s v="Sheet"/>
    <b v="0"/>
  </r>
  <r>
    <x v="4"/>
    <x v="8"/>
    <n v="4"/>
    <m/>
    <x v="15"/>
    <m/>
    <n v="32"/>
    <m/>
    <s v="PCS"/>
    <n v="60000"/>
    <n v="1920000"/>
    <s v="Connection protection unit"/>
    <s v="Sheet"/>
    <b v="0"/>
  </r>
  <r>
    <x v="4"/>
    <x v="8"/>
    <n v="5"/>
    <m/>
    <x v="64"/>
    <m/>
    <n v="32"/>
    <m/>
    <s v="PCS"/>
    <n v="60000"/>
    <n v="1920000"/>
    <s v="Connection protection unit"/>
    <s v="Sheet"/>
    <b v="0"/>
  </r>
  <r>
    <x v="4"/>
    <x v="8"/>
    <n v="6"/>
    <m/>
    <x v="38"/>
    <m/>
    <n v="12"/>
    <m/>
    <s v="PCS"/>
    <n v="10000"/>
    <n v="120000"/>
    <s v="Connection protection unit"/>
    <s v="Sheet"/>
    <b v="0"/>
  </r>
  <r>
    <x v="4"/>
    <x v="8"/>
    <n v="7"/>
    <m/>
    <x v="65"/>
    <m/>
    <n v="12"/>
    <m/>
    <s v="PCS"/>
    <n v="10000"/>
    <n v="120000"/>
    <s v="Connection protection unit"/>
    <s v="Sheet"/>
    <b v="0"/>
  </r>
  <r>
    <x v="4"/>
    <x v="8"/>
    <n v="8"/>
    <m/>
    <x v="40"/>
    <m/>
    <n v="12"/>
    <m/>
    <s v="PCS"/>
    <n v="60000"/>
    <n v="720000"/>
    <s v="Connection protection unit"/>
    <s v="Sheet"/>
    <b v="0"/>
  </r>
  <r>
    <x v="4"/>
    <x v="8"/>
    <n v="9"/>
    <m/>
    <x v="66"/>
    <m/>
    <n v="32"/>
    <m/>
    <s v="PCS"/>
    <n v="10000"/>
    <n v="320000"/>
    <s v="Connection protection unit"/>
    <s v="Sheet"/>
    <b v="0"/>
  </r>
  <r>
    <x v="4"/>
    <x v="8"/>
    <n v="10"/>
    <m/>
    <x v="8"/>
    <m/>
    <n v="25"/>
    <m/>
    <s v="Kg"/>
    <n v="1430000"/>
    <n v="35750000"/>
    <s v="Connection protection unit"/>
    <s v="Sheet"/>
    <b v="0"/>
  </r>
  <r>
    <x v="4"/>
    <x v="8"/>
    <m/>
    <m/>
    <x v="30"/>
    <m/>
    <n v="1"/>
    <n v="6"/>
    <s v="m"/>
    <n v="460000"/>
    <n v="2760000"/>
    <s v="Connection protection unit"/>
    <s v="Sheet"/>
    <b v="0"/>
  </r>
  <r>
    <x v="4"/>
    <x v="8"/>
    <n v="11"/>
    <m/>
    <x v="32"/>
    <m/>
    <m/>
    <n v="5"/>
    <s v="h"/>
    <n v="13000000"/>
    <n v="65000000"/>
    <s v="Connection protection unit"/>
    <s v="Sheet"/>
    <b v="0"/>
  </r>
  <r>
    <x v="4"/>
    <x v="8"/>
    <n v="12"/>
    <m/>
    <x v="35"/>
    <m/>
    <m/>
    <n v="0"/>
    <s v="%"/>
    <m/>
    <n v="0"/>
    <s v="Connection protection unit"/>
    <s v="Sheet"/>
    <b v="0"/>
  </r>
  <r>
    <x v="4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4"/>
    <x v="9"/>
    <m/>
    <m/>
    <x v="68"/>
    <s v="200 X 100 X 3"/>
    <n v="2"/>
    <n v="0.94320000000000004"/>
    <s v="Kg"/>
    <n v="800000"/>
    <n v="754560"/>
    <s v="SPRINH HANGER"/>
    <s v="Sheet"/>
    <b v="0"/>
  </r>
  <r>
    <x v="4"/>
    <x v="9"/>
    <m/>
    <m/>
    <x v="69"/>
    <m/>
    <n v="2"/>
    <m/>
    <s v="PCS"/>
    <n v="5000000"/>
    <n v="10000000"/>
    <s v="SPRINH HANGER"/>
    <s v="Sheet"/>
    <b v="0"/>
  </r>
  <r>
    <x v="4"/>
    <x v="9"/>
    <n v="2"/>
    <m/>
    <x v="70"/>
    <n v="260"/>
    <n v="2"/>
    <n v="0.52"/>
    <s v="m"/>
    <n v="2000000"/>
    <n v="1040000"/>
    <s v="SPRINH HANGER"/>
    <s v="Sheet"/>
    <b v="0"/>
  </r>
  <r>
    <x v="4"/>
    <x v="9"/>
    <m/>
    <m/>
    <x v="71"/>
    <m/>
    <n v="10"/>
    <m/>
    <s v="PCS"/>
    <n v="200000"/>
    <n v="2000000"/>
    <s v="SPRINH HANGER"/>
    <s v="Sheet"/>
    <b v="0"/>
  </r>
  <r>
    <x v="4"/>
    <x v="9"/>
    <n v="7"/>
    <m/>
    <x v="72"/>
    <m/>
    <n v="4"/>
    <n v="4"/>
    <s v="PCS"/>
    <n v="300000"/>
    <n v="1200000"/>
    <s v="SPRINH HANGER"/>
    <s v="Sheet"/>
    <b v="0"/>
  </r>
  <r>
    <x v="4"/>
    <x v="9"/>
    <n v="8"/>
    <m/>
    <x v="58"/>
    <m/>
    <n v="10"/>
    <n v="10"/>
    <s v="PCS"/>
    <n v="30000"/>
    <n v="300000"/>
    <s v="SPRINH HANGER"/>
    <s v="Sheet"/>
    <b v="0"/>
  </r>
  <r>
    <x v="4"/>
    <x v="9"/>
    <n v="9"/>
    <m/>
    <x v="73"/>
    <m/>
    <n v="4"/>
    <n v="4"/>
    <s v="PCS"/>
    <n v="30000"/>
    <n v="120000"/>
    <s v="SPRINH HANGER"/>
    <s v="Sheet"/>
    <b v="0"/>
  </r>
  <r>
    <x v="4"/>
    <x v="9"/>
    <n v="12"/>
    <m/>
    <x v="46"/>
    <m/>
    <n v="4"/>
    <n v="4"/>
    <s v="PCS"/>
    <n v="30000"/>
    <n v="120000"/>
    <s v="SPRINH HANGER"/>
    <s v="Sheet"/>
    <b v="0"/>
  </r>
  <r>
    <x v="4"/>
    <x v="9"/>
    <n v="13"/>
    <m/>
    <x v="32"/>
    <m/>
    <m/>
    <n v="1"/>
    <s v="h"/>
    <n v="13000000"/>
    <n v="13000000"/>
    <s v="SPRINH HANGER"/>
    <s v="Sheet"/>
    <b v="0"/>
  </r>
  <r>
    <x v="4"/>
    <x v="9"/>
    <n v="14"/>
    <m/>
    <x v="35"/>
    <m/>
    <m/>
    <n v="0"/>
    <s v="%"/>
    <m/>
    <n v="0"/>
    <s v="SPRINH HANGER"/>
    <s v="Sheet"/>
    <b v="0"/>
  </r>
  <r>
    <x v="4"/>
    <x v="9"/>
    <m/>
    <m/>
    <x v="74"/>
    <n v="300"/>
    <n v="200"/>
    <n v="3"/>
    <n v="7.86"/>
    <m/>
    <n v="1.4148000000000001"/>
    <s v="SPRINH HANGER"/>
    <s v="Sheet"/>
    <b v="0"/>
  </r>
  <r>
    <x v="4"/>
    <x v="9"/>
    <m/>
    <m/>
    <x v="75"/>
    <n v="200"/>
    <n v="100"/>
    <n v="3"/>
    <n v="7.86"/>
    <m/>
    <n v="0.47160000000000002"/>
    <s v="SPRINH HANGER"/>
    <s v="Sheet"/>
    <b v="0"/>
  </r>
  <r>
    <x v="4"/>
    <x v="10"/>
    <n v="1"/>
    <s v="آهن"/>
    <x v="76"/>
    <m/>
    <n v="1"/>
    <n v="1.6485000000000001"/>
    <s v="Kg"/>
    <n v="700000"/>
    <n v="1153950"/>
    <s v="Suspension unit ceiling"/>
    <s v="Sheet"/>
    <b v="0"/>
  </r>
  <r>
    <x v="4"/>
    <x v="10"/>
    <n v="2"/>
    <s v="آهن"/>
    <x v="77"/>
    <m/>
    <n v="2"/>
    <m/>
    <s v="m"/>
    <n v="1200000"/>
    <n v="2400000"/>
    <s v="Suspension unit ceiling"/>
    <s v="Sheet"/>
    <b v="0"/>
  </r>
  <r>
    <x v="4"/>
    <x v="10"/>
    <n v="3"/>
    <m/>
    <x v="78"/>
    <m/>
    <n v="2"/>
    <m/>
    <s v="PCS"/>
    <n v="100000"/>
    <n v="200000"/>
    <s v="Suspension unit ceiling"/>
    <s v="Sheet"/>
    <b v="0"/>
  </r>
  <r>
    <x v="4"/>
    <x v="10"/>
    <n v="4"/>
    <m/>
    <x v="57"/>
    <m/>
    <n v="6"/>
    <m/>
    <s v="PCS"/>
    <n v="10000"/>
    <n v="60000"/>
    <s v="Suspension unit ceiling"/>
    <s v="Sheet"/>
    <b v="0"/>
  </r>
  <r>
    <x v="4"/>
    <x v="10"/>
    <n v="5"/>
    <m/>
    <x v="58"/>
    <m/>
    <n v="6"/>
    <m/>
    <s v="PCS"/>
    <n v="5000"/>
    <n v="30000"/>
    <s v="Suspension unit ceiling"/>
    <s v="Sheet"/>
    <b v="0"/>
  </r>
  <r>
    <x v="4"/>
    <x v="10"/>
    <n v="6"/>
    <m/>
    <x v="79"/>
    <m/>
    <n v="2"/>
    <m/>
    <s v="PCS"/>
    <n v="500000"/>
    <n v="1000000"/>
    <s v="Suspension unit ceiling"/>
    <s v="Sheet"/>
    <b v="0"/>
  </r>
  <r>
    <x v="4"/>
    <x v="10"/>
    <n v="7"/>
    <m/>
    <x v="80"/>
    <m/>
    <n v="2"/>
    <m/>
    <s v="PCS"/>
    <n v="10000"/>
    <n v="20000"/>
    <s v="Suspension unit ceiling"/>
    <s v="Sheet"/>
    <b v="0"/>
  </r>
  <r>
    <x v="4"/>
    <x v="10"/>
    <n v="8"/>
    <m/>
    <x v="65"/>
    <m/>
    <n v="2"/>
    <m/>
    <s v="PCS"/>
    <n v="5000"/>
    <n v="10000"/>
    <s v="Suspension unit ceiling"/>
    <s v="Sheet"/>
    <b v="0"/>
  </r>
  <r>
    <x v="4"/>
    <x v="10"/>
    <n v="9"/>
    <m/>
    <x v="40"/>
    <m/>
    <n v="2"/>
    <m/>
    <s v="PCS"/>
    <n v="60000"/>
    <n v="120000"/>
    <s v="Suspension unit ceiling"/>
    <s v="Sheet"/>
    <b v="0"/>
  </r>
  <r>
    <x v="4"/>
    <x v="10"/>
    <n v="10"/>
    <m/>
    <x v="32"/>
    <m/>
    <m/>
    <n v="3"/>
    <s v="h"/>
    <n v="13000000"/>
    <n v="39000000"/>
    <s v="Suspension unit ceiling"/>
    <s v="Sheet"/>
    <b v="0"/>
  </r>
  <r>
    <x v="4"/>
    <x v="10"/>
    <n v="11"/>
    <m/>
    <x v="35"/>
    <m/>
    <m/>
    <n v="0"/>
    <s v="%"/>
    <m/>
    <n v="0"/>
    <s v="Suspension unit ceiling"/>
    <s v="Sheet"/>
    <b v="0"/>
  </r>
  <r>
    <x v="4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4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4"/>
    <x v="11"/>
    <n v="7"/>
    <m/>
    <x v="13"/>
    <m/>
    <n v="2"/>
    <n v="2"/>
    <s v="PCS"/>
    <n v="50000"/>
    <n v="100000"/>
    <s v="Universal fixing unit"/>
    <s v="Sheet"/>
    <b v="0"/>
  </r>
  <r>
    <x v="4"/>
    <x v="11"/>
    <n v="8"/>
    <m/>
    <x v="64"/>
    <m/>
    <n v="4"/>
    <n v="4"/>
    <s v="PCS"/>
    <n v="30000"/>
    <n v="120000"/>
    <s v="Universal fixing unit"/>
    <s v="Sheet"/>
    <b v="0"/>
  </r>
  <r>
    <x v="4"/>
    <x v="11"/>
    <n v="9"/>
    <m/>
    <x v="82"/>
    <m/>
    <n v="1"/>
    <n v="1"/>
    <s v="PCS"/>
    <n v="30000"/>
    <n v="30000"/>
    <s v="Universal fixing unit"/>
    <s v="Sheet"/>
    <b v="0"/>
  </r>
  <r>
    <x v="4"/>
    <x v="11"/>
    <n v="13"/>
    <m/>
    <x v="32"/>
    <m/>
    <m/>
    <n v="1"/>
    <s v="h"/>
    <n v="13000000"/>
    <n v="13000000"/>
    <s v="Universal fixing unit"/>
    <s v="Sheet"/>
    <b v="0"/>
  </r>
  <r>
    <x v="4"/>
    <x v="11"/>
    <n v="14"/>
    <m/>
    <x v="35"/>
    <m/>
    <m/>
    <n v="0"/>
    <s v="%"/>
    <m/>
    <n v="0"/>
    <s v="Universal fixing unit"/>
    <s v="Sheet"/>
    <b v="0"/>
  </r>
  <r>
    <x v="4"/>
    <x v="11"/>
    <m/>
    <m/>
    <x v="74"/>
    <n v="300"/>
    <n v="100"/>
    <n v="2.5"/>
    <n v="7.86"/>
    <m/>
    <n v="0.58950000000000002"/>
    <s v="Universal fixing unit"/>
    <s v="Sheet"/>
    <b v="0"/>
  </r>
  <r>
    <x v="5"/>
    <x v="18"/>
    <n v="1"/>
    <s v="آلومینیوم"/>
    <x v="0"/>
    <n v="2735"/>
    <n v="2"/>
    <n v="7.6580000000000004"/>
    <s v="Kg"/>
    <n v="8500000"/>
    <n v="65092999.999999993"/>
    <s v="FEEDER-3200"/>
    <s v="Sheet"/>
    <b v="0"/>
  </r>
  <r>
    <x v="5"/>
    <x v="18"/>
    <n v="2"/>
    <m/>
    <x v="1"/>
    <n v="2735"/>
    <n v="1"/>
    <n v="3.8290000000000002"/>
    <s v="Kg"/>
    <n v="8500000"/>
    <n v="32546499.999999996"/>
    <s v="FEEDER-3200"/>
    <s v="Sheet"/>
    <b v="0"/>
  </r>
  <r>
    <x v="5"/>
    <x v="18"/>
    <n v="3"/>
    <m/>
    <x v="86"/>
    <n v="2703"/>
    <n v="4"/>
    <n v="28.1112"/>
    <s v="Kg"/>
    <n v="8500000"/>
    <n v="238945200"/>
    <s v="FEEDER-3200"/>
    <s v="Sheet"/>
    <b v="0"/>
  </r>
  <r>
    <x v="5"/>
    <x v="18"/>
    <n v="4"/>
    <m/>
    <x v="3"/>
    <n v="120"/>
    <n v="4"/>
    <n v="0.48"/>
    <s v="Kg"/>
    <n v="8500000"/>
    <n v="4080000"/>
    <s v="FEEDER-3200"/>
    <s v="Sheet"/>
    <b v="0"/>
  </r>
  <r>
    <x v="5"/>
    <x v="18"/>
    <n v="5"/>
    <m/>
    <x v="4"/>
    <n v="180"/>
    <n v="4"/>
    <n v="2.4552719999999999"/>
    <s v="Kg"/>
    <n v="8500000"/>
    <n v="20869812"/>
    <s v="FEEDER-3200"/>
    <s v="Sheet"/>
    <b v="0"/>
  </r>
  <r>
    <x v="5"/>
    <x v="18"/>
    <n v="6"/>
    <m/>
    <x v="5"/>
    <s v="2970"/>
    <n v="8"/>
    <n v="67.744512000000014"/>
    <s v="Kg"/>
    <n v="8500000"/>
    <n v="575828352.00000012"/>
    <s v="FEEDER-3200"/>
    <s v="Sheet"/>
    <b v="0"/>
  </r>
  <r>
    <x v="5"/>
    <x v="18"/>
    <n v="7"/>
    <s v="عایق ها"/>
    <x v="6"/>
    <n v="0.13"/>
    <n v="9.1238399999999995"/>
    <n v="9.1238399999999995"/>
    <s v="M2"/>
    <n v="4275000"/>
    <n v="39004416"/>
    <s v="FEEDER-3200"/>
    <s v="Sheet"/>
    <b v="0"/>
  </r>
  <r>
    <x v="5"/>
    <x v="18"/>
    <n v="8"/>
    <m/>
    <x v="7"/>
    <n v="0.35"/>
    <n v="4.0144896000000001"/>
    <n v="4.0144896000000001"/>
    <s v="Kg"/>
    <n v="35750000"/>
    <n v="143518003.20000002"/>
    <s v="FEEDER-3200"/>
    <s v="Sheet"/>
    <b v="0"/>
  </r>
  <r>
    <x v="5"/>
    <x v="18"/>
    <n v="9"/>
    <m/>
    <x v="7"/>
    <n v="0.2"/>
    <n v="0"/>
    <n v="0"/>
    <s v="Kg"/>
    <n v="45760000"/>
    <n v="0"/>
    <s v="FEEDER-3200"/>
    <s v="Sheet"/>
    <b v="0"/>
  </r>
  <r>
    <x v="5"/>
    <x v="18"/>
    <n v="10"/>
    <s v="رنگ بدنه"/>
    <x v="8"/>
    <m/>
    <n v="39.598199999999999"/>
    <n v="39.598199999999999"/>
    <s v="Kg"/>
    <n v="1430000"/>
    <n v="56625426"/>
    <s v="FEEDER-3200"/>
    <s v="Sheet"/>
    <b v="0"/>
  </r>
  <r>
    <x v="5"/>
    <x v="18"/>
    <n v="11"/>
    <s v="قلع"/>
    <x v="9"/>
    <m/>
    <n v="16"/>
    <n v="16"/>
    <s v="Kg"/>
    <n v="3000000"/>
    <n v="48000000"/>
    <s v="FEEDER-3200"/>
    <s v="Sheet"/>
    <b v="0"/>
  </r>
  <r>
    <x v="5"/>
    <x v="18"/>
    <n v="12"/>
    <m/>
    <x v="10"/>
    <m/>
    <n v="67.744512000000014"/>
    <n v="67.744512000000014"/>
    <s v="PCS"/>
    <n v="3600000"/>
    <n v="243880243.20000005"/>
    <s v="FEEDER-3200"/>
    <s v="Sheet"/>
    <b v="0"/>
  </r>
  <r>
    <x v="5"/>
    <x v="18"/>
    <n v="13"/>
    <s v="چسب"/>
    <x v="11"/>
    <m/>
    <n v="23.76"/>
    <n v="23.76"/>
    <s v="PCS"/>
    <n v="3600000"/>
    <n v="85536000"/>
    <s v="FEEDER-3200"/>
    <s v="Sheet"/>
    <b v="0"/>
  </r>
  <r>
    <x v="5"/>
    <x v="18"/>
    <n v="14"/>
    <m/>
    <x v="12"/>
    <m/>
    <n v="0.4"/>
    <n v="0.4"/>
    <s v="PCS"/>
    <n v="5500000"/>
    <n v="2200000"/>
    <s v="FEEDER-3200"/>
    <s v="Sheet"/>
    <b v="0"/>
  </r>
  <r>
    <x v="5"/>
    <x v="18"/>
    <n v="15"/>
    <s v="پیچ و مهره"/>
    <x v="13"/>
    <m/>
    <s v="80"/>
    <s v="80"/>
    <s v="PCS"/>
    <n v="200000"/>
    <n v="16000000"/>
    <s v="FEEDER-3200"/>
    <s v="Sheet"/>
    <b v="0"/>
  </r>
  <r>
    <x v="5"/>
    <x v="18"/>
    <n v="16"/>
    <m/>
    <x v="14"/>
    <m/>
    <n v="8"/>
    <n v="8"/>
    <s v="PCS"/>
    <n v="200000"/>
    <n v="1600000"/>
    <s v="FEEDER-3200"/>
    <s v="Sheet"/>
    <b v="0"/>
  </r>
  <r>
    <x v="5"/>
    <x v="18"/>
    <n v="17"/>
    <m/>
    <x v="15"/>
    <m/>
    <n v="88"/>
    <n v="88"/>
    <s v="PCS"/>
    <n v="200000"/>
    <n v="17600000"/>
    <s v="FEEDER-3200"/>
    <s v="Sheet"/>
    <b v="0"/>
  </r>
  <r>
    <x v="5"/>
    <x v="18"/>
    <n v="18"/>
    <m/>
    <x v="16"/>
    <m/>
    <n v="16"/>
    <n v="16"/>
    <s v="PCS"/>
    <n v="400000"/>
    <n v="6400000"/>
    <s v="FEEDER-3200"/>
    <s v="Sheet"/>
    <b v="0"/>
  </r>
  <r>
    <x v="5"/>
    <x v="18"/>
    <n v="19"/>
    <m/>
    <x v="17"/>
    <m/>
    <n v="16"/>
    <n v="16"/>
    <s v="PCS"/>
    <n v="120000"/>
    <n v="1920000"/>
    <s v="FEEDER-3200"/>
    <s v="Sheet"/>
    <b v="0"/>
  </r>
  <r>
    <x v="5"/>
    <x v="18"/>
    <n v="20"/>
    <m/>
    <x v="18"/>
    <m/>
    <n v="24"/>
    <n v="24"/>
    <s v="PCS"/>
    <n v="400000"/>
    <n v="9600000"/>
    <s v="FEEDER-3200"/>
    <s v="Sheet"/>
    <b v="0"/>
  </r>
  <r>
    <x v="5"/>
    <x v="18"/>
    <n v="21"/>
    <s v="مس"/>
    <x v="19"/>
    <n v="132"/>
    <n v="16"/>
    <n v="9.9916185600000009"/>
    <s v="Kg"/>
    <n v="35000000"/>
    <n v="349706649.60000002"/>
    <s v="FEEDER-3200"/>
    <s v="Sheet"/>
    <b v="0"/>
  </r>
  <r>
    <x v="5"/>
    <x v="18"/>
    <n v="22"/>
    <s v="آهن"/>
    <x v="20"/>
    <s v="115 X 185"/>
    <n v="2"/>
    <n v="2.6"/>
    <s v="Kg"/>
    <n v="5200000"/>
    <n v="13520000"/>
    <s v="FEEDER-3200"/>
    <s v="Sheet"/>
    <b v="0"/>
  </r>
  <r>
    <x v="5"/>
    <x v="18"/>
    <n v="23"/>
    <m/>
    <x v="21"/>
    <s v="425 X 265"/>
    <n v="2"/>
    <n v="1.2"/>
    <s v="Kg"/>
    <n v="5200000"/>
    <n v="6240000"/>
    <s v="FEEDER-3200"/>
    <s v="Sheet"/>
    <b v="0"/>
  </r>
  <r>
    <x v="5"/>
    <x v="18"/>
    <n v="24"/>
    <s v="الومینیوم"/>
    <x v="22"/>
    <s v="118*157"/>
    <n v="2"/>
    <n v="1.487393"/>
    <s v="Kg"/>
    <n v="8500000"/>
    <n v="12642840.5"/>
    <s v="FEEDER-3200"/>
    <s v="Sheet"/>
    <b v="0"/>
  </r>
  <r>
    <x v="5"/>
    <x v="18"/>
    <n v="25"/>
    <s v="پلی امید"/>
    <x v="23"/>
    <n v="0.18"/>
    <n v="4"/>
    <n v="4"/>
    <s v="PCS"/>
    <n v="1014000"/>
    <n v="4056000"/>
    <s v="FEEDER-3200"/>
    <s v="Sheet"/>
    <b v="0"/>
  </r>
  <r>
    <x v="5"/>
    <x v="18"/>
    <n v="26"/>
    <m/>
    <x v="24"/>
    <n v="0.2"/>
    <n v="6"/>
    <n v="6"/>
    <s v="PCS"/>
    <n v="1014000"/>
    <n v="6084000"/>
    <s v="FEEDER-3200"/>
    <s v="Sheet"/>
    <b v="0"/>
  </r>
  <r>
    <x v="5"/>
    <x v="18"/>
    <n v="27"/>
    <s v="ABS"/>
    <x v="25"/>
    <s v="80 mm"/>
    <n v="2"/>
    <n v="2"/>
    <s v="PCS"/>
    <n v="100000"/>
    <n v="200000"/>
    <s v="FEEDER-3200"/>
    <s v="Sheet"/>
    <b v="0"/>
  </r>
  <r>
    <x v="5"/>
    <x v="18"/>
    <n v="28"/>
    <s v="پیچ و مهره"/>
    <x v="26"/>
    <m/>
    <n v="4"/>
    <n v="4"/>
    <s v="PCS"/>
    <n v="2400000"/>
    <n v="9600000"/>
    <s v="FEEDER-3200"/>
    <s v="Sheet"/>
    <b v="0"/>
  </r>
  <r>
    <x v="5"/>
    <x v="18"/>
    <n v="29"/>
    <m/>
    <x v="27"/>
    <m/>
    <n v="4"/>
    <n v="4"/>
    <s v="PCS"/>
    <n v="2400000"/>
    <n v="9600000"/>
    <s v="FEEDER-3200"/>
    <s v="Sheet"/>
    <b v="0"/>
  </r>
  <r>
    <x v="5"/>
    <x v="18"/>
    <n v="30"/>
    <m/>
    <x v="28"/>
    <m/>
    <n v="4"/>
    <n v="4"/>
    <s v="PCS"/>
    <n v="3000000"/>
    <n v="12000000"/>
    <s v="FEEDER-3200"/>
    <s v="Sheet"/>
    <b v="0"/>
  </r>
  <r>
    <x v="5"/>
    <x v="18"/>
    <n v="31"/>
    <s v="نوار IP"/>
    <x v="29"/>
    <m/>
    <n v="2"/>
    <n v="2"/>
    <s v="PCS"/>
    <n v="1300000"/>
    <n v="2600000"/>
    <s v="FEEDER-3200"/>
    <s v="Sheet"/>
    <b v="0"/>
  </r>
  <r>
    <x v="5"/>
    <x v="18"/>
    <n v="32"/>
    <s v="نوار IP"/>
    <x v="30"/>
    <m/>
    <n v="8"/>
    <n v="21.623999999999999"/>
    <s v="m"/>
    <n v="460000"/>
    <n v="9947040"/>
    <s v="FEEDER-3200"/>
    <s v="Sheet"/>
    <b v="0"/>
  </r>
  <r>
    <x v="5"/>
    <x v="18"/>
    <n v="33"/>
    <s v="ترموفیت"/>
    <x v="31"/>
    <n v="50"/>
    <n v="16"/>
    <n v="1.6"/>
    <s v="m "/>
    <n v="12655280.000000002"/>
    <n v="20248448.000000004"/>
    <s v="FEEDER-3200"/>
    <s v="Sheet"/>
    <b v="0"/>
  </r>
  <r>
    <x v="5"/>
    <x v="18"/>
    <n v="28"/>
    <m/>
    <x v="32"/>
    <m/>
    <m/>
    <n v="8"/>
    <s v="h"/>
    <n v="13000000"/>
    <n v="104000000"/>
    <s v="FEEDER-3200"/>
    <s v="Sheet"/>
    <b v="0"/>
  </r>
  <r>
    <x v="5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5"/>
    <x v="1"/>
    <n v="2"/>
    <m/>
    <x v="1"/>
    <n v="0.76800000000000002"/>
    <n v="1"/>
    <n v="1.0751999999999999"/>
    <s v="Kg"/>
    <n v="8500000"/>
    <n v="9139200"/>
    <s v="Vertical elbow"/>
    <s v="Sheet"/>
    <b v="0"/>
  </r>
  <r>
    <x v="5"/>
    <x v="1"/>
    <n v="3"/>
    <m/>
    <x v="86"/>
    <n v="0.70299999999999996"/>
    <n v="4"/>
    <n v="7.3112000000000004"/>
    <s v="Kg"/>
    <n v="8500000"/>
    <n v="62145199.999999993"/>
    <s v="Vertical elbow"/>
    <s v="Sheet"/>
    <b v="0"/>
  </r>
  <r>
    <x v="5"/>
    <x v="1"/>
    <n v="4"/>
    <m/>
    <x v="3"/>
    <n v="120"/>
    <n v="4"/>
    <n v="0.48"/>
    <s v="Kg"/>
    <n v="8500000"/>
    <n v="4080000"/>
    <s v="Vertical elbow"/>
    <s v="Sheet"/>
    <b v="0"/>
  </r>
  <r>
    <x v="5"/>
    <x v="1"/>
    <n v="5"/>
    <m/>
    <x v="4"/>
    <n v="180"/>
    <n v="4"/>
    <n v="2.4552719999999999"/>
    <s v="Kg"/>
    <n v="8500000"/>
    <n v="20869812"/>
    <s v="Vertical elbow"/>
    <s v="Sheet"/>
    <b v="0"/>
  </r>
  <r>
    <x v="5"/>
    <x v="1"/>
    <n v="6"/>
    <m/>
    <x v="5"/>
    <n v="0.96299999999999997"/>
    <n v="8"/>
    <n v="21.965644800000003"/>
    <s v="Kg"/>
    <n v="8500000"/>
    <n v="186707980.80000004"/>
    <s v="Vertical elbow"/>
    <s v="Sheet"/>
    <b v="0"/>
  </r>
  <r>
    <x v="5"/>
    <x v="1"/>
    <n v="7"/>
    <s v="عایق ها"/>
    <x v="6"/>
    <n v="0.13"/>
    <n v="2.9583359999999996"/>
    <n v="2.9583359999999996"/>
    <s v="M2"/>
    <n v="4275000"/>
    <n v="12646886.4"/>
    <s v="Vertical elbow"/>
    <s v="Sheet"/>
    <b v="0"/>
  </r>
  <r>
    <x v="5"/>
    <x v="1"/>
    <n v="8"/>
    <m/>
    <x v="7"/>
    <n v="0.35"/>
    <n v="0"/>
    <n v="0"/>
    <s v="Kg"/>
    <n v="35750000"/>
    <n v="0"/>
    <s v="Vertical elbow"/>
    <s v="Sheet"/>
    <b v="0"/>
  </r>
  <r>
    <x v="5"/>
    <x v="1"/>
    <n v="9"/>
    <m/>
    <x v="7"/>
    <n v="0.2"/>
    <n v="1.4791679999999998"/>
    <n v="1.4791679999999998"/>
    <s v="Kg"/>
    <n v="45760000"/>
    <n v="67686727.679999992"/>
    <s v="Vertical elbow"/>
    <s v="Sheet"/>
    <b v="0"/>
  </r>
  <r>
    <x v="5"/>
    <x v="1"/>
    <n v="10"/>
    <s v="رنگ بدنه"/>
    <x v="8"/>
    <m/>
    <n v="10.536799999999999"/>
    <n v="10.536799999999999"/>
    <s v="PCS"/>
    <n v="1430000"/>
    <n v="15067624"/>
    <s v="Vertical elbow"/>
    <s v="Sheet"/>
    <b v="0"/>
  </r>
  <r>
    <x v="5"/>
    <x v="1"/>
    <n v="11"/>
    <s v="قلع"/>
    <x v="9"/>
    <m/>
    <n v="16"/>
    <n v="16"/>
    <s v="Kg"/>
    <n v="3000000"/>
    <n v="48000000"/>
    <s v="Vertical elbow"/>
    <s v="Sheet"/>
    <b v="0"/>
  </r>
  <r>
    <x v="5"/>
    <x v="1"/>
    <n v="12"/>
    <m/>
    <x v="10"/>
    <m/>
    <n v="21.965644800000003"/>
    <n v="21.965644800000003"/>
    <s v="PCS"/>
    <n v="3600000"/>
    <n v="79076321.280000016"/>
    <s v="Vertical elbow"/>
    <s v="Sheet"/>
    <b v="0"/>
  </r>
  <r>
    <x v="5"/>
    <x v="1"/>
    <n v="13"/>
    <s v="چسب"/>
    <x v="11"/>
    <m/>
    <n v="7.7039999999999997"/>
    <n v="7.7039999999999997"/>
    <s v="PCS"/>
    <n v="3600000"/>
    <n v="27734400"/>
    <s v="Vertical elbow"/>
    <s v="Sheet"/>
    <b v="0"/>
  </r>
  <r>
    <x v="5"/>
    <x v="1"/>
    <n v="14"/>
    <m/>
    <x v="12"/>
    <m/>
    <n v="0.4"/>
    <n v="0.4"/>
    <s v="PCS"/>
    <n v="5500000"/>
    <n v="2200000"/>
    <s v="Vertical elbow"/>
    <s v="Sheet"/>
    <b v="0"/>
  </r>
  <r>
    <x v="5"/>
    <x v="1"/>
    <n v="15"/>
    <s v="پیچ و مهره"/>
    <x v="13"/>
    <m/>
    <n v="20"/>
    <n v="20"/>
    <s v="PCS"/>
    <n v="200000"/>
    <n v="4000000"/>
    <s v="Vertical elbow"/>
    <s v="Sheet"/>
    <b v="0"/>
  </r>
  <r>
    <x v="5"/>
    <x v="1"/>
    <n v="16"/>
    <m/>
    <x v="14"/>
    <m/>
    <n v="8"/>
    <n v="8"/>
    <s v="PCS"/>
    <n v="200000"/>
    <n v="1600000"/>
    <s v="Vertical elbow"/>
    <s v="Sheet"/>
    <b v="0"/>
  </r>
  <r>
    <x v="5"/>
    <x v="1"/>
    <n v="17"/>
    <m/>
    <x v="15"/>
    <m/>
    <n v="28"/>
    <n v="28"/>
    <s v="PCS"/>
    <n v="200000"/>
    <n v="5600000"/>
    <s v="Vertical elbow"/>
    <s v="Sheet"/>
    <b v="0"/>
  </r>
  <r>
    <x v="5"/>
    <x v="1"/>
    <n v="18"/>
    <m/>
    <x v="16"/>
    <m/>
    <n v="16"/>
    <n v="16"/>
    <s v="PCS"/>
    <n v="400000"/>
    <n v="6400000"/>
    <s v="Vertical elbow"/>
    <s v="Sheet"/>
    <b v="0"/>
  </r>
  <r>
    <x v="5"/>
    <x v="1"/>
    <n v="19"/>
    <m/>
    <x v="17"/>
    <m/>
    <n v="16"/>
    <n v="16"/>
    <s v="PCS"/>
    <n v="120000"/>
    <n v="1920000"/>
    <s v="Vertical elbow"/>
    <s v="Sheet"/>
    <b v="0"/>
  </r>
  <r>
    <x v="5"/>
    <x v="1"/>
    <n v="20"/>
    <m/>
    <x v="18"/>
    <m/>
    <n v="24"/>
    <n v="24"/>
    <s v="PCS"/>
    <n v="400000"/>
    <n v="9600000"/>
    <s v="Vertical elbow"/>
    <s v="Sheet"/>
    <b v="0"/>
  </r>
  <r>
    <x v="5"/>
    <x v="1"/>
    <n v="21"/>
    <s v="مس"/>
    <x v="19"/>
    <n v="132"/>
    <n v="16"/>
    <n v="9.9916185600000009"/>
    <s v="Kg"/>
    <n v="35000000"/>
    <n v="349706649.60000002"/>
    <s v="Vertical elbow"/>
    <s v="Sheet"/>
    <b v="0"/>
  </r>
  <r>
    <x v="5"/>
    <x v="1"/>
    <n v="22"/>
    <s v="آهن"/>
    <x v="20"/>
    <s v="115 X 185"/>
    <n v="2"/>
    <n v="2.6"/>
    <s v="Kg"/>
    <n v="5200000"/>
    <n v="13520000"/>
    <s v="Vertical elbow"/>
    <s v="Sheet"/>
    <b v="0"/>
  </r>
  <r>
    <x v="5"/>
    <x v="1"/>
    <n v="23"/>
    <m/>
    <x v="21"/>
    <s v="425 X 265"/>
    <n v="2"/>
    <n v="1.2"/>
    <s v="Kg"/>
    <n v="5200000"/>
    <n v="6240000"/>
    <s v="Vertical elbow"/>
    <s v="Sheet"/>
    <b v="0"/>
  </r>
  <r>
    <x v="5"/>
    <x v="1"/>
    <n v="24"/>
    <s v="الومینیوم"/>
    <x v="22"/>
    <s v="163*157"/>
    <n v="2"/>
    <n v="1.487393"/>
    <s v="Kg"/>
    <n v="8500000"/>
    <n v="12642840.5"/>
    <s v="Vertical elbow"/>
    <s v="Sheet"/>
    <b v="0"/>
  </r>
  <r>
    <x v="5"/>
    <x v="1"/>
    <n v="25"/>
    <s v="پلی امید"/>
    <x v="23"/>
    <n v="0.18"/>
    <n v="4"/>
    <n v="4"/>
    <s v="PCS"/>
    <n v="1014000"/>
    <n v="4056000"/>
    <s v="Vertical elbow"/>
    <s v="Sheet"/>
    <b v="0"/>
  </r>
  <r>
    <x v="5"/>
    <x v="1"/>
    <n v="26"/>
    <m/>
    <x v="24"/>
    <n v="0.2"/>
    <n v="6"/>
    <n v="6"/>
    <s v="PCS"/>
    <n v="1014000"/>
    <n v="6084000"/>
    <s v="Vertical elbow"/>
    <s v="Sheet"/>
    <b v="0"/>
  </r>
  <r>
    <x v="5"/>
    <x v="1"/>
    <n v="27"/>
    <s v="ABS"/>
    <x v="25"/>
    <s v="80 mm"/>
    <n v="2"/>
    <n v="2"/>
    <s v="PCS"/>
    <n v="100000"/>
    <n v="200000"/>
    <s v="Vertical elbow"/>
    <s v="Sheet"/>
    <b v="0"/>
  </r>
  <r>
    <x v="5"/>
    <x v="1"/>
    <n v="28"/>
    <s v="پیچ و مهره"/>
    <x v="26"/>
    <m/>
    <n v="4"/>
    <n v="4"/>
    <s v="PCS"/>
    <n v="2400000"/>
    <n v="9600000"/>
    <s v="Vertical elbow"/>
    <s v="Sheet"/>
    <b v="0"/>
  </r>
  <r>
    <x v="5"/>
    <x v="1"/>
    <n v="29"/>
    <m/>
    <x v="27"/>
    <m/>
    <n v="4"/>
    <n v="4"/>
    <s v="PCS"/>
    <n v="2400000"/>
    <n v="9600000"/>
    <s v="Vertical elbow"/>
    <s v="Sheet"/>
    <b v="0"/>
  </r>
  <r>
    <x v="5"/>
    <x v="1"/>
    <n v="30"/>
    <m/>
    <x v="28"/>
    <m/>
    <n v="4"/>
    <n v="4"/>
    <s v="PCS"/>
    <n v="3000000"/>
    <n v="12000000"/>
    <s v="Vertical elbow"/>
    <s v="Sheet"/>
    <b v="0"/>
  </r>
  <r>
    <x v="5"/>
    <x v="1"/>
    <n v="31"/>
    <s v="جوش"/>
    <x v="33"/>
    <m/>
    <n v="1"/>
    <n v="4"/>
    <s v="PCS"/>
    <n v="30000000"/>
    <n v="120000000"/>
    <s v="Vertical elbow"/>
    <s v="Sheet"/>
    <b v="0"/>
  </r>
  <r>
    <x v="5"/>
    <x v="1"/>
    <n v="32"/>
    <m/>
    <x v="34"/>
    <m/>
    <n v="1"/>
    <n v="8"/>
    <m/>
    <n v="19000000"/>
    <n v="152000000"/>
    <s v="Vertical elbow"/>
    <s v="Sheet"/>
    <b v="0"/>
  </r>
  <r>
    <x v="5"/>
    <x v="1"/>
    <n v="33"/>
    <s v="نوار IP"/>
    <x v="29"/>
    <m/>
    <n v="2"/>
    <n v="2"/>
    <s v="PCS"/>
    <n v="1300000"/>
    <n v="2600000"/>
    <s v="Vertical elbow"/>
    <s v="Sheet"/>
    <b v="0"/>
  </r>
  <r>
    <x v="5"/>
    <x v="1"/>
    <n v="34"/>
    <s v="نوار IP"/>
    <x v="30"/>
    <m/>
    <n v="8"/>
    <n v="5.6239999999999997"/>
    <s v="m"/>
    <n v="460000"/>
    <n v="2587040"/>
    <s v="Vertical elbow"/>
    <s v="Sheet"/>
    <b v="0"/>
  </r>
  <r>
    <x v="5"/>
    <x v="1"/>
    <n v="35"/>
    <s v="ترموفیت"/>
    <x v="31"/>
    <n v="50"/>
    <n v="16"/>
    <n v="1.6"/>
    <s v="m "/>
    <n v="12655280.000000002"/>
    <n v="20248448.000000004"/>
    <s v="Vertical elbow"/>
    <s v="Sheet"/>
    <b v="0"/>
  </r>
  <r>
    <x v="5"/>
    <x v="1"/>
    <n v="28"/>
    <m/>
    <x v="32"/>
    <m/>
    <m/>
    <n v="12"/>
    <s v="h"/>
    <n v="13000000"/>
    <n v="156000000"/>
    <s v="Vertical elbow"/>
    <s v="Sheet"/>
    <b v="0"/>
  </r>
  <r>
    <x v="5"/>
    <x v="1"/>
    <n v="29"/>
    <m/>
    <x v="35"/>
    <m/>
    <m/>
    <n v="0"/>
    <s v="%"/>
    <m/>
    <n v="0"/>
    <s v="Vertical elbow"/>
    <s v="Sheet"/>
    <b v="0"/>
  </r>
  <r>
    <x v="5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5"/>
    <x v="2"/>
    <n v="2"/>
    <m/>
    <x v="1"/>
    <n v="0.33500000000000002"/>
    <n v="1"/>
    <n v="0.46899999999999997"/>
    <s v="Kg"/>
    <n v="8500000"/>
    <n v="3986499.9999999991"/>
    <s v="Horizontal elbow"/>
    <s v="Sheet"/>
    <b v="0"/>
  </r>
  <r>
    <x v="5"/>
    <x v="2"/>
    <n v="3"/>
    <m/>
    <x v="86"/>
    <n v="0.33500000000000002"/>
    <n v="4"/>
    <n v="3.4840000000000004"/>
    <s v="Kg"/>
    <n v="8500000"/>
    <n v="29614000.000000004"/>
    <s v="Horizontal elbow"/>
    <s v="Sheet"/>
    <b v="0"/>
  </r>
  <r>
    <x v="5"/>
    <x v="2"/>
    <n v="4"/>
    <m/>
    <x v="3"/>
    <n v="120"/>
    <n v="4"/>
    <n v="0.48"/>
    <s v="Kg"/>
    <n v="8500000"/>
    <n v="4080000"/>
    <s v="Horizontal elbow"/>
    <s v="Sheet"/>
    <b v="0"/>
  </r>
  <r>
    <x v="5"/>
    <x v="2"/>
    <n v="5"/>
    <m/>
    <x v="4"/>
    <n v="180"/>
    <n v="4"/>
    <n v="2.4552719999999999"/>
    <s v="Kg"/>
    <n v="8500000"/>
    <n v="20869812"/>
    <s v="Horizontal elbow"/>
    <s v="Sheet"/>
    <b v="0"/>
  </r>
  <r>
    <x v="5"/>
    <x v="2"/>
    <n v="6"/>
    <m/>
    <x v="5"/>
    <n v="0.55800000000000005"/>
    <n v="8"/>
    <n v="12.7277568"/>
    <s v="Kg"/>
    <n v="8500000"/>
    <n v="108185932.8"/>
    <s v="Horizontal elbow"/>
    <s v="Sheet"/>
    <b v="0"/>
  </r>
  <r>
    <x v="5"/>
    <x v="2"/>
    <n v="7"/>
    <s v="عایق ها"/>
    <x v="6"/>
    <n v="0.13"/>
    <n v="1.7141759999999999"/>
    <n v="1.7141759999999999"/>
    <s v="M2"/>
    <n v="4275000"/>
    <n v="7328102.4000000004"/>
    <s v="Horizontal elbow"/>
    <s v="Sheet"/>
    <b v="0"/>
  </r>
  <r>
    <x v="5"/>
    <x v="2"/>
    <n v="8"/>
    <m/>
    <x v="7"/>
    <n v="0.35"/>
    <n v="0"/>
    <n v="0"/>
    <s v="Kg"/>
    <n v="35750000"/>
    <n v="0"/>
    <s v="Horizontal elbow"/>
    <s v="Sheet"/>
    <b v="0"/>
  </r>
  <r>
    <x v="5"/>
    <x v="2"/>
    <n v="9"/>
    <m/>
    <x v="7"/>
    <n v="0.2"/>
    <n v="0.85708799999999996"/>
    <n v="0.85708799999999996"/>
    <s v="Kg"/>
    <n v="45760000"/>
    <n v="39220346.880000003"/>
    <s v="Horizontal elbow"/>
    <s v="Sheet"/>
    <b v="0"/>
  </r>
  <r>
    <x v="5"/>
    <x v="2"/>
    <n v="10"/>
    <s v="رنگ بدنه"/>
    <x v="8"/>
    <m/>
    <n v="4.8910000000000009"/>
    <n v="4.8910000000000009"/>
    <s v="PCS"/>
    <n v="1430000"/>
    <n v="6994130.0000000009"/>
    <s v="Horizontal elbow"/>
    <s v="Sheet"/>
    <b v="0"/>
  </r>
  <r>
    <x v="5"/>
    <x v="2"/>
    <n v="11"/>
    <s v="قلع"/>
    <x v="9"/>
    <m/>
    <n v="16"/>
    <n v="16"/>
    <s v="Kg"/>
    <n v="3000000"/>
    <n v="48000000"/>
    <s v="Horizontal elbow"/>
    <s v="Sheet"/>
    <b v="0"/>
  </r>
  <r>
    <x v="5"/>
    <x v="2"/>
    <n v="12"/>
    <m/>
    <x v="10"/>
    <m/>
    <n v="12.7277568"/>
    <n v="12.7277568"/>
    <s v="PCS"/>
    <n v="3600000"/>
    <n v="45819924.479999997"/>
    <s v="Horizontal elbow"/>
    <s v="Sheet"/>
    <b v="0"/>
  </r>
  <r>
    <x v="5"/>
    <x v="2"/>
    <n v="13"/>
    <s v="چسب"/>
    <x v="11"/>
    <m/>
    <n v="4.4640000000000004"/>
    <n v="4.4640000000000004"/>
    <s v="PCS"/>
    <n v="3600000"/>
    <n v="16070400.000000002"/>
    <s v="Horizontal elbow"/>
    <s v="Sheet"/>
    <b v="0"/>
  </r>
  <r>
    <x v="5"/>
    <x v="2"/>
    <n v="14"/>
    <m/>
    <x v="12"/>
    <m/>
    <n v="0.4"/>
    <n v="0.4"/>
    <s v="PCS"/>
    <n v="5500000"/>
    <n v="2200000"/>
    <s v="Horizontal elbow"/>
    <s v="Sheet"/>
    <b v="0"/>
  </r>
  <r>
    <x v="5"/>
    <x v="2"/>
    <n v="15"/>
    <s v="پیچ و مهره"/>
    <x v="13"/>
    <m/>
    <n v="20"/>
    <n v="20"/>
    <s v="PCS"/>
    <n v="200000"/>
    <n v="4000000"/>
    <s v="Horizontal elbow"/>
    <s v="Sheet"/>
    <b v="0"/>
  </r>
  <r>
    <x v="5"/>
    <x v="2"/>
    <n v="16"/>
    <m/>
    <x v="14"/>
    <m/>
    <n v="8"/>
    <n v="8"/>
    <s v="PCS"/>
    <n v="200000"/>
    <n v="1600000"/>
    <s v="Horizontal elbow"/>
    <s v="Sheet"/>
    <b v="0"/>
  </r>
  <r>
    <x v="5"/>
    <x v="2"/>
    <n v="17"/>
    <m/>
    <x v="15"/>
    <m/>
    <n v="16"/>
    <n v="16"/>
    <s v="PCS"/>
    <n v="200000"/>
    <n v="3200000"/>
    <s v="Horizontal elbow"/>
    <s v="Sheet"/>
    <b v="0"/>
  </r>
  <r>
    <x v="5"/>
    <x v="2"/>
    <n v="18"/>
    <m/>
    <x v="16"/>
    <m/>
    <n v="16"/>
    <n v="16"/>
    <s v="PCS"/>
    <n v="400000"/>
    <n v="6400000"/>
    <s v="Horizontal elbow"/>
    <s v="Sheet"/>
    <b v="0"/>
  </r>
  <r>
    <x v="5"/>
    <x v="2"/>
    <n v="19"/>
    <m/>
    <x v="17"/>
    <m/>
    <n v="16"/>
    <n v="16"/>
    <s v="PCS"/>
    <n v="120000"/>
    <n v="1920000"/>
    <s v="Horizontal elbow"/>
    <s v="Sheet"/>
    <b v="0"/>
  </r>
  <r>
    <x v="5"/>
    <x v="2"/>
    <n v="20"/>
    <m/>
    <x v="18"/>
    <m/>
    <n v="24"/>
    <n v="24"/>
    <s v="PCS"/>
    <n v="400000"/>
    <n v="9600000"/>
    <s v="Horizontal elbow"/>
    <s v="Sheet"/>
    <b v="0"/>
  </r>
  <r>
    <x v="5"/>
    <x v="2"/>
    <n v="21"/>
    <s v="مس"/>
    <x v="19"/>
    <n v="132"/>
    <n v="16"/>
    <n v="9.9916185600000009"/>
    <s v="Kg"/>
    <n v="35000000"/>
    <n v="349706649.60000002"/>
    <s v="Horizontal elbow"/>
    <s v="Sheet"/>
    <b v="0"/>
  </r>
  <r>
    <x v="5"/>
    <x v="2"/>
    <n v="22"/>
    <s v="آهن"/>
    <x v="20"/>
    <s v="115 X 185"/>
    <n v="2"/>
    <n v="2.6"/>
    <s v="Kg"/>
    <n v="5200000"/>
    <n v="13520000"/>
    <s v="Horizontal elbow"/>
    <s v="Sheet"/>
    <b v="0"/>
  </r>
  <r>
    <x v="5"/>
    <x v="2"/>
    <n v="23"/>
    <m/>
    <x v="21"/>
    <s v="425 X 265"/>
    <n v="2"/>
    <n v="1.2"/>
    <s v="Kg"/>
    <n v="5200000"/>
    <n v="6240000"/>
    <s v="Horizontal elbow"/>
    <s v="Sheet"/>
    <b v="0"/>
  </r>
  <r>
    <x v="5"/>
    <x v="2"/>
    <n v="24"/>
    <s v="الومینیوم"/>
    <x v="22"/>
    <s v="163*157"/>
    <n v="2"/>
    <n v="1.487393"/>
    <s v="Kg"/>
    <n v="8500000"/>
    <n v="12642840.5"/>
    <s v="Horizontal elbow"/>
    <s v="Sheet"/>
    <b v="0"/>
  </r>
  <r>
    <x v="5"/>
    <x v="2"/>
    <n v="25"/>
    <s v="پلی امید"/>
    <x v="23"/>
    <n v="0.18"/>
    <n v="4"/>
    <n v="4"/>
    <s v="PCS"/>
    <n v="1014000"/>
    <n v="4056000"/>
    <s v="Horizontal elbow"/>
    <s v="Sheet"/>
    <b v="0"/>
  </r>
  <r>
    <x v="5"/>
    <x v="2"/>
    <n v="26"/>
    <m/>
    <x v="24"/>
    <n v="0.2"/>
    <n v="6"/>
    <n v="6"/>
    <s v="PCS"/>
    <n v="1014000"/>
    <n v="6084000"/>
    <s v="Horizontal elbow"/>
    <s v="Sheet"/>
    <b v="0"/>
  </r>
  <r>
    <x v="5"/>
    <x v="2"/>
    <n v="27"/>
    <s v="ABS"/>
    <x v="25"/>
    <s v="80 mm"/>
    <n v="2"/>
    <n v="2"/>
    <s v="PCS"/>
    <n v="100000"/>
    <n v="200000"/>
    <s v="Horizontal elbow"/>
    <s v="Sheet"/>
    <b v="0"/>
  </r>
  <r>
    <x v="5"/>
    <x v="2"/>
    <n v="28"/>
    <s v="پیچ و مهره"/>
    <x v="26"/>
    <m/>
    <n v="4"/>
    <n v="4"/>
    <s v="PCS"/>
    <n v="2400000"/>
    <n v="9600000"/>
    <s v="Horizontal elbow"/>
    <s v="Sheet"/>
    <b v="0"/>
  </r>
  <r>
    <x v="5"/>
    <x v="2"/>
    <n v="29"/>
    <m/>
    <x v="27"/>
    <m/>
    <n v="4"/>
    <n v="4"/>
    <s v="PCS"/>
    <n v="2400000"/>
    <n v="9600000"/>
    <s v="Horizontal elbow"/>
    <s v="Sheet"/>
    <b v="0"/>
  </r>
  <r>
    <x v="5"/>
    <x v="2"/>
    <n v="30"/>
    <m/>
    <x v="28"/>
    <m/>
    <n v="4"/>
    <n v="4"/>
    <s v="PCS"/>
    <n v="3000000"/>
    <n v="12000000"/>
    <s v="Horizontal elbow"/>
    <s v="Sheet"/>
    <b v="0"/>
  </r>
  <r>
    <x v="5"/>
    <x v="2"/>
    <n v="31"/>
    <s v="جوش"/>
    <x v="33"/>
    <m/>
    <n v="1"/>
    <n v="4"/>
    <s v="PCS"/>
    <n v="30000000"/>
    <n v="120000000"/>
    <s v="Horizontal elbow"/>
    <s v="Sheet"/>
    <b v="0"/>
  </r>
  <r>
    <x v="5"/>
    <x v="2"/>
    <n v="32"/>
    <m/>
    <x v="34"/>
    <m/>
    <n v="1"/>
    <n v="0"/>
    <s v="PCS"/>
    <n v="19000000"/>
    <n v="0"/>
    <s v="Horizontal elbow"/>
    <s v="Sheet"/>
    <b v="0"/>
  </r>
  <r>
    <x v="5"/>
    <x v="2"/>
    <n v="33"/>
    <s v="نوار IP"/>
    <x v="29"/>
    <m/>
    <n v="2"/>
    <n v="2"/>
    <s v="PCS"/>
    <n v="1300000"/>
    <n v="2600000"/>
    <s v="Horizontal elbow"/>
    <s v="Sheet"/>
    <b v="0"/>
  </r>
  <r>
    <x v="5"/>
    <x v="2"/>
    <n v="34"/>
    <s v="نوار IP"/>
    <x v="30"/>
    <m/>
    <n v="8"/>
    <n v="2.68"/>
    <s v="m"/>
    <n v="460000"/>
    <n v="1232800"/>
    <s v="Horizontal elbow"/>
    <s v="Sheet"/>
    <b v="0"/>
  </r>
  <r>
    <x v="5"/>
    <x v="2"/>
    <n v="35"/>
    <s v="ترموفیت"/>
    <x v="31"/>
    <n v="50"/>
    <n v="16"/>
    <n v="1.6"/>
    <s v="m "/>
    <n v="12655280.000000002"/>
    <n v="20248448.000000004"/>
    <s v="Horizontal elbow"/>
    <s v="Sheet"/>
    <b v="0"/>
  </r>
  <r>
    <x v="5"/>
    <x v="2"/>
    <n v="28"/>
    <m/>
    <x v="32"/>
    <m/>
    <m/>
    <n v="10"/>
    <s v="h"/>
    <n v="13000000"/>
    <n v="130000000"/>
    <s v="Horizontal elbow"/>
    <s v="Sheet"/>
    <b v="0"/>
  </r>
  <r>
    <x v="5"/>
    <x v="2"/>
    <n v="29"/>
    <m/>
    <x v="35"/>
    <m/>
    <m/>
    <n v="0"/>
    <s v="%"/>
    <m/>
    <n v="0"/>
    <s v="Horizontal elbow"/>
    <s v="Sheet"/>
    <b v="0"/>
  </r>
  <r>
    <x v="5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5"/>
    <x v="3"/>
    <n v="2"/>
    <m/>
    <x v="1"/>
    <n v="168"/>
    <n v="1"/>
    <n v="0.23519999999999999"/>
    <s v="Kg"/>
    <n v="8500000"/>
    <n v="1999200"/>
    <s v="Flange end "/>
    <s v="Sheet"/>
    <b v="0"/>
  </r>
  <r>
    <x v="5"/>
    <x v="3"/>
    <n v="3"/>
    <m/>
    <x v="87"/>
    <n v="168"/>
    <n v="4"/>
    <n v="1.7472000000000001"/>
    <s v="Kg"/>
    <n v="8500000"/>
    <n v="14851200"/>
    <s v="Flange end "/>
    <s v="Sheet"/>
    <b v="0"/>
  </r>
  <r>
    <x v="5"/>
    <x v="3"/>
    <n v="4"/>
    <m/>
    <x v="3"/>
    <n v="120"/>
    <n v="4"/>
    <n v="0.48"/>
    <s v="Kg"/>
    <n v="8500000"/>
    <n v="4080000"/>
    <s v="Flange end "/>
    <s v="Sheet"/>
    <b v="0"/>
  </r>
  <r>
    <x v="5"/>
    <x v="3"/>
    <n v="5"/>
    <m/>
    <x v="4"/>
    <n v="180"/>
    <n v="2"/>
    <n v="1.2276359999999999"/>
    <s v="Kg"/>
    <n v="8500000"/>
    <n v="10434906"/>
    <s v="Flange end "/>
    <s v="Sheet"/>
    <b v="0"/>
  </r>
  <r>
    <x v="5"/>
    <x v="3"/>
    <n v="6"/>
    <m/>
    <x v="5"/>
    <n v="0.58799999999999997"/>
    <n v="8"/>
    <n v="13.412044800000002"/>
    <s v="Kg"/>
    <n v="8500000"/>
    <n v="114002380.8"/>
    <s v="Flange end "/>
    <s v="Sheet"/>
    <b v="0"/>
  </r>
  <r>
    <x v="5"/>
    <x v="3"/>
    <n v="7"/>
    <s v="عایق ها"/>
    <x v="6"/>
    <n v="0.13"/>
    <n v="1.8063359999999995"/>
    <n v="1.8063359999999995"/>
    <s v="M2"/>
    <n v="4275000"/>
    <n v="7722086.3999999985"/>
    <s v="Flange end "/>
    <s v="Sheet"/>
    <b v="0"/>
  </r>
  <r>
    <x v="5"/>
    <x v="3"/>
    <n v="8"/>
    <m/>
    <x v="7"/>
    <n v="0.35"/>
    <n v="0"/>
    <n v="0"/>
    <s v="Kg"/>
    <n v="35750000"/>
    <n v="0"/>
    <s v="Flange end "/>
    <s v="Sheet"/>
    <b v="0"/>
  </r>
  <r>
    <x v="5"/>
    <x v="3"/>
    <n v="9"/>
    <m/>
    <x v="7"/>
    <n v="0.2"/>
    <n v="0.90316799999999986"/>
    <n v="0.90316799999999986"/>
    <s v="Kg"/>
    <n v="45760000"/>
    <n v="41328967.679999992"/>
    <s v="Flange end "/>
    <s v="Sheet"/>
    <b v="0"/>
  </r>
  <r>
    <x v="5"/>
    <x v="3"/>
    <n v="10"/>
    <s v="رنگ بدنه"/>
    <x v="8"/>
    <m/>
    <n v="2.4527999999999999"/>
    <n v="2.4527999999999999"/>
    <s v="Kg"/>
    <n v="1430000"/>
    <n v="3507504"/>
    <s v="Flange end "/>
    <s v="Sheet"/>
    <b v="0"/>
  </r>
  <r>
    <x v="5"/>
    <x v="3"/>
    <n v="11"/>
    <s v="قلع"/>
    <x v="9"/>
    <m/>
    <n v="16"/>
    <n v="16"/>
    <s v="Kg"/>
    <n v="3000000"/>
    <n v="48000000"/>
    <s v="Flange end "/>
    <s v="Sheet"/>
    <b v="0"/>
  </r>
  <r>
    <x v="5"/>
    <x v="3"/>
    <n v="12"/>
    <m/>
    <x v="10"/>
    <m/>
    <n v="13.412044800000002"/>
    <n v="13.412044800000002"/>
    <s v="PCS"/>
    <n v="3600000"/>
    <n v="48283361.280000009"/>
    <s v="Flange end "/>
    <s v="Sheet"/>
    <b v="0"/>
  </r>
  <r>
    <x v="5"/>
    <x v="3"/>
    <n v="13"/>
    <s v="چسب"/>
    <x v="11"/>
    <m/>
    <n v="4.7039999999999997"/>
    <n v="4.7039999999999997"/>
    <s v="PCS"/>
    <n v="3600000"/>
    <n v="16934400"/>
    <s v="Flange end "/>
    <s v="Sheet"/>
    <b v="0"/>
  </r>
  <r>
    <x v="5"/>
    <x v="3"/>
    <n v="14"/>
    <m/>
    <x v="12"/>
    <m/>
    <n v="0.4"/>
    <n v="0.4"/>
    <s v="PCS"/>
    <n v="5500000"/>
    <n v="2200000"/>
    <s v="Flange end "/>
    <s v="Sheet"/>
    <b v="0"/>
  </r>
  <r>
    <x v="5"/>
    <x v="3"/>
    <n v="15"/>
    <s v="پیچ و مهره"/>
    <x v="13"/>
    <m/>
    <s v="80"/>
    <n v="8"/>
    <s v="PCS"/>
    <n v="200000"/>
    <n v="1600000"/>
    <s v="Flange end "/>
    <s v="Sheet"/>
    <b v="0"/>
  </r>
  <r>
    <x v="5"/>
    <x v="3"/>
    <n v="16"/>
    <m/>
    <x v="14"/>
    <m/>
    <n v="8"/>
    <n v="8"/>
    <s v="PCS"/>
    <n v="200000"/>
    <n v="1600000"/>
    <s v="Flange end "/>
    <s v="Sheet"/>
    <b v="0"/>
  </r>
  <r>
    <x v="5"/>
    <x v="3"/>
    <n v="17"/>
    <m/>
    <x v="15"/>
    <m/>
    <n v="88"/>
    <n v="16"/>
    <s v="PCS"/>
    <n v="200000"/>
    <n v="3200000"/>
    <s v="Flange end "/>
    <s v="Sheet"/>
    <b v="0"/>
  </r>
  <r>
    <x v="5"/>
    <x v="3"/>
    <n v="18"/>
    <m/>
    <x v="16"/>
    <m/>
    <n v="16"/>
    <n v="16"/>
    <s v="PCS"/>
    <n v="400000"/>
    <n v="6400000"/>
    <s v="Flange end "/>
    <s v="Sheet"/>
    <b v="0"/>
  </r>
  <r>
    <x v="5"/>
    <x v="3"/>
    <n v="19"/>
    <m/>
    <x v="17"/>
    <m/>
    <n v="16"/>
    <n v="16"/>
    <s v="PCS"/>
    <n v="120000"/>
    <n v="1920000"/>
    <s v="Flange end "/>
    <s v="Sheet"/>
    <b v="0"/>
  </r>
  <r>
    <x v="5"/>
    <x v="3"/>
    <n v="20"/>
    <m/>
    <x v="18"/>
    <m/>
    <n v="24"/>
    <n v="24"/>
    <s v="PCS"/>
    <n v="400000"/>
    <n v="9600000"/>
    <s v="Flange end "/>
    <s v="Sheet"/>
    <b v="0"/>
  </r>
  <r>
    <x v="5"/>
    <x v="3"/>
    <n v="21"/>
    <s v="مس"/>
    <x v="19"/>
    <n v="132"/>
    <n v="16"/>
    <n v="9.9916185600000009"/>
    <s v="Kg"/>
    <n v="35000000"/>
    <n v="349706649.60000002"/>
    <s v="Flange end "/>
    <s v="Sheet"/>
    <b v="0"/>
  </r>
  <r>
    <x v="5"/>
    <x v="3"/>
    <n v="22"/>
    <s v="آهن"/>
    <x v="20"/>
    <s v="115 X 185"/>
    <n v="2"/>
    <n v="2.6"/>
    <s v="Kg"/>
    <n v="5200000"/>
    <n v="13520000"/>
    <s v="Flange end "/>
    <s v="Sheet"/>
    <b v="0"/>
  </r>
  <r>
    <x v="5"/>
    <x v="3"/>
    <n v="23"/>
    <m/>
    <x v="21"/>
    <s v="425 X 265"/>
    <n v="2"/>
    <n v="1.2"/>
    <s v="Kg"/>
    <n v="5200000"/>
    <n v="6240000"/>
    <s v="Flange end "/>
    <s v="Sheet"/>
    <b v="0"/>
  </r>
  <r>
    <x v="5"/>
    <x v="3"/>
    <n v="24"/>
    <s v="الومینیوم"/>
    <x v="22"/>
    <s v="163*157"/>
    <n v="2"/>
    <n v="1.487393"/>
    <s v="Kg"/>
    <n v="8500000"/>
    <n v="12642840.5"/>
    <s v="Flange end "/>
    <s v="Sheet"/>
    <b v="0"/>
  </r>
  <r>
    <x v="5"/>
    <x v="3"/>
    <n v="25"/>
    <s v="پلی امید"/>
    <x v="23"/>
    <n v="0.18"/>
    <n v="4"/>
    <n v="4"/>
    <s v="PCS"/>
    <n v="1014000"/>
    <n v="4056000"/>
    <s v="Flange end "/>
    <s v="Sheet"/>
    <b v="0"/>
  </r>
  <r>
    <x v="5"/>
    <x v="3"/>
    <n v="26"/>
    <m/>
    <x v="24"/>
    <n v="0.2"/>
    <n v="6"/>
    <n v="6"/>
    <s v="PCS"/>
    <n v="1014000"/>
    <n v="6084000"/>
    <s v="Flange end "/>
    <s v="Sheet"/>
    <b v="0"/>
  </r>
  <r>
    <x v="5"/>
    <x v="3"/>
    <n v="27"/>
    <s v="ABS"/>
    <x v="25"/>
    <s v="80 mm"/>
    <n v="2"/>
    <n v="2"/>
    <s v="PCS"/>
    <n v="100000"/>
    <n v="200000"/>
    <s v="Flange end "/>
    <s v="Sheet"/>
    <b v="0"/>
  </r>
  <r>
    <x v="5"/>
    <x v="3"/>
    <n v="28"/>
    <s v="پیچ و مهره"/>
    <x v="26"/>
    <m/>
    <n v="4"/>
    <n v="4"/>
    <s v="PCS"/>
    <n v="2400000"/>
    <n v="9600000"/>
    <s v="Flange end "/>
    <s v="Sheet"/>
    <b v="0"/>
  </r>
  <r>
    <x v="5"/>
    <x v="3"/>
    <n v="29"/>
    <m/>
    <x v="27"/>
    <m/>
    <n v="4"/>
    <n v="4"/>
    <s v="PCS"/>
    <n v="2400000"/>
    <n v="9600000"/>
    <s v="Flange end "/>
    <s v="Sheet"/>
    <b v="0"/>
  </r>
  <r>
    <x v="5"/>
    <x v="3"/>
    <n v="30"/>
    <m/>
    <x v="28"/>
    <m/>
    <n v="4"/>
    <n v="4"/>
    <s v="PCS"/>
    <n v="3000000"/>
    <n v="12000000"/>
    <s v="Flange end "/>
    <s v="Sheet"/>
    <b v="0"/>
  </r>
  <r>
    <x v="5"/>
    <x v="3"/>
    <n v="31"/>
    <s v="نوار IP"/>
    <x v="29"/>
    <m/>
    <n v="2"/>
    <n v="2"/>
    <s v="PCS"/>
    <n v="1300000"/>
    <n v="2600000"/>
    <s v="Flange end "/>
    <s v="Sheet"/>
    <b v="0"/>
  </r>
  <r>
    <x v="5"/>
    <x v="3"/>
    <n v="32"/>
    <s v="نوار IP"/>
    <x v="30"/>
    <m/>
    <n v="8"/>
    <n v="1.3440000000000001"/>
    <s v="m"/>
    <n v="460000"/>
    <n v="618240"/>
    <s v="Flange end "/>
    <s v="Sheet"/>
    <b v="0"/>
  </r>
  <r>
    <x v="5"/>
    <x v="3"/>
    <n v="33"/>
    <s v="ترموفیت"/>
    <x v="31"/>
    <n v="50"/>
    <n v="8"/>
    <n v="0.8"/>
    <s v="m "/>
    <n v="12655280.000000002"/>
    <n v="10124224.000000002"/>
    <s v="Flange end "/>
    <s v="Sheet"/>
    <b v="0"/>
  </r>
  <r>
    <x v="5"/>
    <x v="3"/>
    <n v="28"/>
    <m/>
    <x v="32"/>
    <m/>
    <m/>
    <n v="8"/>
    <s v="h"/>
    <n v="13000000"/>
    <n v="104000000"/>
    <s v="Flange end "/>
    <s v="Sheet"/>
    <b v="0"/>
  </r>
  <r>
    <x v="5"/>
    <x v="3"/>
    <n v="29"/>
    <m/>
    <x v="35"/>
    <m/>
    <m/>
    <n v="0"/>
    <s v="%"/>
    <m/>
    <n v="0"/>
    <s v="Flange end "/>
    <s v="Sheet"/>
    <b v="0"/>
  </r>
  <r>
    <x v="5"/>
    <x v="4"/>
    <n v="1"/>
    <s v="آهن"/>
    <x v="36"/>
    <m/>
    <n v="1"/>
    <n v="9"/>
    <s v="Kg"/>
    <n v="5200000"/>
    <n v="46800000"/>
    <s v="TOP OFF BOX 250"/>
    <s v="Sheet"/>
    <b v="0"/>
  </r>
  <r>
    <x v="5"/>
    <x v="4"/>
    <n v="4"/>
    <s v="مسی"/>
    <x v="37"/>
    <m/>
    <n v="4"/>
    <n v="0.5"/>
    <s v="Kg"/>
    <n v="22000000"/>
    <n v="11000000"/>
    <s v="TOP OFF BOX 250"/>
    <s v="Sheet"/>
    <b v="0"/>
  </r>
  <r>
    <x v="5"/>
    <x v="4"/>
    <n v="5"/>
    <m/>
    <x v="38"/>
    <m/>
    <n v="20"/>
    <n v="20"/>
    <s v="PCS"/>
    <n v="26000"/>
    <n v="520000"/>
    <s v="TOP OFF BOX 250"/>
    <s v="Sheet"/>
    <b v="0"/>
  </r>
  <r>
    <x v="5"/>
    <x v="4"/>
    <n v="6"/>
    <m/>
    <x v="39"/>
    <m/>
    <n v="6"/>
    <n v="6"/>
    <s v="PCS"/>
    <n v="195000"/>
    <n v="1170000"/>
    <s v="TOP OFF BOX 250"/>
    <s v="Sheet"/>
    <b v="0"/>
  </r>
  <r>
    <x v="5"/>
    <x v="4"/>
    <n v="7"/>
    <m/>
    <x v="40"/>
    <m/>
    <n v="20"/>
    <n v="20"/>
    <s v="PCS"/>
    <n v="13000"/>
    <n v="260000"/>
    <s v="TOP OFF BOX 250"/>
    <s v="Sheet"/>
    <b v="0"/>
  </r>
  <r>
    <x v="5"/>
    <x v="4"/>
    <n v="8"/>
    <m/>
    <x v="41"/>
    <m/>
    <n v="20"/>
    <n v="20"/>
    <s v="PCS"/>
    <n v="75000"/>
    <n v="1500000"/>
    <s v="TOP OFF BOX 250"/>
    <s v="Sheet"/>
    <b v="0"/>
  </r>
  <r>
    <x v="5"/>
    <x v="4"/>
    <n v="9"/>
    <m/>
    <x v="42"/>
    <m/>
    <n v="1"/>
    <n v="1"/>
    <s v="PCS"/>
    <n v="11250000"/>
    <n v="11250000"/>
    <s v="TOP OFF BOX 250"/>
    <s v="Sheet"/>
    <b v="0"/>
  </r>
  <r>
    <x v="5"/>
    <x v="4"/>
    <n v="10"/>
    <m/>
    <x v="43"/>
    <m/>
    <n v="1"/>
    <n v="1"/>
    <s v="PCS"/>
    <n v="7500000"/>
    <n v="7500000"/>
    <s v="TOP OFF BOX 250"/>
    <s v="Sheet"/>
    <b v="0"/>
  </r>
  <r>
    <x v="5"/>
    <x v="4"/>
    <n v="11"/>
    <m/>
    <x v="44"/>
    <m/>
    <n v="2"/>
    <n v="2"/>
    <s v="PCS"/>
    <n v="150000"/>
    <n v="300000"/>
    <s v="TOP OFF BOX 250"/>
    <s v="Sheet"/>
    <b v="0"/>
  </r>
  <r>
    <x v="5"/>
    <x v="4"/>
    <n v="12"/>
    <m/>
    <x v="45"/>
    <m/>
    <n v="2"/>
    <n v="2"/>
    <s v="PCS"/>
    <n v="100000"/>
    <n v="200000"/>
    <s v="TOP OFF BOX 250"/>
    <s v="Sheet"/>
    <b v="0"/>
  </r>
  <r>
    <x v="5"/>
    <x v="4"/>
    <n v="13"/>
    <m/>
    <x v="46"/>
    <m/>
    <n v="4"/>
    <n v="4"/>
    <s v="PCS"/>
    <n v="50000"/>
    <n v="200000"/>
    <s v="TOP OFF BOX 250"/>
    <s v="Sheet"/>
    <b v="0"/>
  </r>
  <r>
    <x v="5"/>
    <x v="4"/>
    <n v="14"/>
    <m/>
    <x v="47"/>
    <m/>
    <n v="2"/>
    <n v="2"/>
    <s v="PCS"/>
    <n v="100000"/>
    <n v="200000"/>
    <s v="TOP OFF BOX 250"/>
    <s v="Sheet"/>
    <b v="0"/>
  </r>
  <r>
    <x v="5"/>
    <x v="4"/>
    <n v="15"/>
    <m/>
    <x v="48"/>
    <m/>
    <n v="1"/>
    <n v="0.1"/>
    <s v="Kg"/>
    <n v="4200000"/>
    <n v="420000"/>
    <s v="TOP OFF BOX 250"/>
    <s v="Sheet"/>
    <b v="0"/>
  </r>
  <r>
    <x v="5"/>
    <x v="4"/>
    <n v="16"/>
    <m/>
    <x v="49"/>
    <m/>
    <n v="1"/>
    <n v="0.3"/>
    <s v="m"/>
    <m/>
    <n v="0"/>
    <s v="TOP OFF BOX 250"/>
    <s v="Sheet"/>
    <b v="0"/>
  </r>
  <r>
    <x v="5"/>
    <x v="4"/>
    <n v="17"/>
    <m/>
    <x v="50"/>
    <m/>
    <n v="1"/>
    <n v="0.15"/>
    <s v="m"/>
    <m/>
    <n v="0"/>
    <s v="TOP OFF BOX 250"/>
    <s v="Sheet"/>
    <b v="0"/>
  </r>
  <r>
    <x v="5"/>
    <x v="4"/>
    <n v="18"/>
    <m/>
    <x v="51"/>
    <m/>
    <n v="1"/>
    <m/>
    <s v="PCS"/>
    <m/>
    <n v="0"/>
    <s v="TOP OFF BOX 250"/>
    <s v="Sheet"/>
    <b v="0"/>
  </r>
  <r>
    <x v="5"/>
    <x v="4"/>
    <n v="19"/>
    <m/>
    <x v="52"/>
    <m/>
    <n v="1"/>
    <m/>
    <s v="PCS"/>
    <m/>
    <n v="0"/>
    <s v="TOP OFF BOX 250"/>
    <s v="Sheet"/>
    <b v="0"/>
  </r>
  <r>
    <x v="5"/>
    <x v="4"/>
    <n v="20"/>
    <m/>
    <x v="53"/>
    <m/>
    <n v="1"/>
    <m/>
    <s v="PCS"/>
    <m/>
    <n v="0"/>
    <s v="TOP OFF BOX 250"/>
    <s v="Sheet"/>
    <b v="0"/>
  </r>
  <r>
    <x v="5"/>
    <x v="4"/>
    <n v="21"/>
    <m/>
    <x v="54"/>
    <m/>
    <n v="1"/>
    <n v="1"/>
    <s v="PCS"/>
    <n v="74000000"/>
    <n v="74000000"/>
    <s v="TOP OFF BOX 250"/>
    <s v="Sheet"/>
    <b v="0"/>
  </r>
  <r>
    <x v="5"/>
    <x v="4"/>
    <n v="7"/>
    <m/>
    <x v="32"/>
    <m/>
    <m/>
    <n v="5"/>
    <s v="h"/>
    <n v="13000000"/>
    <n v="65000000"/>
    <s v="TOP OFF BOX 250"/>
    <s v="Sheet"/>
    <b v="0"/>
  </r>
  <r>
    <x v="5"/>
    <x v="4"/>
    <n v="8"/>
    <m/>
    <x v="35"/>
    <m/>
    <m/>
    <n v="0"/>
    <s v="%"/>
    <m/>
    <n v="0"/>
    <s v="TOP OFF BOX 250"/>
    <s v="Sheet"/>
    <b v="0"/>
  </r>
  <r>
    <x v="5"/>
    <x v="5"/>
    <n v="1"/>
    <s v="مس بافته شده"/>
    <x v="55"/>
    <m/>
    <n v="1"/>
    <n v="7"/>
    <s v="SET"/>
    <n v="34500000"/>
    <n v="241500000"/>
    <s v="Flexible connection"/>
    <s v="Sheet"/>
    <b v="0"/>
  </r>
  <r>
    <x v="5"/>
    <x v="5"/>
    <m/>
    <s v="قلع"/>
    <x v="10"/>
    <m/>
    <n v="0"/>
    <n v="20"/>
    <s v="Kg"/>
    <n v="3600000"/>
    <n v="72000000"/>
    <s v="Flexible connection"/>
    <s v="Sheet"/>
    <b v="0"/>
  </r>
  <r>
    <x v="5"/>
    <x v="5"/>
    <n v="3"/>
    <m/>
    <x v="56"/>
    <m/>
    <n v="16"/>
    <m/>
    <s v="PCS"/>
    <n v="50000"/>
    <n v="800000"/>
    <s v="Flexible connection"/>
    <s v="Sheet"/>
    <b v="0"/>
  </r>
  <r>
    <x v="5"/>
    <x v="5"/>
    <n v="4"/>
    <m/>
    <x v="57"/>
    <m/>
    <n v="16"/>
    <m/>
    <s v="PCS"/>
    <n v="15000"/>
    <n v="240000"/>
    <s v="Flexible connection"/>
    <s v="Sheet"/>
    <b v="0"/>
  </r>
  <r>
    <x v="5"/>
    <x v="5"/>
    <n v="5"/>
    <m/>
    <x v="58"/>
    <m/>
    <n v="32"/>
    <m/>
    <s v="PCS"/>
    <n v="5000"/>
    <n v="160000"/>
    <s v="Flexible connection"/>
    <s v="Sheet"/>
    <b v="0"/>
  </r>
  <r>
    <x v="5"/>
    <x v="5"/>
    <n v="6"/>
    <m/>
    <x v="59"/>
    <m/>
    <n v="16"/>
    <m/>
    <s v="PCS"/>
    <n v="5000"/>
    <n v="80000"/>
    <s v="Flexible connection"/>
    <s v="Sheet"/>
    <b v="0"/>
  </r>
  <r>
    <x v="5"/>
    <x v="5"/>
    <n v="7"/>
    <m/>
    <x v="32"/>
    <m/>
    <m/>
    <n v="1"/>
    <s v="h"/>
    <n v="13000000"/>
    <n v="13000000"/>
    <s v="Flexible connection"/>
    <s v="Sheet"/>
    <b v="0"/>
  </r>
  <r>
    <x v="5"/>
    <x v="5"/>
    <n v="8"/>
    <m/>
    <x v="35"/>
    <m/>
    <m/>
    <n v="0"/>
    <s v="%"/>
    <m/>
    <n v="0"/>
    <s v="Flexible connection"/>
    <s v="Sheet"/>
    <b v="0"/>
  </r>
  <r>
    <x v="5"/>
    <x v="6"/>
    <n v="1"/>
    <s v="مس"/>
    <x v="60"/>
    <m/>
    <n v="1"/>
    <n v="20"/>
    <s v="Kg"/>
    <n v="8500000"/>
    <n v="170000000"/>
    <s v="DISTRIBUTION BOARD"/>
    <s v="Sheet"/>
    <b v="0"/>
  </r>
  <r>
    <x v="5"/>
    <x v="6"/>
    <m/>
    <s v="قلع"/>
    <x v="10"/>
    <m/>
    <n v="0"/>
    <n v="20"/>
    <s v="Kg"/>
    <n v="3600000"/>
    <n v="72000000"/>
    <s v="DISTRIBUTION BOARD"/>
    <s v="Sheet"/>
    <b v="0"/>
  </r>
  <r>
    <x v="5"/>
    <x v="6"/>
    <n v="3"/>
    <m/>
    <x v="56"/>
    <m/>
    <n v="4"/>
    <m/>
    <s v="PCS"/>
    <n v="50000"/>
    <n v="200000"/>
    <s v="DISTRIBUTION BOARD"/>
    <s v="Sheet"/>
    <b v="0"/>
  </r>
  <r>
    <x v="5"/>
    <x v="6"/>
    <n v="4"/>
    <m/>
    <x v="57"/>
    <m/>
    <n v="4"/>
    <m/>
    <s v="PCS"/>
    <n v="15000"/>
    <n v="60000"/>
    <s v="DISTRIBUTION BOARD"/>
    <s v="Sheet"/>
    <b v="0"/>
  </r>
  <r>
    <x v="5"/>
    <x v="6"/>
    <n v="5"/>
    <m/>
    <x v="58"/>
    <m/>
    <n v="8"/>
    <m/>
    <s v="PCS"/>
    <n v="5000"/>
    <n v="40000"/>
    <s v="DISTRIBUTION BOARD"/>
    <s v="Sheet"/>
    <b v="0"/>
  </r>
  <r>
    <x v="5"/>
    <x v="6"/>
    <n v="6"/>
    <m/>
    <x v="59"/>
    <m/>
    <n v="4"/>
    <m/>
    <s v="PCS"/>
    <n v="5000"/>
    <n v="20000"/>
    <s v="DISTRIBUTION BOARD"/>
    <s v="Sheet"/>
    <b v="0"/>
  </r>
  <r>
    <x v="5"/>
    <x v="6"/>
    <n v="7"/>
    <m/>
    <x v="32"/>
    <m/>
    <m/>
    <n v="5"/>
    <s v="h"/>
    <n v="13000000"/>
    <n v="65000000"/>
    <s v="DISTRIBUTION BOARD"/>
    <s v="Sheet"/>
    <b v="0"/>
  </r>
  <r>
    <x v="5"/>
    <x v="6"/>
    <n v="8"/>
    <m/>
    <x v="35"/>
    <m/>
    <m/>
    <n v="0"/>
    <s v="%"/>
    <m/>
    <n v="0"/>
    <s v="DISTRIBUTION BOARD"/>
    <s v="Sheet"/>
    <b v="0"/>
  </r>
  <r>
    <x v="5"/>
    <x v="7"/>
    <n v="1"/>
    <s v="مس"/>
    <x v="61"/>
    <m/>
    <n v="1"/>
    <n v="20"/>
    <s v="Kg"/>
    <n v="8500000"/>
    <n v="170000000"/>
    <s v="Transformer connection"/>
    <s v="Sheet"/>
    <b v="0"/>
  </r>
  <r>
    <x v="5"/>
    <x v="7"/>
    <m/>
    <s v="قلع"/>
    <x v="10"/>
    <m/>
    <n v="0"/>
    <n v="20"/>
    <s v="Kg"/>
    <n v="3600000"/>
    <n v="72000000"/>
    <s v="Transformer connection"/>
    <s v="Sheet"/>
    <b v="0"/>
  </r>
  <r>
    <x v="5"/>
    <x v="7"/>
    <n v="3"/>
    <m/>
    <x v="56"/>
    <m/>
    <n v="16"/>
    <m/>
    <s v="PCS"/>
    <n v="50000"/>
    <n v="800000"/>
    <s v="Transformer connection"/>
    <s v="Sheet"/>
    <b v="0"/>
  </r>
  <r>
    <x v="5"/>
    <x v="7"/>
    <n v="4"/>
    <m/>
    <x v="57"/>
    <m/>
    <n v="16"/>
    <m/>
    <s v="PCS"/>
    <n v="15000"/>
    <n v="240000"/>
    <s v="Transformer connection"/>
    <s v="Sheet"/>
    <b v="0"/>
  </r>
  <r>
    <x v="5"/>
    <x v="7"/>
    <n v="5"/>
    <m/>
    <x v="58"/>
    <m/>
    <n v="32"/>
    <m/>
    <s v="PCS"/>
    <n v="5000"/>
    <n v="160000"/>
    <s v="Transformer connection"/>
    <s v="Sheet"/>
    <b v="0"/>
  </r>
  <r>
    <x v="5"/>
    <x v="7"/>
    <n v="6"/>
    <m/>
    <x v="59"/>
    <m/>
    <n v="16"/>
    <m/>
    <s v="PCS"/>
    <n v="5000"/>
    <n v="80000"/>
    <s v="Transformer connection"/>
    <s v="Sheet"/>
    <b v="0"/>
  </r>
  <r>
    <x v="5"/>
    <x v="7"/>
    <n v="7"/>
    <m/>
    <x v="32"/>
    <m/>
    <m/>
    <n v="5"/>
    <s v="h"/>
    <n v="13000000"/>
    <n v="65000000"/>
    <s v="Transformer connection"/>
    <s v="Sheet"/>
    <b v="0"/>
  </r>
  <r>
    <x v="5"/>
    <x v="7"/>
    <n v="8"/>
    <m/>
    <x v="35"/>
    <m/>
    <m/>
    <n v="0"/>
    <s v="%"/>
    <m/>
    <n v="0"/>
    <s v="Transformer connection"/>
    <s v="Sheet"/>
    <b v="0"/>
  </r>
  <r>
    <x v="5"/>
    <x v="8"/>
    <n v="1"/>
    <s v="آهن"/>
    <x v="62"/>
    <m/>
    <n v="1"/>
    <n v="25"/>
    <s v="Kg"/>
    <n v="5200000"/>
    <n v="130000000"/>
    <s v="Connection protection unit"/>
    <s v="Sheet"/>
    <b v="0"/>
  </r>
  <r>
    <x v="5"/>
    <x v="8"/>
    <m/>
    <s v="آهن"/>
    <x v="63"/>
    <m/>
    <n v="1"/>
    <m/>
    <s v="Kg"/>
    <m/>
    <n v="0"/>
    <s v="Connection protection unit"/>
    <s v="Sheet"/>
    <b v="0"/>
  </r>
  <r>
    <x v="5"/>
    <x v="8"/>
    <n v="3"/>
    <m/>
    <x v="38"/>
    <m/>
    <n v="32"/>
    <m/>
    <s v="PCS"/>
    <n v="10000"/>
    <n v="320000"/>
    <s v="Connection protection unit"/>
    <s v="Sheet"/>
    <b v="0"/>
  </r>
  <r>
    <x v="5"/>
    <x v="8"/>
    <n v="4"/>
    <m/>
    <x v="15"/>
    <m/>
    <n v="32"/>
    <m/>
    <s v="PCS"/>
    <n v="60000"/>
    <n v="1920000"/>
    <s v="Connection protection unit"/>
    <s v="Sheet"/>
    <b v="0"/>
  </r>
  <r>
    <x v="5"/>
    <x v="8"/>
    <n v="5"/>
    <m/>
    <x v="64"/>
    <m/>
    <n v="32"/>
    <m/>
    <s v="PCS"/>
    <n v="60000"/>
    <n v="1920000"/>
    <s v="Connection protection unit"/>
    <s v="Sheet"/>
    <b v="0"/>
  </r>
  <r>
    <x v="5"/>
    <x v="8"/>
    <n v="6"/>
    <m/>
    <x v="38"/>
    <m/>
    <n v="12"/>
    <m/>
    <s v="PCS"/>
    <n v="10000"/>
    <n v="120000"/>
    <s v="Connection protection unit"/>
    <s v="Sheet"/>
    <b v="0"/>
  </r>
  <r>
    <x v="5"/>
    <x v="8"/>
    <n v="7"/>
    <m/>
    <x v="65"/>
    <m/>
    <n v="12"/>
    <m/>
    <s v="PCS"/>
    <n v="10000"/>
    <n v="120000"/>
    <s v="Connection protection unit"/>
    <s v="Sheet"/>
    <b v="0"/>
  </r>
  <r>
    <x v="5"/>
    <x v="8"/>
    <n v="8"/>
    <m/>
    <x v="40"/>
    <m/>
    <n v="12"/>
    <m/>
    <s v="PCS"/>
    <n v="60000"/>
    <n v="720000"/>
    <s v="Connection protection unit"/>
    <s v="Sheet"/>
    <b v="0"/>
  </r>
  <r>
    <x v="5"/>
    <x v="8"/>
    <n v="9"/>
    <m/>
    <x v="66"/>
    <m/>
    <n v="32"/>
    <m/>
    <s v="PCS"/>
    <n v="10000"/>
    <n v="320000"/>
    <s v="Connection protection unit"/>
    <s v="Sheet"/>
    <b v="0"/>
  </r>
  <r>
    <x v="5"/>
    <x v="8"/>
    <n v="10"/>
    <m/>
    <x v="8"/>
    <m/>
    <n v="25"/>
    <m/>
    <s v="Kg"/>
    <n v="1430000"/>
    <n v="35750000"/>
    <s v="Connection protection unit"/>
    <s v="Sheet"/>
    <b v="0"/>
  </r>
  <r>
    <x v="5"/>
    <x v="8"/>
    <m/>
    <m/>
    <x v="30"/>
    <m/>
    <n v="1"/>
    <n v="6"/>
    <s v="m"/>
    <n v="460000"/>
    <n v="2760000"/>
    <s v="Connection protection unit"/>
    <s v="Sheet"/>
    <b v="0"/>
  </r>
  <r>
    <x v="5"/>
    <x v="8"/>
    <n v="11"/>
    <m/>
    <x v="32"/>
    <m/>
    <m/>
    <n v="5"/>
    <s v="h"/>
    <n v="13000000"/>
    <n v="65000000"/>
    <s v="Connection protection unit"/>
    <s v="Sheet"/>
    <b v="0"/>
  </r>
  <r>
    <x v="5"/>
    <x v="8"/>
    <n v="12"/>
    <m/>
    <x v="35"/>
    <m/>
    <m/>
    <n v="0"/>
    <s v="%"/>
    <m/>
    <n v="0"/>
    <s v="Connection protection unit"/>
    <s v="Sheet"/>
    <b v="0"/>
  </r>
  <r>
    <x v="5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5"/>
    <x v="9"/>
    <m/>
    <m/>
    <x v="68"/>
    <s v="200 X 100 X 3"/>
    <n v="2"/>
    <n v="0.94320000000000004"/>
    <s v="Kg"/>
    <n v="800000"/>
    <n v="754560"/>
    <s v="SPRINH HANGER"/>
    <s v="Sheet"/>
    <b v="0"/>
  </r>
  <r>
    <x v="5"/>
    <x v="9"/>
    <m/>
    <m/>
    <x v="69"/>
    <m/>
    <n v="2"/>
    <m/>
    <s v="PCS"/>
    <n v="5000000"/>
    <n v="10000000"/>
    <s v="SPRINH HANGER"/>
    <s v="Sheet"/>
    <b v="0"/>
  </r>
  <r>
    <x v="5"/>
    <x v="9"/>
    <n v="2"/>
    <m/>
    <x v="70"/>
    <n v="260"/>
    <n v="2"/>
    <n v="0.52"/>
    <s v="m"/>
    <n v="2000000"/>
    <n v="1040000"/>
    <s v="SPRINH HANGER"/>
    <s v="Sheet"/>
    <b v="0"/>
  </r>
  <r>
    <x v="5"/>
    <x v="9"/>
    <m/>
    <m/>
    <x v="71"/>
    <m/>
    <n v="10"/>
    <m/>
    <s v="PCS"/>
    <n v="200000"/>
    <n v="2000000"/>
    <s v="SPRINH HANGER"/>
    <s v="Sheet"/>
    <b v="0"/>
  </r>
  <r>
    <x v="5"/>
    <x v="9"/>
    <n v="7"/>
    <m/>
    <x v="72"/>
    <m/>
    <n v="4"/>
    <n v="4"/>
    <s v="PCS"/>
    <n v="300000"/>
    <n v="1200000"/>
    <s v="SPRINH HANGER"/>
    <s v="Sheet"/>
    <b v="0"/>
  </r>
  <r>
    <x v="5"/>
    <x v="9"/>
    <n v="8"/>
    <m/>
    <x v="58"/>
    <m/>
    <n v="10"/>
    <n v="10"/>
    <s v="PCS"/>
    <n v="30000"/>
    <n v="300000"/>
    <s v="SPRINH HANGER"/>
    <s v="Sheet"/>
    <b v="0"/>
  </r>
  <r>
    <x v="5"/>
    <x v="9"/>
    <n v="9"/>
    <m/>
    <x v="73"/>
    <m/>
    <n v="4"/>
    <n v="4"/>
    <s v="PCS"/>
    <n v="30000"/>
    <n v="120000"/>
    <s v="SPRINH HANGER"/>
    <s v="Sheet"/>
    <b v="0"/>
  </r>
  <r>
    <x v="5"/>
    <x v="9"/>
    <n v="12"/>
    <m/>
    <x v="46"/>
    <m/>
    <n v="4"/>
    <n v="4"/>
    <s v="PCS"/>
    <n v="30000"/>
    <n v="120000"/>
    <s v="SPRINH HANGER"/>
    <s v="Sheet"/>
    <b v="0"/>
  </r>
  <r>
    <x v="5"/>
    <x v="9"/>
    <n v="13"/>
    <m/>
    <x v="32"/>
    <m/>
    <m/>
    <n v="1"/>
    <s v="h"/>
    <n v="13000000"/>
    <n v="13000000"/>
    <s v="SPRINH HANGER"/>
    <s v="Sheet"/>
    <b v="0"/>
  </r>
  <r>
    <x v="5"/>
    <x v="9"/>
    <n v="14"/>
    <m/>
    <x v="35"/>
    <m/>
    <m/>
    <n v="0"/>
    <s v="%"/>
    <m/>
    <n v="0"/>
    <s v="SPRINH HANGER"/>
    <s v="Sheet"/>
    <b v="0"/>
  </r>
  <r>
    <x v="5"/>
    <x v="9"/>
    <m/>
    <m/>
    <x v="74"/>
    <n v="300"/>
    <n v="200"/>
    <n v="3"/>
    <n v="7.86"/>
    <m/>
    <n v="1.4148000000000001"/>
    <s v="SPRINH HANGER"/>
    <s v="Sheet"/>
    <b v="0"/>
  </r>
  <r>
    <x v="5"/>
    <x v="9"/>
    <m/>
    <m/>
    <x v="75"/>
    <n v="200"/>
    <n v="100"/>
    <n v="3"/>
    <n v="7.86"/>
    <m/>
    <n v="0.47160000000000002"/>
    <s v="SPRINH HANGER"/>
    <s v="Sheet"/>
    <b v="0"/>
  </r>
  <r>
    <x v="5"/>
    <x v="10"/>
    <n v="1"/>
    <s v="آهن"/>
    <x v="76"/>
    <m/>
    <n v="1"/>
    <n v="1.6485000000000001"/>
    <s v="Kg"/>
    <n v="700000"/>
    <n v="1153950"/>
    <s v="Suspension unit ceiling"/>
    <s v="Sheet"/>
    <b v="0"/>
  </r>
  <r>
    <x v="5"/>
    <x v="10"/>
    <n v="2"/>
    <s v="آهن"/>
    <x v="77"/>
    <m/>
    <n v="2"/>
    <m/>
    <s v="m"/>
    <n v="1200000"/>
    <n v="2400000"/>
    <s v="Suspension unit ceiling"/>
    <s v="Sheet"/>
    <b v="0"/>
  </r>
  <r>
    <x v="5"/>
    <x v="10"/>
    <n v="3"/>
    <m/>
    <x v="78"/>
    <m/>
    <n v="2"/>
    <m/>
    <s v="PCS"/>
    <n v="100000"/>
    <n v="200000"/>
    <s v="Suspension unit ceiling"/>
    <s v="Sheet"/>
    <b v="0"/>
  </r>
  <r>
    <x v="5"/>
    <x v="10"/>
    <n v="4"/>
    <m/>
    <x v="57"/>
    <m/>
    <n v="6"/>
    <m/>
    <s v="PCS"/>
    <n v="10000"/>
    <n v="60000"/>
    <s v="Suspension unit ceiling"/>
    <s v="Sheet"/>
    <b v="0"/>
  </r>
  <r>
    <x v="5"/>
    <x v="10"/>
    <n v="5"/>
    <m/>
    <x v="58"/>
    <m/>
    <n v="6"/>
    <m/>
    <s v="PCS"/>
    <n v="5000"/>
    <n v="30000"/>
    <s v="Suspension unit ceiling"/>
    <s v="Sheet"/>
    <b v="0"/>
  </r>
  <r>
    <x v="5"/>
    <x v="10"/>
    <n v="6"/>
    <m/>
    <x v="79"/>
    <m/>
    <n v="2"/>
    <m/>
    <s v="PCS"/>
    <n v="500000"/>
    <n v="1000000"/>
    <s v="Suspension unit ceiling"/>
    <s v="Sheet"/>
    <b v="0"/>
  </r>
  <r>
    <x v="5"/>
    <x v="10"/>
    <n v="7"/>
    <m/>
    <x v="80"/>
    <m/>
    <n v="2"/>
    <m/>
    <s v="PCS"/>
    <n v="10000"/>
    <n v="20000"/>
    <s v="Suspension unit ceiling"/>
    <s v="Sheet"/>
    <b v="0"/>
  </r>
  <r>
    <x v="5"/>
    <x v="10"/>
    <n v="8"/>
    <m/>
    <x v="65"/>
    <m/>
    <n v="2"/>
    <m/>
    <s v="PCS"/>
    <n v="5000"/>
    <n v="10000"/>
    <s v="Suspension unit ceiling"/>
    <s v="Sheet"/>
    <b v="0"/>
  </r>
  <r>
    <x v="5"/>
    <x v="10"/>
    <n v="9"/>
    <m/>
    <x v="40"/>
    <m/>
    <n v="2"/>
    <m/>
    <s v="PCS"/>
    <n v="60000"/>
    <n v="120000"/>
    <s v="Suspension unit ceiling"/>
    <s v="Sheet"/>
    <b v="0"/>
  </r>
  <r>
    <x v="5"/>
    <x v="10"/>
    <n v="10"/>
    <m/>
    <x v="32"/>
    <m/>
    <m/>
    <n v="3"/>
    <s v="h"/>
    <n v="13000000"/>
    <n v="39000000"/>
    <s v="Suspension unit ceiling"/>
    <s v="Sheet"/>
    <b v="0"/>
  </r>
  <r>
    <x v="5"/>
    <x v="10"/>
    <n v="11"/>
    <m/>
    <x v="35"/>
    <m/>
    <m/>
    <n v="0"/>
    <s v="%"/>
    <m/>
    <n v="0"/>
    <s v="Suspension unit ceiling"/>
    <s v="Sheet"/>
    <b v="0"/>
  </r>
  <r>
    <x v="5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5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5"/>
    <x v="11"/>
    <n v="7"/>
    <m/>
    <x v="13"/>
    <m/>
    <n v="2"/>
    <n v="2"/>
    <s v="PCS"/>
    <n v="50000"/>
    <n v="100000"/>
    <s v="Universal fixing unit"/>
    <s v="Sheet"/>
    <b v="0"/>
  </r>
  <r>
    <x v="5"/>
    <x v="11"/>
    <n v="8"/>
    <m/>
    <x v="64"/>
    <m/>
    <n v="4"/>
    <n v="4"/>
    <s v="PCS"/>
    <n v="30000"/>
    <n v="120000"/>
    <s v="Universal fixing unit"/>
    <s v="Sheet"/>
    <b v="0"/>
  </r>
  <r>
    <x v="5"/>
    <x v="11"/>
    <n v="9"/>
    <m/>
    <x v="82"/>
    <m/>
    <n v="1"/>
    <n v="1"/>
    <s v="PCS"/>
    <n v="30000"/>
    <n v="30000"/>
    <s v="Universal fixing unit"/>
    <s v="Sheet"/>
    <b v="0"/>
  </r>
  <r>
    <x v="5"/>
    <x v="11"/>
    <n v="13"/>
    <m/>
    <x v="32"/>
    <m/>
    <m/>
    <n v="1"/>
    <s v="h"/>
    <n v="13000000"/>
    <n v="13000000"/>
    <s v="Universal fixing unit"/>
    <s v="Sheet"/>
    <b v="0"/>
  </r>
  <r>
    <x v="5"/>
    <x v="11"/>
    <n v="14"/>
    <m/>
    <x v="35"/>
    <m/>
    <m/>
    <n v="0"/>
    <s v="%"/>
    <m/>
    <n v="0"/>
    <s v="Universal fixing unit"/>
    <s v="Sheet"/>
    <b v="0"/>
  </r>
  <r>
    <x v="5"/>
    <x v="11"/>
    <m/>
    <m/>
    <x v="74"/>
    <n v="300"/>
    <n v="100"/>
    <n v="2.5"/>
    <n v="7.86"/>
    <m/>
    <n v="0.58950000000000002"/>
    <s v="Universal fixing unit"/>
    <s v="Sheet"/>
    <b v="0"/>
  </r>
  <r>
    <x v="6"/>
    <x v="19"/>
    <n v="1"/>
    <s v="آلومینیوم"/>
    <x v="0"/>
    <n v="2735"/>
    <n v="2"/>
    <n v="7.6580000000000004"/>
    <s v="Kg"/>
    <n v="8500000"/>
    <n v="65092999.999999993"/>
    <s v="FEEDER-4000"/>
    <s v="Sheet"/>
    <b v="0"/>
  </r>
  <r>
    <x v="6"/>
    <x v="19"/>
    <n v="2"/>
    <m/>
    <x v="1"/>
    <n v="2735"/>
    <n v="1"/>
    <n v="3.8290000000000002"/>
    <s v="Kg"/>
    <n v="8500000"/>
    <n v="32546499.999999996"/>
    <s v="FEEDER-4000"/>
    <s v="Sheet"/>
    <b v="0"/>
  </r>
  <r>
    <x v="6"/>
    <x v="19"/>
    <n v="3"/>
    <m/>
    <x v="88"/>
    <n v="2703"/>
    <n v="4"/>
    <n v="35.679600000000001"/>
    <s v="Kg"/>
    <n v="8500000"/>
    <n v="303276600"/>
    <s v="FEEDER-4000"/>
    <s v="Sheet"/>
    <b v="0"/>
  </r>
  <r>
    <x v="6"/>
    <x v="19"/>
    <n v="4"/>
    <m/>
    <x v="3"/>
    <n v="120"/>
    <n v="4"/>
    <n v="0.48"/>
    <s v="Kg"/>
    <n v="8500000"/>
    <n v="4080000"/>
    <s v="FEEDER-4000"/>
    <s v="Sheet"/>
    <b v="0"/>
  </r>
  <r>
    <x v="6"/>
    <x v="19"/>
    <n v="5"/>
    <m/>
    <x v="4"/>
    <n v="180"/>
    <n v="4"/>
    <n v="3.12012"/>
    <s v="Kg"/>
    <n v="8500000"/>
    <n v="26521020"/>
    <s v="FEEDER-4000"/>
    <s v="Sheet"/>
    <b v="0"/>
  </r>
  <r>
    <x v="6"/>
    <x v="19"/>
    <n v="6"/>
    <m/>
    <x v="5"/>
    <s v="2970"/>
    <n v="8"/>
    <n v="88.529760000000039"/>
    <s v="Kg"/>
    <n v="8500000"/>
    <n v="752502960.00000036"/>
    <s v="FEEDER-4000"/>
    <s v="Sheet"/>
    <b v="0"/>
  </r>
  <r>
    <x v="6"/>
    <x v="19"/>
    <n v="7"/>
    <s v="عایق ها"/>
    <x v="6"/>
    <n v="0.13"/>
    <n v="11.689920000000001"/>
    <n v="11.689920000000001"/>
    <s v="M2"/>
    <n v="4275000"/>
    <n v="49974408"/>
    <s v="FEEDER-4000"/>
    <s v="Sheet"/>
    <b v="0"/>
  </r>
  <r>
    <x v="6"/>
    <x v="19"/>
    <n v="8"/>
    <m/>
    <x v="7"/>
    <n v="0.35"/>
    <n v="5.1435648"/>
    <n v="5.1435648"/>
    <s v="Kg"/>
    <n v="35750000"/>
    <n v="183882441.59999999"/>
    <s v="FEEDER-4000"/>
    <s v="Sheet"/>
    <b v="0"/>
  </r>
  <r>
    <x v="6"/>
    <x v="19"/>
    <n v="9"/>
    <m/>
    <x v="7"/>
    <n v="0.2"/>
    <n v="0"/>
    <n v="0"/>
    <s v="Kg"/>
    <n v="45760000"/>
    <n v="0"/>
    <s v="FEEDER-4000"/>
    <s v="Sheet"/>
    <b v="0"/>
  </r>
  <r>
    <x v="6"/>
    <x v="19"/>
    <n v="10"/>
    <s v="رنگ بدنه"/>
    <x v="8"/>
    <m/>
    <n v="47.166600000000003"/>
    <n v="47.166600000000003"/>
    <s v="Kg"/>
    <n v="1430000"/>
    <n v="67448238"/>
    <s v="FEEDER-4000"/>
    <s v="Sheet"/>
    <b v="0"/>
  </r>
  <r>
    <x v="6"/>
    <x v="19"/>
    <n v="11"/>
    <s v="قلع"/>
    <x v="9"/>
    <m/>
    <n v="16"/>
    <n v="16"/>
    <s v="Kg"/>
    <n v="3000000"/>
    <n v="48000000"/>
    <s v="FEEDER-4000"/>
    <s v="Sheet"/>
    <b v="0"/>
  </r>
  <r>
    <x v="6"/>
    <x v="19"/>
    <n v="12"/>
    <m/>
    <x v="10"/>
    <m/>
    <n v="88.529760000000039"/>
    <n v="88.529760000000039"/>
    <s v="PCS"/>
    <n v="3600000"/>
    <n v="318707136.00000006"/>
    <s v="FEEDER-4000"/>
    <s v="Sheet"/>
    <b v="0"/>
  </r>
  <r>
    <x v="6"/>
    <x v="19"/>
    <n v="13"/>
    <s v="چسب"/>
    <x v="11"/>
    <m/>
    <n v="23.76"/>
    <n v="23.76"/>
    <s v="PCS"/>
    <n v="3600000"/>
    <n v="85536000"/>
    <s v="FEEDER-4000"/>
    <s v="Sheet"/>
    <b v="0"/>
  </r>
  <r>
    <x v="6"/>
    <x v="19"/>
    <n v="14"/>
    <m/>
    <x v="12"/>
    <m/>
    <n v="0.4"/>
    <n v="0.4"/>
    <s v="PCS"/>
    <n v="5500000"/>
    <n v="2200000"/>
    <s v="FEEDER-4000"/>
    <s v="Sheet"/>
    <b v="0"/>
  </r>
  <r>
    <x v="6"/>
    <x v="19"/>
    <n v="15"/>
    <s v="پیچ و مهره"/>
    <x v="13"/>
    <m/>
    <s v="80"/>
    <s v="80"/>
    <s v="PCS"/>
    <n v="200000"/>
    <n v="16000000"/>
    <s v="FEEDER-4000"/>
    <s v="Sheet"/>
    <b v="0"/>
  </r>
  <r>
    <x v="6"/>
    <x v="19"/>
    <n v="16"/>
    <m/>
    <x v="14"/>
    <m/>
    <n v="8"/>
    <n v="8"/>
    <s v="PCS"/>
    <n v="200000"/>
    <n v="1600000"/>
    <s v="FEEDER-4000"/>
    <s v="Sheet"/>
    <b v="0"/>
  </r>
  <r>
    <x v="6"/>
    <x v="19"/>
    <n v="17"/>
    <m/>
    <x v="15"/>
    <m/>
    <n v="88"/>
    <n v="88"/>
    <s v="PCS"/>
    <n v="200000"/>
    <n v="17600000"/>
    <s v="FEEDER-4000"/>
    <s v="Sheet"/>
    <b v="0"/>
  </r>
  <r>
    <x v="6"/>
    <x v="19"/>
    <n v="18"/>
    <m/>
    <x v="16"/>
    <m/>
    <n v="16"/>
    <n v="16"/>
    <s v="PCS"/>
    <n v="400000"/>
    <n v="6400000"/>
    <s v="FEEDER-4000"/>
    <s v="Sheet"/>
    <b v="0"/>
  </r>
  <r>
    <x v="6"/>
    <x v="19"/>
    <n v="19"/>
    <m/>
    <x v="17"/>
    <m/>
    <n v="16"/>
    <n v="16"/>
    <s v="PCS"/>
    <n v="120000"/>
    <n v="1920000"/>
    <s v="FEEDER-4000"/>
    <s v="Sheet"/>
    <b v="0"/>
  </r>
  <r>
    <x v="6"/>
    <x v="19"/>
    <n v="20"/>
    <m/>
    <x v="18"/>
    <m/>
    <n v="24"/>
    <n v="24"/>
    <s v="PCS"/>
    <n v="400000"/>
    <n v="9600000"/>
    <s v="FEEDER-4000"/>
    <s v="Sheet"/>
    <b v="0"/>
  </r>
  <r>
    <x v="6"/>
    <x v="19"/>
    <n v="21"/>
    <s v="مس"/>
    <x v="19"/>
    <n v="132"/>
    <n v="16"/>
    <n v="13.057228800000001"/>
    <s v="Kg"/>
    <n v="35000000"/>
    <n v="457003008"/>
    <s v="FEEDER-4000"/>
    <s v="Sheet"/>
    <b v="0"/>
  </r>
  <r>
    <x v="6"/>
    <x v="19"/>
    <n v="22"/>
    <s v="آهن"/>
    <x v="20"/>
    <s v="115 X 185"/>
    <n v="2"/>
    <n v="3.2"/>
    <s v="Kg"/>
    <n v="5200000"/>
    <n v="16640000"/>
    <s v="FEEDER-4000"/>
    <s v="Sheet"/>
    <b v="0"/>
  </r>
  <r>
    <x v="6"/>
    <x v="19"/>
    <n v="23"/>
    <m/>
    <x v="21"/>
    <s v="425 X 265"/>
    <n v="2"/>
    <n v="1.2"/>
    <s v="Kg"/>
    <n v="5200000"/>
    <n v="6240000"/>
    <s v="FEEDER-4000"/>
    <s v="Sheet"/>
    <b v="0"/>
  </r>
  <r>
    <x v="6"/>
    <x v="19"/>
    <n v="24"/>
    <s v="الومینیوم"/>
    <x v="22"/>
    <s v="118*157"/>
    <n v="2"/>
    <n v="1.890155"/>
    <s v="Kg"/>
    <n v="8500000"/>
    <n v="16066317.5"/>
    <s v="FEEDER-4000"/>
    <s v="Sheet"/>
    <b v="0"/>
  </r>
  <r>
    <x v="6"/>
    <x v="19"/>
    <n v="25"/>
    <s v="پلی امید"/>
    <x v="23"/>
    <n v="0.18"/>
    <n v="4"/>
    <n v="4"/>
    <s v="PCS"/>
    <n v="1300000"/>
    <n v="5200000"/>
    <s v="FEEDER-4000"/>
    <s v="Sheet"/>
    <b v="0"/>
  </r>
  <r>
    <x v="6"/>
    <x v="19"/>
    <n v="26"/>
    <m/>
    <x v="24"/>
    <n v="0.2"/>
    <n v="6"/>
    <n v="6"/>
    <s v="PCS"/>
    <n v="1300000"/>
    <n v="7800000"/>
    <s v="FEEDER-4000"/>
    <s v="Sheet"/>
    <b v="0"/>
  </r>
  <r>
    <x v="6"/>
    <x v="19"/>
    <n v="27"/>
    <s v="ABS"/>
    <x v="25"/>
    <s v="80 mm"/>
    <n v="2"/>
    <n v="2"/>
    <s v="PCS"/>
    <n v="100000"/>
    <n v="200000"/>
    <s v="FEEDER-4000"/>
    <s v="Sheet"/>
    <b v="0"/>
  </r>
  <r>
    <x v="6"/>
    <x v="19"/>
    <n v="28"/>
    <s v="پیچ و مهره"/>
    <x v="26"/>
    <m/>
    <n v="4"/>
    <n v="4"/>
    <s v="PCS"/>
    <n v="2400000"/>
    <n v="9600000"/>
    <s v="FEEDER-4000"/>
    <s v="Sheet"/>
    <b v="0"/>
  </r>
  <r>
    <x v="6"/>
    <x v="19"/>
    <n v="29"/>
    <m/>
    <x v="27"/>
    <m/>
    <n v="4"/>
    <n v="4"/>
    <s v="PCS"/>
    <n v="2400000"/>
    <n v="9600000"/>
    <s v="FEEDER-4000"/>
    <s v="Sheet"/>
    <b v="0"/>
  </r>
  <r>
    <x v="6"/>
    <x v="19"/>
    <n v="30"/>
    <m/>
    <x v="28"/>
    <m/>
    <n v="4"/>
    <n v="4"/>
    <s v="PCS"/>
    <n v="3000000"/>
    <n v="12000000"/>
    <s v="FEEDER-4000"/>
    <s v="Sheet"/>
    <b v="0"/>
  </r>
  <r>
    <x v="6"/>
    <x v="19"/>
    <n v="31"/>
    <s v="نوار IP"/>
    <x v="29"/>
    <m/>
    <n v="2"/>
    <n v="2"/>
    <s v="PCS"/>
    <n v="1300000"/>
    <n v="2600000"/>
    <s v="FEEDER-4000"/>
    <s v="Sheet"/>
    <b v="0"/>
  </r>
  <r>
    <x v="6"/>
    <x v="19"/>
    <n v="32"/>
    <s v="نوار IP"/>
    <x v="30"/>
    <m/>
    <n v="8"/>
    <n v="21.623999999999999"/>
    <s v="m"/>
    <n v="460000"/>
    <n v="9947040"/>
    <s v="FEEDER-4000"/>
    <s v="Sheet"/>
    <b v="0"/>
  </r>
  <r>
    <x v="6"/>
    <x v="19"/>
    <n v="33"/>
    <s v="ترموفیت"/>
    <x v="31"/>
    <n v="50"/>
    <n v="16"/>
    <n v="1.6"/>
    <s v="m "/>
    <n v="17526080"/>
    <n v="28041728"/>
    <s v="FEEDER-4000"/>
    <s v="Sheet"/>
    <b v="0"/>
  </r>
  <r>
    <x v="6"/>
    <x v="19"/>
    <n v="28"/>
    <m/>
    <x v="32"/>
    <m/>
    <m/>
    <n v="10"/>
    <s v="h"/>
    <n v="13000000"/>
    <n v="130000000"/>
    <s v="FEEDER-4000"/>
    <s v="Sheet"/>
    <b v="0"/>
  </r>
  <r>
    <x v="6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6"/>
    <x v="1"/>
    <n v="2"/>
    <m/>
    <x v="1"/>
    <n v="0.76800000000000002"/>
    <n v="1"/>
    <n v="1.0751999999999999"/>
    <s v="Kg"/>
    <n v="8500000"/>
    <n v="9139200"/>
    <s v="Vertical elbow"/>
    <s v="Sheet"/>
    <b v="0"/>
  </r>
  <r>
    <x v="6"/>
    <x v="1"/>
    <n v="3"/>
    <m/>
    <x v="88"/>
    <n v="0.70299999999999996"/>
    <n v="4"/>
    <n v="9.2795999999999985"/>
    <s v="Kg"/>
    <n v="8500000"/>
    <n v="78876599.999999985"/>
    <s v="Vertical elbow"/>
    <s v="Sheet"/>
    <b v="0"/>
  </r>
  <r>
    <x v="6"/>
    <x v="1"/>
    <n v="4"/>
    <m/>
    <x v="3"/>
    <n v="120"/>
    <n v="4"/>
    <n v="0.48"/>
    <s v="Kg"/>
    <n v="8500000"/>
    <n v="4080000"/>
    <s v="Vertical elbow"/>
    <s v="Sheet"/>
    <b v="0"/>
  </r>
  <r>
    <x v="6"/>
    <x v="1"/>
    <n v="5"/>
    <m/>
    <x v="4"/>
    <n v="180"/>
    <n v="4"/>
    <n v="3.12012"/>
    <s v="Kg"/>
    <n v="8500000"/>
    <n v="26521020"/>
    <s v="Vertical elbow"/>
    <s v="Sheet"/>
    <b v="0"/>
  </r>
  <r>
    <x v="6"/>
    <x v="1"/>
    <n v="6"/>
    <m/>
    <x v="5"/>
    <n v="0.96299999999999997"/>
    <n v="8"/>
    <n v="28.705103999999999"/>
    <s v="Kg"/>
    <n v="8500000"/>
    <n v="243993384.00000003"/>
    <s v="Vertical elbow"/>
    <s v="Sheet"/>
    <b v="0"/>
  </r>
  <r>
    <x v="6"/>
    <x v="1"/>
    <n v="7"/>
    <s v="عایق ها"/>
    <x v="6"/>
    <n v="0.13"/>
    <n v="3.790368"/>
    <n v="3.790368"/>
    <s v="M2"/>
    <n v="4275000"/>
    <n v="16203823.199999999"/>
    <s v="Vertical elbow"/>
    <s v="Sheet"/>
    <b v="0"/>
  </r>
  <r>
    <x v="6"/>
    <x v="1"/>
    <n v="8"/>
    <m/>
    <x v="7"/>
    <n v="0.35"/>
    <n v="0"/>
    <n v="0"/>
    <s v="Kg"/>
    <n v="35750000"/>
    <n v="0"/>
    <s v="Vertical elbow"/>
    <s v="Sheet"/>
    <b v="0"/>
  </r>
  <r>
    <x v="6"/>
    <x v="1"/>
    <n v="9"/>
    <m/>
    <x v="7"/>
    <n v="0.2"/>
    <n v="1.895184"/>
    <n v="1.895184"/>
    <s v="Kg"/>
    <n v="45760000"/>
    <n v="86723619.840000004"/>
    <s v="Vertical elbow"/>
    <s v="Sheet"/>
    <b v="0"/>
  </r>
  <r>
    <x v="6"/>
    <x v="1"/>
    <n v="10"/>
    <s v="رنگ بدنه"/>
    <x v="8"/>
    <m/>
    <n v="12.5052"/>
    <n v="12.5052"/>
    <s v="PCS"/>
    <n v="1430000"/>
    <n v="17882435.999999996"/>
    <s v="Vertical elbow"/>
    <s v="Sheet"/>
    <b v="0"/>
  </r>
  <r>
    <x v="6"/>
    <x v="1"/>
    <n v="11"/>
    <s v="قلع"/>
    <x v="9"/>
    <m/>
    <n v="16"/>
    <n v="16"/>
    <s v="Kg"/>
    <n v="3000000"/>
    <n v="48000000"/>
    <s v="Vertical elbow"/>
    <s v="Sheet"/>
    <b v="0"/>
  </r>
  <r>
    <x v="6"/>
    <x v="1"/>
    <n v="12"/>
    <m/>
    <x v="10"/>
    <m/>
    <n v="28.705103999999999"/>
    <n v="28.705103999999999"/>
    <s v="PCS"/>
    <n v="3600000"/>
    <n v="103338374.40000001"/>
    <s v="Vertical elbow"/>
    <s v="Sheet"/>
    <b v="0"/>
  </r>
  <r>
    <x v="6"/>
    <x v="1"/>
    <n v="13"/>
    <s v="چسب"/>
    <x v="11"/>
    <m/>
    <n v="7.7039999999999997"/>
    <n v="7.7039999999999997"/>
    <s v="PCS"/>
    <n v="3600000"/>
    <n v="27734400"/>
    <s v="Vertical elbow"/>
    <s v="Sheet"/>
    <b v="0"/>
  </r>
  <r>
    <x v="6"/>
    <x v="1"/>
    <n v="14"/>
    <m/>
    <x v="12"/>
    <m/>
    <n v="0.4"/>
    <n v="0.4"/>
    <s v="PCS"/>
    <n v="5500000"/>
    <n v="2200000"/>
    <s v="Vertical elbow"/>
    <s v="Sheet"/>
    <b v="0"/>
  </r>
  <r>
    <x v="6"/>
    <x v="1"/>
    <n v="15"/>
    <s v="پیچ و مهره"/>
    <x v="13"/>
    <m/>
    <n v="20"/>
    <n v="20"/>
    <s v="PCS"/>
    <n v="200000"/>
    <n v="4000000"/>
    <s v="Vertical elbow"/>
    <s v="Sheet"/>
    <b v="0"/>
  </r>
  <r>
    <x v="6"/>
    <x v="1"/>
    <n v="16"/>
    <m/>
    <x v="14"/>
    <m/>
    <n v="8"/>
    <n v="8"/>
    <s v="PCS"/>
    <n v="200000"/>
    <n v="1600000"/>
    <s v="Vertical elbow"/>
    <s v="Sheet"/>
    <b v="0"/>
  </r>
  <r>
    <x v="6"/>
    <x v="1"/>
    <n v="17"/>
    <m/>
    <x v="15"/>
    <m/>
    <n v="28"/>
    <n v="28"/>
    <s v="PCS"/>
    <n v="200000"/>
    <n v="5600000"/>
    <s v="Vertical elbow"/>
    <s v="Sheet"/>
    <b v="0"/>
  </r>
  <r>
    <x v="6"/>
    <x v="1"/>
    <n v="18"/>
    <m/>
    <x v="16"/>
    <m/>
    <n v="16"/>
    <n v="16"/>
    <s v="PCS"/>
    <n v="400000"/>
    <n v="6400000"/>
    <s v="Vertical elbow"/>
    <s v="Sheet"/>
    <b v="0"/>
  </r>
  <r>
    <x v="6"/>
    <x v="1"/>
    <n v="19"/>
    <m/>
    <x v="17"/>
    <m/>
    <n v="16"/>
    <n v="16"/>
    <s v="PCS"/>
    <n v="120000"/>
    <n v="1920000"/>
    <s v="Vertical elbow"/>
    <s v="Sheet"/>
    <b v="0"/>
  </r>
  <r>
    <x v="6"/>
    <x v="1"/>
    <n v="20"/>
    <m/>
    <x v="18"/>
    <m/>
    <n v="24"/>
    <n v="24"/>
    <s v="PCS"/>
    <n v="400000"/>
    <n v="9600000"/>
    <s v="Vertical elbow"/>
    <s v="Sheet"/>
    <b v="0"/>
  </r>
  <r>
    <x v="6"/>
    <x v="1"/>
    <n v="21"/>
    <s v="مس"/>
    <x v="19"/>
    <n v="132"/>
    <n v="16"/>
    <n v="13.057228800000001"/>
    <s v="Kg"/>
    <n v="35000000"/>
    <n v="457003008"/>
    <s v="Vertical elbow"/>
    <s v="Sheet"/>
    <b v="0"/>
  </r>
  <r>
    <x v="6"/>
    <x v="1"/>
    <n v="22"/>
    <s v="آهن"/>
    <x v="20"/>
    <s v="115 X 185"/>
    <n v="2"/>
    <n v="3.2"/>
    <s v="Kg"/>
    <n v="5200000"/>
    <n v="16640000"/>
    <s v="Vertical elbow"/>
    <s v="Sheet"/>
    <b v="0"/>
  </r>
  <r>
    <x v="6"/>
    <x v="1"/>
    <n v="23"/>
    <m/>
    <x v="21"/>
    <s v="425 X 265"/>
    <n v="2"/>
    <n v="1.2"/>
    <s v="Kg"/>
    <n v="5200000"/>
    <n v="6240000"/>
    <s v="Vertical elbow"/>
    <s v="Sheet"/>
    <b v="0"/>
  </r>
  <r>
    <x v="6"/>
    <x v="1"/>
    <n v="24"/>
    <s v="الومینیوم"/>
    <x v="22"/>
    <s v="163*157"/>
    <n v="2"/>
    <n v="1.890155"/>
    <s v="Kg"/>
    <n v="8500000"/>
    <n v="16066317.5"/>
    <s v="Vertical elbow"/>
    <s v="Sheet"/>
    <b v="0"/>
  </r>
  <r>
    <x v="6"/>
    <x v="1"/>
    <n v="25"/>
    <s v="پلی امید"/>
    <x v="23"/>
    <n v="0.18"/>
    <n v="4"/>
    <n v="4"/>
    <s v="PCS"/>
    <n v="1300000"/>
    <n v="5200000"/>
    <s v="Vertical elbow"/>
    <s v="Sheet"/>
    <b v="0"/>
  </r>
  <r>
    <x v="6"/>
    <x v="1"/>
    <n v="26"/>
    <m/>
    <x v="24"/>
    <n v="0.2"/>
    <n v="6"/>
    <n v="6"/>
    <s v="PCS"/>
    <n v="1300000"/>
    <n v="7800000"/>
    <s v="Vertical elbow"/>
    <s v="Sheet"/>
    <b v="0"/>
  </r>
  <r>
    <x v="6"/>
    <x v="1"/>
    <n v="27"/>
    <s v="ABS"/>
    <x v="25"/>
    <s v="80 mm"/>
    <n v="2"/>
    <n v="2"/>
    <s v="PCS"/>
    <n v="100000"/>
    <n v="200000"/>
    <s v="Vertical elbow"/>
    <s v="Sheet"/>
    <b v="0"/>
  </r>
  <r>
    <x v="6"/>
    <x v="1"/>
    <n v="28"/>
    <s v="پیچ و مهره"/>
    <x v="26"/>
    <m/>
    <n v="4"/>
    <n v="4"/>
    <s v="PCS"/>
    <n v="2400000"/>
    <n v="9600000"/>
    <s v="Vertical elbow"/>
    <s v="Sheet"/>
    <b v="0"/>
  </r>
  <r>
    <x v="6"/>
    <x v="1"/>
    <n v="29"/>
    <m/>
    <x v="27"/>
    <m/>
    <n v="4"/>
    <n v="4"/>
    <s v="PCS"/>
    <n v="2400000"/>
    <n v="9600000"/>
    <s v="Vertical elbow"/>
    <s v="Sheet"/>
    <b v="0"/>
  </r>
  <r>
    <x v="6"/>
    <x v="1"/>
    <n v="30"/>
    <m/>
    <x v="28"/>
    <m/>
    <n v="4"/>
    <n v="4"/>
    <s v="PCS"/>
    <n v="3000000"/>
    <n v="12000000"/>
    <s v="Vertical elbow"/>
    <s v="Sheet"/>
    <b v="0"/>
  </r>
  <r>
    <x v="6"/>
    <x v="1"/>
    <n v="31"/>
    <s v="جوش"/>
    <x v="33"/>
    <m/>
    <n v="1"/>
    <n v="4"/>
    <s v="PCS"/>
    <n v="30000000"/>
    <n v="120000000"/>
    <s v="Vertical elbow"/>
    <s v="Sheet"/>
    <b v="0"/>
  </r>
  <r>
    <x v="6"/>
    <x v="1"/>
    <n v="32"/>
    <m/>
    <x v="34"/>
    <m/>
    <n v="1"/>
    <n v="8"/>
    <m/>
    <n v="24000000"/>
    <n v="192000000"/>
    <s v="Vertical elbow"/>
    <s v="Sheet"/>
    <b v="0"/>
  </r>
  <r>
    <x v="6"/>
    <x v="1"/>
    <n v="33"/>
    <s v="نوار IP"/>
    <x v="29"/>
    <m/>
    <n v="2"/>
    <n v="2"/>
    <s v="PCS"/>
    <n v="1300000"/>
    <n v="2600000"/>
    <s v="Vertical elbow"/>
    <s v="Sheet"/>
    <b v="0"/>
  </r>
  <r>
    <x v="6"/>
    <x v="1"/>
    <n v="34"/>
    <s v="نوار IP"/>
    <x v="30"/>
    <m/>
    <n v="8"/>
    <n v="5.6239999999999997"/>
    <s v="m"/>
    <n v="460000"/>
    <n v="2587040"/>
    <s v="Vertical elbow"/>
    <s v="Sheet"/>
    <b v="0"/>
  </r>
  <r>
    <x v="6"/>
    <x v="1"/>
    <n v="35"/>
    <s v="ترموفیت"/>
    <x v="31"/>
    <n v="50"/>
    <n v="16"/>
    <n v="1.6"/>
    <s v="m "/>
    <n v="17526080"/>
    <n v="28041728"/>
    <s v="Vertical elbow"/>
    <s v="Sheet"/>
    <b v="0"/>
  </r>
  <r>
    <x v="6"/>
    <x v="1"/>
    <n v="28"/>
    <m/>
    <x v="32"/>
    <m/>
    <m/>
    <n v="12"/>
    <s v="h"/>
    <n v="13000000"/>
    <n v="156000000"/>
    <s v="Vertical elbow"/>
    <s v="Sheet"/>
    <b v="0"/>
  </r>
  <r>
    <x v="6"/>
    <x v="1"/>
    <n v="29"/>
    <m/>
    <x v="35"/>
    <m/>
    <m/>
    <n v="0"/>
    <s v="%"/>
    <m/>
    <n v="0"/>
    <s v="Vertical elbow"/>
    <s v="Sheet"/>
    <b v="0"/>
  </r>
  <r>
    <x v="6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6"/>
    <x v="2"/>
    <n v="2"/>
    <m/>
    <x v="1"/>
    <n v="0.33500000000000002"/>
    <n v="1"/>
    <n v="0.46899999999999997"/>
    <s v="Kg"/>
    <n v="8500000"/>
    <n v="3986499.9999999991"/>
    <s v="Horizontal elbow"/>
    <s v="Sheet"/>
    <b v="0"/>
  </r>
  <r>
    <x v="6"/>
    <x v="2"/>
    <n v="3"/>
    <m/>
    <x v="88"/>
    <n v="0.33500000000000002"/>
    <n v="4"/>
    <n v="4.4219999999999997"/>
    <s v="Kg"/>
    <n v="8500000"/>
    <n v="37587000"/>
    <s v="Horizontal elbow"/>
    <s v="Sheet"/>
    <b v="0"/>
  </r>
  <r>
    <x v="6"/>
    <x v="2"/>
    <n v="4"/>
    <m/>
    <x v="3"/>
    <n v="120"/>
    <n v="4"/>
    <n v="0.48"/>
    <s v="Kg"/>
    <n v="8500000"/>
    <n v="4080000"/>
    <s v="Horizontal elbow"/>
    <s v="Sheet"/>
    <b v="0"/>
  </r>
  <r>
    <x v="6"/>
    <x v="2"/>
    <n v="5"/>
    <m/>
    <x v="4"/>
    <n v="180"/>
    <n v="4"/>
    <n v="3.12012"/>
    <s v="Kg"/>
    <n v="8500000"/>
    <n v="26521020"/>
    <s v="Horizontal elbow"/>
    <s v="Sheet"/>
    <b v="0"/>
  </r>
  <r>
    <x v="6"/>
    <x v="2"/>
    <n v="6"/>
    <m/>
    <x v="5"/>
    <n v="0.55800000000000005"/>
    <n v="8"/>
    <n v="16.632864000000001"/>
    <s v="Kg"/>
    <n v="8500000"/>
    <n v="141379344"/>
    <s v="Horizontal elbow"/>
    <s v="Sheet"/>
    <b v="0"/>
  </r>
  <r>
    <x v="6"/>
    <x v="2"/>
    <n v="7"/>
    <s v="عایق ها"/>
    <x v="6"/>
    <n v="0.13"/>
    <n v="2.196288"/>
    <n v="2.196288"/>
    <s v="M2"/>
    <n v="4275000"/>
    <n v="9389131.1999999993"/>
    <s v="Horizontal elbow"/>
    <s v="Sheet"/>
    <b v="0"/>
  </r>
  <r>
    <x v="6"/>
    <x v="2"/>
    <n v="8"/>
    <m/>
    <x v="7"/>
    <n v="0.35"/>
    <n v="0"/>
    <n v="0"/>
    <s v="Kg"/>
    <n v="35750000"/>
    <n v="0"/>
    <s v="Horizontal elbow"/>
    <s v="Sheet"/>
    <b v="0"/>
  </r>
  <r>
    <x v="6"/>
    <x v="2"/>
    <n v="9"/>
    <m/>
    <x v="7"/>
    <n v="0.2"/>
    <n v="1.098144"/>
    <n v="1.098144"/>
    <s v="Kg"/>
    <n v="45760000"/>
    <n v="50251069.439999998"/>
    <s v="Horizontal elbow"/>
    <s v="Sheet"/>
    <b v="0"/>
  </r>
  <r>
    <x v="6"/>
    <x v="2"/>
    <n v="10"/>
    <s v="رنگ بدنه"/>
    <x v="8"/>
    <m/>
    <n v="5.8289999999999997"/>
    <n v="5.8289999999999997"/>
    <s v="PCS"/>
    <n v="1430000"/>
    <n v="8335470"/>
    <s v="Horizontal elbow"/>
    <s v="Sheet"/>
    <b v="0"/>
  </r>
  <r>
    <x v="6"/>
    <x v="2"/>
    <n v="11"/>
    <s v="قلع"/>
    <x v="9"/>
    <m/>
    <n v="16"/>
    <n v="16"/>
    <s v="Kg"/>
    <n v="3000000"/>
    <n v="48000000"/>
    <s v="Horizontal elbow"/>
    <s v="Sheet"/>
    <b v="0"/>
  </r>
  <r>
    <x v="6"/>
    <x v="2"/>
    <n v="12"/>
    <m/>
    <x v="10"/>
    <m/>
    <n v="16.632864000000001"/>
    <n v="16.632864000000001"/>
    <s v="PCS"/>
    <n v="3600000"/>
    <n v="59878310.400000006"/>
    <s v="Horizontal elbow"/>
    <s v="Sheet"/>
    <b v="0"/>
  </r>
  <r>
    <x v="6"/>
    <x v="2"/>
    <n v="13"/>
    <s v="چسب"/>
    <x v="11"/>
    <m/>
    <n v="4.4640000000000004"/>
    <n v="4.4640000000000004"/>
    <s v="PCS"/>
    <n v="3600000"/>
    <n v="16070400.000000002"/>
    <s v="Horizontal elbow"/>
    <s v="Sheet"/>
    <b v="0"/>
  </r>
  <r>
    <x v="6"/>
    <x v="2"/>
    <n v="14"/>
    <m/>
    <x v="12"/>
    <m/>
    <n v="0.4"/>
    <n v="0.4"/>
    <s v="PCS"/>
    <n v="5500000"/>
    <n v="2200000"/>
    <s v="Horizontal elbow"/>
    <s v="Sheet"/>
    <b v="0"/>
  </r>
  <r>
    <x v="6"/>
    <x v="2"/>
    <n v="15"/>
    <s v="پیچ و مهره"/>
    <x v="13"/>
    <m/>
    <n v="20"/>
    <n v="20"/>
    <s v="PCS"/>
    <n v="200000"/>
    <n v="4000000"/>
    <s v="Horizontal elbow"/>
    <s v="Sheet"/>
    <b v="0"/>
  </r>
  <r>
    <x v="6"/>
    <x v="2"/>
    <n v="16"/>
    <m/>
    <x v="14"/>
    <m/>
    <n v="8"/>
    <n v="8"/>
    <s v="PCS"/>
    <n v="200000"/>
    <n v="1600000"/>
    <s v="Horizontal elbow"/>
    <s v="Sheet"/>
    <b v="0"/>
  </r>
  <r>
    <x v="6"/>
    <x v="2"/>
    <n v="17"/>
    <m/>
    <x v="15"/>
    <m/>
    <n v="16"/>
    <n v="16"/>
    <s v="PCS"/>
    <n v="200000"/>
    <n v="3200000"/>
    <s v="Horizontal elbow"/>
    <s v="Sheet"/>
    <b v="0"/>
  </r>
  <r>
    <x v="6"/>
    <x v="2"/>
    <n v="18"/>
    <m/>
    <x v="16"/>
    <m/>
    <n v="16"/>
    <n v="16"/>
    <s v="PCS"/>
    <n v="400000"/>
    <n v="6400000"/>
    <s v="Horizontal elbow"/>
    <s v="Sheet"/>
    <b v="0"/>
  </r>
  <r>
    <x v="6"/>
    <x v="2"/>
    <n v="19"/>
    <m/>
    <x v="17"/>
    <m/>
    <n v="16"/>
    <n v="16"/>
    <s v="PCS"/>
    <n v="120000"/>
    <n v="1920000"/>
    <s v="Horizontal elbow"/>
    <s v="Sheet"/>
    <b v="0"/>
  </r>
  <r>
    <x v="6"/>
    <x v="2"/>
    <n v="20"/>
    <m/>
    <x v="18"/>
    <m/>
    <n v="24"/>
    <n v="24"/>
    <s v="PCS"/>
    <n v="400000"/>
    <n v="9600000"/>
    <s v="Horizontal elbow"/>
    <s v="Sheet"/>
    <b v="0"/>
  </r>
  <r>
    <x v="6"/>
    <x v="2"/>
    <n v="21"/>
    <s v="مس"/>
    <x v="19"/>
    <n v="132"/>
    <n v="16"/>
    <n v="13.057228800000001"/>
    <s v="Kg"/>
    <n v="35000000"/>
    <n v="457003008"/>
    <s v="Horizontal elbow"/>
    <s v="Sheet"/>
    <b v="0"/>
  </r>
  <r>
    <x v="6"/>
    <x v="2"/>
    <n v="22"/>
    <s v="آهن"/>
    <x v="20"/>
    <s v="115 X 185"/>
    <n v="2"/>
    <n v="3.2"/>
    <s v="Kg"/>
    <n v="5200000"/>
    <n v="16640000"/>
    <s v="Horizontal elbow"/>
    <s v="Sheet"/>
    <b v="0"/>
  </r>
  <r>
    <x v="6"/>
    <x v="2"/>
    <n v="23"/>
    <m/>
    <x v="21"/>
    <s v="425 X 265"/>
    <n v="2"/>
    <n v="1.2"/>
    <s v="Kg"/>
    <n v="5200000"/>
    <n v="6240000"/>
    <s v="Horizontal elbow"/>
    <s v="Sheet"/>
    <b v="0"/>
  </r>
  <r>
    <x v="6"/>
    <x v="2"/>
    <n v="24"/>
    <s v="الومینیوم"/>
    <x v="22"/>
    <s v="163*157"/>
    <n v="2"/>
    <n v="1.890155"/>
    <s v="Kg"/>
    <n v="8500000"/>
    <n v="16066317.5"/>
    <s v="Horizontal elbow"/>
    <s v="Sheet"/>
    <b v="0"/>
  </r>
  <r>
    <x v="6"/>
    <x v="2"/>
    <n v="25"/>
    <s v="پلی امید"/>
    <x v="23"/>
    <n v="0.18"/>
    <n v="4"/>
    <n v="4"/>
    <s v="PCS"/>
    <n v="1300000"/>
    <n v="5200000"/>
    <s v="Horizontal elbow"/>
    <s v="Sheet"/>
    <b v="0"/>
  </r>
  <r>
    <x v="6"/>
    <x v="2"/>
    <n v="26"/>
    <m/>
    <x v="24"/>
    <n v="0.2"/>
    <n v="6"/>
    <n v="6"/>
    <s v="PCS"/>
    <n v="1300000"/>
    <n v="7800000"/>
    <s v="Horizontal elbow"/>
    <s v="Sheet"/>
    <b v="0"/>
  </r>
  <r>
    <x v="6"/>
    <x v="2"/>
    <n v="27"/>
    <s v="ABS"/>
    <x v="25"/>
    <s v="80 mm"/>
    <n v="2"/>
    <n v="2"/>
    <s v="PCS"/>
    <n v="100000"/>
    <n v="200000"/>
    <s v="Horizontal elbow"/>
    <s v="Sheet"/>
    <b v="0"/>
  </r>
  <r>
    <x v="6"/>
    <x v="2"/>
    <n v="28"/>
    <s v="پیچ و مهره"/>
    <x v="26"/>
    <m/>
    <n v="4"/>
    <n v="4"/>
    <s v="PCS"/>
    <n v="2400000"/>
    <n v="9600000"/>
    <s v="Horizontal elbow"/>
    <s v="Sheet"/>
    <b v="0"/>
  </r>
  <r>
    <x v="6"/>
    <x v="2"/>
    <n v="29"/>
    <m/>
    <x v="27"/>
    <m/>
    <n v="4"/>
    <n v="4"/>
    <s v="PCS"/>
    <n v="2400000"/>
    <n v="9600000"/>
    <s v="Horizontal elbow"/>
    <s v="Sheet"/>
    <b v="0"/>
  </r>
  <r>
    <x v="6"/>
    <x v="2"/>
    <n v="30"/>
    <m/>
    <x v="28"/>
    <m/>
    <n v="4"/>
    <n v="4"/>
    <s v="PCS"/>
    <n v="3000000"/>
    <n v="12000000"/>
    <s v="Horizontal elbow"/>
    <s v="Sheet"/>
    <b v="0"/>
  </r>
  <r>
    <x v="6"/>
    <x v="2"/>
    <n v="31"/>
    <s v="جوش"/>
    <x v="33"/>
    <m/>
    <n v="1"/>
    <n v="4"/>
    <s v="PCS"/>
    <n v="30000000"/>
    <n v="120000000"/>
    <s v="Horizontal elbow"/>
    <s v="Sheet"/>
    <b v="0"/>
  </r>
  <r>
    <x v="6"/>
    <x v="2"/>
    <n v="32"/>
    <m/>
    <x v="34"/>
    <m/>
    <n v="1"/>
    <n v="0"/>
    <s v="PCS"/>
    <n v="24000000"/>
    <n v="0"/>
    <s v="Horizontal elbow"/>
    <s v="Sheet"/>
    <b v="0"/>
  </r>
  <r>
    <x v="6"/>
    <x v="2"/>
    <n v="33"/>
    <s v="نوار IP"/>
    <x v="29"/>
    <m/>
    <n v="2"/>
    <n v="2"/>
    <s v="PCS"/>
    <n v="1300000"/>
    <n v="2600000"/>
    <s v="Horizontal elbow"/>
    <s v="Sheet"/>
    <b v="0"/>
  </r>
  <r>
    <x v="6"/>
    <x v="2"/>
    <n v="34"/>
    <s v="نوار IP"/>
    <x v="30"/>
    <m/>
    <n v="8"/>
    <n v="2.68"/>
    <s v="m"/>
    <n v="460000"/>
    <n v="1232800"/>
    <s v="Horizontal elbow"/>
    <s v="Sheet"/>
    <b v="0"/>
  </r>
  <r>
    <x v="6"/>
    <x v="2"/>
    <n v="35"/>
    <s v="ترموفیت"/>
    <x v="31"/>
    <n v="50"/>
    <n v="16"/>
    <n v="1.6"/>
    <s v="m "/>
    <n v="17526080"/>
    <n v="28041728"/>
    <s v="Horizontal elbow"/>
    <s v="Sheet"/>
    <b v="0"/>
  </r>
  <r>
    <x v="6"/>
    <x v="2"/>
    <n v="28"/>
    <m/>
    <x v="32"/>
    <m/>
    <m/>
    <n v="10"/>
    <s v="h"/>
    <n v="13000000"/>
    <n v="130000000"/>
    <s v="Horizontal elbow"/>
    <s v="Sheet"/>
    <b v="0"/>
  </r>
  <r>
    <x v="6"/>
    <x v="2"/>
    <n v="29"/>
    <m/>
    <x v="35"/>
    <m/>
    <m/>
    <n v="0"/>
    <s v="%"/>
    <m/>
    <n v="0"/>
    <s v="Horizontal elbow"/>
    <s v="Sheet"/>
    <b v="0"/>
  </r>
  <r>
    <x v="6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6"/>
    <x v="3"/>
    <n v="2"/>
    <m/>
    <x v="1"/>
    <n v="168"/>
    <n v="1"/>
    <n v="0.23519999999999999"/>
    <s v="Kg"/>
    <n v="8500000"/>
    <n v="1999200"/>
    <s v="Flange end "/>
    <s v="Sheet"/>
    <b v="0"/>
  </r>
  <r>
    <x v="6"/>
    <x v="3"/>
    <n v="3"/>
    <m/>
    <x v="88"/>
    <n v="168"/>
    <n v="4"/>
    <n v="2.2176"/>
    <s v="Kg"/>
    <n v="8500000"/>
    <n v="18849600"/>
    <s v="Flange end "/>
    <s v="Sheet"/>
    <b v="0"/>
  </r>
  <r>
    <x v="6"/>
    <x v="3"/>
    <n v="4"/>
    <m/>
    <x v="3"/>
    <n v="120"/>
    <n v="4"/>
    <n v="0.48"/>
    <s v="Kg"/>
    <n v="8500000"/>
    <n v="4080000"/>
    <s v="Flange end "/>
    <s v="Sheet"/>
    <b v="0"/>
  </r>
  <r>
    <x v="6"/>
    <x v="3"/>
    <n v="5"/>
    <m/>
    <x v="4"/>
    <n v="180"/>
    <n v="2"/>
    <n v="1.56006"/>
    <s v="Kg"/>
    <n v="8500000"/>
    <n v="13260510"/>
    <s v="Flange end "/>
    <s v="Sheet"/>
    <b v="0"/>
  </r>
  <r>
    <x v="6"/>
    <x v="3"/>
    <n v="6"/>
    <m/>
    <x v="5"/>
    <n v="0.58799999999999997"/>
    <n v="8"/>
    <n v="17.527104000000001"/>
    <s v="Kg"/>
    <n v="8500000"/>
    <n v="148980384"/>
    <s v="Flange end "/>
    <s v="Sheet"/>
    <b v="0"/>
  </r>
  <r>
    <x v="6"/>
    <x v="3"/>
    <n v="7"/>
    <s v="عایق ها"/>
    <x v="6"/>
    <n v="0.13"/>
    <n v="2.314368"/>
    <n v="2.314368"/>
    <s v="M2"/>
    <n v="4275000"/>
    <n v="9893923.1999999993"/>
    <s v="Flange end "/>
    <s v="Sheet"/>
    <b v="0"/>
  </r>
  <r>
    <x v="6"/>
    <x v="3"/>
    <n v="8"/>
    <m/>
    <x v="7"/>
    <n v="0.35"/>
    <n v="0"/>
    <n v="0"/>
    <s v="Kg"/>
    <n v="35750000"/>
    <n v="0"/>
    <s v="Flange end "/>
    <s v="Sheet"/>
    <b v="0"/>
  </r>
  <r>
    <x v="6"/>
    <x v="3"/>
    <n v="9"/>
    <m/>
    <x v="7"/>
    <n v="0.2"/>
    <n v="1.157184"/>
    <n v="1.157184"/>
    <s v="Kg"/>
    <n v="45760000"/>
    <n v="52952739.840000004"/>
    <s v="Flange end "/>
    <s v="Sheet"/>
    <b v="0"/>
  </r>
  <r>
    <x v="6"/>
    <x v="3"/>
    <n v="10"/>
    <s v="رنگ بدنه"/>
    <x v="8"/>
    <m/>
    <n v="2.9232"/>
    <n v="2.9232"/>
    <s v="Kg"/>
    <n v="1430000"/>
    <n v="4180176"/>
    <s v="Flange end "/>
    <s v="Sheet"/>
    <b v="0"/>
  </r>
  <r>
    <x v="6"/>
    <x v="3"/>
    <n v="11"/>
    <s v="قلع"/>
    <x v="9"/>
    <m/>
    <n v="16"/>
    <n v="16"/>
    <s v="Kg"/>
    <n v="3000000"/>
    <n v="48000000"/>
    <s v="Flange end "/>
    <s v="Sheet"/>
    <b v="0"/>
  </r>
  <r>
    <x v="6"/>
    <x v="3"/>
    <n v="12"/>
    <m/>
    <x v="10"/>
    <m/>
    <n v="17.527104000000001"/>
    <n v="17.527104000000001"/>
    <s v="PCS"/>
    <n v="3600000"/>
    <n v="63097574.400000006"/>
    <s v="Flange end "/>
    <s v="Sheet"/>
    <b v="0"/>
  </r>
  <r>
    <x v="6"/>
    <x v="3"/>
    <n v="13"/>
    <s v="چسب"/>
    <x v="11"/>
    <m/>
    <n v="4.7039999999999997"/>
    <n v="4.7039999999999997"/>
    <s v="PCS"/>
    <n v="3600000"/>
    <n v="16934400"/>
    <s v="Flange end "/>
    <s v="Sheet"/>
    <b v="0"/>
  </r>
  <r>
    <x v="6"/>
    <x v="3"/>
    <n v="14"/>
    <m/>
    <x v="12"/>
    <m/>
    <n v="0.4"/>
    <n v="0.4"/>
    <s v="PCS"/>
    <n v="5500000"/>
    <n v="2200000"/>
    <s v="Flange end "/>
    <s v="Sheet"/>
    <b v="0"/>
  </r>
  <r>
    <x v="6"/>
    <x v="3"/>
    <n v="15"/>
    <s v="پیچ و مهره"/>
    <x v="13"/>
    <m/>
    <s v="80"/>
    <n v="8"/>
    <s v="PCS"/>
    <n v="200000"/>
    <n v="1600000"/>
    <s v="Flange end "/>
    <s v="Sheet"/>
    <b v="0"/>
  </r>
  <r>
    <x v="6"/>
    <x v="3"/>
    <n v="16"/>
    <m/>
    <x v="14"/>
    <m/>
    <n v="8"/>
    <n v="8"/>
    <s v="PCS"/>
    <n v="200000"/>
    <n v="1600000"/>
    <s v="Flange end "/>
    <s v="Sheet"/>
    <b v="0"/>
  </r>
  <r>
    <x v="6"/>
    <x v="3"/>
    <n v="17"/>
    <m/>
    <x v="15"/>
    <m/>
    <n v="88"/>
    <n v="16"/>
    <s v="PCS"/>
    <n v="200000"/>
    <n v="3200000"/>
    <s v="Flange end "/>
    <s v="Sheet"/>
    <b v="0"/>
  </r>
  <r>
    <x v="6"/>
    <x v="3"/>
    <n v="18"/>
    <m/>
    <x v="16"/>
    <m/>
    <n v="16"/>
    <n v="16"/>
    <s v="PCS"/>
    <n v="400000"/>
    <n v="6400000"/>
    <s v="Flange end "/>
    <s v="Sheet"/>
    <b v="0"/>
  </r>
  <r>
    <x v="6"/>
    <x v="3"/>
    <n v="19"/>
    <m/>
    <x v="17"/>
    <m/>
    <n v="16"/>
    <n v="16"/>
    <s v="PCS"/>
    <n v="120000"/>
    <n v="1920000"/>
    <s v="Flange end "/>
    <s v="Sheet"/>
    <b v="0"/>
  </r>
  <r>
    <x v="6"/>
    <x v="3"/>
    <n v="20"/>
    <m/>
    <x v="18"/>
    <m/>
    <n v="24"/>
    <n v="24"/>
    <s v="PCS"/>
    <n v="400000"/>
    <n v="9600000"/>
    <s v="Flange end "/>
    <s v="Sheet"/>
    <b v="0"/>
  </r>
  <r>
    <x v="6"/>
    <x v="3"/>
    <n v="21"/>
    <s v="مس"/>
    <x v="19"/>
    <n v="132"/>
    <n v="16"/>
    <n v="13.057228800000001"/>
    <s v="Kg"/>
    <n v="35000000"/>
    <n v="457003008"/>
    <s v="Flange end "/>
    <s v="Sheet"/>
    <b v="0"/>
  </r>
  <r>
    <x v="6"/>
    <x v="3"/>
    <n v="22"/>
    <s v="آهن"/>
    <x v="20"/>
    <s v="115 X 185"/>
    <n v="2"/>
    <n v="3.2"/>
    <s v="Kg"/>
    <n v="5200000"/>
    <n v="16640000"/>
    <s v="Flange end "/>
    <s v="Sheet"/>
    <b v="0"/>
  </r>
  <r>
    <x v="6"/>
    <x v="3"/>
    <n v="23"/>
    <m/>
    <x v="21"/>
    <s v="425 X 265"/>
    <n v="2"/>
    <n v="1.2"/>
    <s v="Kg"/>
    <n v="5200000"/>
    <n v="6240000"/>
    <s v="Flange end "/>
    <s v="Sheet"/>
    <b v="0"/>
  </r>
  <r>
    <x v="6"/>
    <x v="3"/>
    <n v="24"/>
    <s v="الومینیوم"/>
    <x v="22"/>
    <s v="163*157"/>
    <n v="2"/>
    <n v="1.890155"/>
    <s v="Kg"/>
    <n v="8500000"/>
    <n v="16066317.5"/>
    <s v="Flange end "/>
    <s v="Sheet"/>
    <b v="0"/>
  </r>
  <r>
    <x v="6"/>
    <x v="3"/>
    <n v="25"/>
    <s v="پلی امید"/>
    <x v="23"/>
    <n v="0.18"/>
    <n v="4"/>
    <n v="4"/>
    <s v="PCS"/>
    <n v="1300000"/>
    <n v="5200000"/>
    <s v="Flange end "/>
    <s v="Sheet"/>
    <b v="0"/>
  </r>
  <r>
    <x v="6"/>
    <x v="3"/>
    <n v="26"/>
    <m/>
    <x v="24"/>
    <n v="0.2"/>
    <n v="6"/>
    <n v="6"/>
    <s v="PCS"/>
    <n v="1300000"/>
    <n v="7800000"/>
    <s v="Flange end "/>
    <s v="Sheet"/>
    <b v="0"/>
  </r>
  <r>
    <x v="6"/>
    <x v="3"/>
    <n v="27"/>
    <s v="ABS"/>
    <x v="25"/>
    <s v="80 mm"/>
    <n v="2"/>
    <n v="2"/>
    <s v="PCS"/>
    <n v="100000"/>
    <n v="200000"/>
    <s v="Flange end "/>
    <s v="Sheet"/>
    <b v="0"/>
  </r>
  <r>
    <x v="6"/>
    <x v="3"/>
    <n v="28"/>
    <s v="پیچ و مهره"/>
    <x v="26"/>
    <m/>
    <n v="4"/>
    <n v="4"/>
    <s v="PCS"/>
    <n v="2400000"/>
    <n v="9600000"/>
    <s v="Flange end "/>
    <s v="Sheet"/>
    <b v="0"/>
  </r>
  <r>
    <x v="6"/>
    <x v="3"/>
    <n v="29"/>
    <m/>
    <x v="27"/>
    <m/>
    <n v="4"/>
    <n v="4"/>
    <s v="PCS"/>
    <n v="2400000"/>
    <n v="9600000"/>
    <s v="Flange end "/>
    <s v="Sheet"/>
    <b v="0"/>
  </r>
  <r>
    <x v="6"/>
    <x v="3"/>
    <n v="30"/>
    <m/>
    <x v="28"/>
    <m/>
    <n v="4"/>
    <n v="4"/>
    <s v="PCS"/>
    <n v="3000000"/>
    <n v="12000000"/>
    <s v="Flange end "/>
    <s v="Sheet"/>
    <b v="0"/>
  </r>
  <r>
    <x v="6"/>
    <x v="3"/>
    <n v="31"/>
    <s v="نوار IP"/>
    <x v="29"/>
    <m/>
    <n v="2"/>
    <n v="2"/>
    <s v="PCS"/>
    <n v="1300000"/>
    <n v="2600000"/>
    <s v="Flange end "/>
    <s v="Sheet"/>
    <b v="0"/>
  </r>
  <r>
    <x v="6"/>
    <x v="3"/>
    <n v="32"/>
    <s v="نوار IP"/>
    <x v="30"/>
    <m/>
    <n v="8"/>
    <n v="1.3440000000000001"/>
    <s v="m"/>
    <n v="460000"/>
    <n v="618240"/>
    <s v="Flange end "/>
    <s v="Sheet"/>
    <b v="0"/>
  </r>
  <r>
    <x v="6"/>
    <x v="3"/>
    <n v="33"/>
    <s v="ترموفیت"/>
    <x v="31"/>
    <n v="50"/>
    <n v="8"/>
    <n v="0.8"/>
    <s v="m "/>
    <n v="17526080"/>
    <n v="14020864"/>
    <s v="Flange end "/>
    <s v="Sheet"/>
    <b v="0"/>
  </r>
  <r>
    <x v="6"/>
    <x v="3"/>
    <n v="28"/>
    <m/>
    <x v="32"/>
    <m/>
    <m/>
    <n v="8"/>
    <s v="h"/>
    <n v="13000000"/>
    <n v="104000000"/>
    <s v="Flange end "/>
    <s v="Sheet"/>
    <b v="0"/>
  </r>
  <r>
    <x v="6"/>
    <x v="3"/>
    <n v="29"/>
    <m/>
    <x v="35"/>
    <m/>
    <m/>
    <n v="0"/>
    <s v="%"/>
    <m/>
    <n v="0"/>
    <s v="Flange end "/>
    <s v="Sheet"/>
    <b v="0"/>
  </r>
  <r>
    <x v="6"/>
    <x v="4"/>
    <n v="1"/>
    <s v="آهن"/>
    <x v="36"/>
    <m/>
    <n v="1"/>
    <n v="9"/>
    <s v="Kg"/>
    <n v="5200000"/>
    <n v="46800000"/>
    <s v="TOP OFF BOX 250"/>
    <s v="Sheet"/>
    <b v="0"/>
  </r>
  <r>
    <x v="6"/>
    <x v="4"/>
    <n v="4"/>
    <s v="مسی"/>
    <x v="37"/>
    <m/>
    <n v="4"/>
    <n v="0.5"/>
    <s v="Kg"/>
    <n v="22000000"/>
    <n v="11000000"/>
    <s v="TOP OFF BOX 250"/>
    <s v="Sheet"/>
    <b v="0"/>
  </r>
  <r>
    <x v="6"/>
    <x v="4"/>
    <n v="5"/>
    <m/>
    <x v="38"/>
    <m/>
    <n v="20"/>
    <n v="20"/>
    <s v="PCS"/>
    <n v="26000"/>
    <n v="520000"/>
    <s v="TOP OFF BOX 250"/>
    <s v="Sheet"/>
    <b v="0"/>
  </r>
  <r>
    <x v="6"/>
    <x v="4"/>
    <n v="6"/>
    <m/>
    <x v="39"/>
    <m/>
    <n v="6"/>
    <n v="6"/>
    <s v="PCS"/>
    <n v="195000"/>
    <n v="1170000"/>
    <s v="TOP OFF BOX 250"/>
    <s v="Sheet"/>
    <b v="0"/>
  </r>
  <r>
    <x v="6"/>
    <x v="4"/>
    <n v="7"/>
    <m/>
    <x v="40"/>
    <m/>
    <n v="20"/>
    <n v="20"/>
    <s v="PCS"/>
    <n v="13000"/>
    <n v="260000"/>
    <s v="TOP OFF BOX 250"/>
    <s v="Sheet"/>
    <b v="0"/>
  </r>
  <r>
    <x v="6"/>
    <x v="4"/>
    <n v="8"/>
    <m/>
    <x v="41"/>
    <m/>
    <n v="20"/>
    <n v="20"/>
    <s v="PCS"/>
    <n v="75000"/>
    <n v="1500000"/>
    <s v="TOP OFF BOX 250"/>
    <s v="Sheet"/>
    <b v="0"/>
  </r>
  <r>
    <x v="6"/>
    <x v="4"/>
    <n v="9"/>
    <m/>
    <x v="42"/>
    <m/>
    <n v="1"/>
    <n v="1"/>
    <s v="PCS"/>
    <n v="11250000"/>
    <n v="11250000"/>
    <s v="TOP OFF BOX 250"/>
    <s v="Sheet"/>
    <b v="0"/>
  </r>
  <r>
    <x v="6"/>
    <x v="4"/>
    <n v="10"/>
    <m/>
    <x v="43"/>
    <m/>
    <n v="1"/>
    <n v="1"/>
    <s v="PCS"/>
    <n v="7500000"/>
    <n v="7500000"/>
    <s v="TOP OFF BOX 250"/>
    <s v="Sheet"/>
    <b v="0"/>
  </r>
  <r>
    <x v="6"/>
    <x v="4"/>
    <n v="11"/>
    <m/>
    <x v="44"/>
    <m/>
    <n v="2"/>
    <n v="2"/>
    <s v="PCS"/>
    <n v="150000"/>
    <n v="300000"/>
    <s v="TOP OFF BOX 250"/>
    <s v="Sheet"/>
    <b v="0"/>
  </r>
  <r>
    <x v="6"/>
    <x v="4"/>
    <n v="12"/>
    <m/>
    <x v="45"/>
    <m/>
    <n v="2"/>
    <n v="2"/>
    <s v="PCS"/>
    <n v="100000"/>
    <n v="200000"/>
    <s v="TOP OFF BOX 250"/>
    <s v="Sheet"/>
    <b v="0"/>
  </r>
  <r>
    <x v="6"/>
    <x v="4"/>
    <n v="13"/>
    <m/>
    <x v="46"/>
    <m/>
    <n v="4"/>
    <n v="4"/>
    <s v="PCS"/>
    <n v="50000"/>
    <n v="200000"/>
    <s v="TOP OFF BOX 250"/>
    <s v="Sheet"/>
    <b v="0"/>
  </r>
  <r>
    <x v="6"/>
    <x v="4"/>
    <n v="14"/>
    <m/>
    <x v="47"/>
    <m/>
    <n v="2"/>
    <n v="2"/>
    <s v="PCS"/>
    <n v="100000"/>
    <n v="200000"/>
    <s v="TOP OFF BOX 250"/>
    <s v="Sheet"/>
    <b v="0"/>
  </r>
  <r>
    <x v="6"/>
    <x v="4"/>
    <n v="15"/>
    <m/>
    <x v="48"/>
    <m/>
    <n v="1"/>
    <n v="0.1"/>
    <s v="Kg"/>
    <n v="4200000"/>
    <n v="420000"/>
    <s v="TOP OFF BOX 250"/>
    <s v="Sheet"/>
    <b v="0"/>
  </r>
  <r>
    <x v="6"/>
    <x v="4"/>
    <n v="16"/>
    <m/>
    <x v="49"/>
    <m/>
    <n v="1"/>
    <n v="0.3"/>
    <s v="m"/>
    <m/>
    <n v="0"/>
    <s v="TOP OFF BOX 250"/>
    <s v="Sheet"/>
    <b v="0"/>
  </r>
  <r>
    <x v="6"/>
    <x v="4"/>
    <n v="17"/>
    <m/>
    <x v="50"/>
    <m/>
    <n v="1"/>
    <n v="0.15"/>
    <s v="m"/>
    <m/>
    <n v="0"/>
    <s v="TOP OFF BOX 250"/>
    <s v="Sheet"/>
    <b v="0"/>
  </r>
  <r>
    <x v="6"/>
    <x v="4"/>
    <n v="18"/>
    <m/>
    <x v="51"/>
    <m/>
    <n v="1"/>
    <m/>
    <s v="PCS"/>
    <m/>
    <n v="0"/>
    <s v="TOP OFF BOX 250"/>
    <s v="Sheet"/>
    <b v="0"/>
  </r>
  <r>
    <x v="6"/>
    <x v="4"/>
    <n v="19"/>
    <m/>
    <x v="52"/>
    <m/>
    <n v="1"/>
    <m/>
    <s v="PCS"/>
    <m/>
    <n v="0"/>
    <s v="TOP OFF BOX 250"/>
    <s v="Sheet"/>
    <b v="0"/>
  </r>
  <r>
    <x v="6"/>
    <x v="4"/>
    <n v="20"/>
    <m/>
    <x v="53"/>
    <m/>
    <n v="1"/>
    <m/>
    <s v="PCS"/>
    <m/>
    <n v="0"/>
    <s v="TOP OFF BOX 250"/>
    <s v="Sheet"/>
    <b v="0"/>
  </r>
  <r>
    <x v="6"/>
    <x v="4"/>
    <n v="21"/>
    <m/>
    <x v="54"/>
    <m/>
    <n v="1"/>
    <n v="1"/>
    <s v="PCS"/>
    <n v="74000000"/>
    <n v="74000000"/>
    <s v="TOP OFF BOX 250"/>
    <s v="Sheet"/>
    <b v="0"/>
  </r>
  <r>
    <x v="6"/>
    <x v="4"/>
    <n v="7"/>
    <m/>
    <x v="32"/>
    <m/>
    <m/>
    <n v="5"/>
    <s v="h"/>
    <n v="13000000"/>
    <n v="65000000"/>
    <s v="TOP OFF BOX 250"/>
    <s v="Sheet"/>
    <b v="0"/>
  </r>
  <r>
    <x v="6"/>
    <x v="4"/>
    <n v="8"/>
    <m/>
    <x v="35"/>
    <m/>
    <m/>
    <n v="0"/>
    <s v="%"/>
    <m/>
    <n v="0"/>
    <s v="TOP OFF BOX 250"/>
    <s v="Sheet"/>
    <b v="0"/>
  </r>
  <r>
    <x v="6"/>
    <x v="5"/>
    <n v="1"/>
    <s v="مس بافته شده"/>
    <x v="55"/>
    <m/>
    <n v="1"/>
    <n v="7"/>
    <s v="SET"/>
    <n v="41400000"/>
    <n v="289800000"/>
    <s v="Flexible connection"/>
    <s v="Sheet"/>
    <b v="0"/>
  </r>
  <r>
    <x v="6"/>
    <x v="5"/>
    <m/>
    <s v="قلع"/>
    <x v="10"/>
    <m/>
    <n v="0"/>
    <n v="24"/>
    <s v="Kg"/>
    <n v="3600000"/>
    <n v="86400000"/>
    <s v="Flexible connection"/>
    <s v="Sheet"/>
    <b v="0"/>
  </r>
  <r>
    <x v="6"/>
    <x v="5"/>
    <n v="3"/>
    <m/>
    <x v="56"/>
    <m/>
    <n v="16"/>
    <m/>
    <s v="PCS"/>
    <n v="50000"/>
    <n v="800000"/>
    <s v="Flexible connection"/>
    <s v="Sheet"/>
    <b v="0"/>
  </r>
  <r>
    <x v="6"/>
    <x v="5"/>
    <n v="4"/>
    <m/>
    <x v="57"/>
    <m/>
    <n v="16"/>
    <m/>
    <s v="PCS"/>
    <n v="15000"/>
    <n v="240000"/>
    <s v="Flexible connection"/>
    <s v="Sheet"/>
    <b v="0"/>
  </r>
  <r>
    <x v="6"/>
    <x v="5"/>
    <n v="5"/>
    <m/>
    <x v="58"/>
    <m/>
    <n v="32"/>
    <m/>
    <s v="PCS"/>
    <n v="5000"/>
    <n v="160000"/>
    <s v="Flexible connection"/>
    <s v="Sheet"/>
    <b v="0"/>
  </r>
  <r>
    <x v="6"/>
    <x v="5"/>
    <n v="6"/>
    <m/>
    <x v="59"/>
    <m/>
    <n v="16"/>
    <m/>
    <s v="PCS"/>
    <n v="5000"/>
    <n v="80000"/>
    <s v="Flexible connection"/>
    <s v="Sheet"/>
    <b v="0"/>
  </r>
  <r>
    <x v="6"/>
    <x v="5"/>
    <n v="7"/>
    <m/>
    <x v="32"/>
    <m/>
    <m/>
    <n v="1"/>
    <s v="h"/>
    <n v="13000000"/>
    <n v="13000000"/>
    <s v="Flexible connection"/>
    <s v="Sheet"/>
    <b v="0"/>
  </r>
  <r>
    <x v="6"/>
    <x v="5"/>
    <n v="8"/>
    <m/>
    <x v="35"/>
    <m/>
    <m/>
    <n v="0"/>
    <s v="%"/>
    <m/>
    <n v="0"/>
    <s v="Flexible connection"/>
    <s v="Sheet"/>
    <b v="0"/>
  </r>
  <r>
    <x v="6"/>
    <x v="6"/>
    <n v="1"/>
    <s v="مس"/>
    <x v="60"/>
    <m/>
    <n v="1"/>
    <n v="24"/>
    <s v="Kg"/>
    <n v="8500000"/>
    <n v="204000000"/>
    <s v="DISTRIBUTION BOARD"/>
    <s v="Sheet"/>
    <b v="0"/>
  </r>
  <r>
    <x v="6"/>
    <x v="6"/>
    <m/>
    <s v="قلع"/>
    <x v="10"/>
    <m/>
    <n v="0"/>
    <n v="24"/>
    <s v="Kg"/>
    <n v="3600000"/>
    <n v="86400000"/>
    <s v="DISTRIBUTION BOARD"/>
    <s v="Sheet"/>
    <b v="0"/>
  </r>
  <r>
    <x v="6"/>
    <x v="6"/>
    <n v="3"/>
    <m/>
    <x v="56"/>
    <m/>
    <n v="4"/>
    <m/>
    <s v="PCS"/>
    <n v="50000"/>
    <n v="200000"/>
    <s v="DISTRIBUTION BOARD"/>
    <s v="Sheet"/>
    <b v="0"/>
  </r>
  <r>
    <x v="6"/>
    <x v="6"/>
    <n v="4"/>
    <m/>
    <x v="57"/>
    <m/>
    <n v="4"/>
    <m/>
    <s v="PCS"/>
    <n v="15000"/>
    <n v="60000"/>
    <s v="DISTRIBUTION BOARD"/>
    <s v="Sheet"/>
    <b v="0"/>
  </r>
  <r>
    <x v="6"/>
    <x v="6"/>
    <n v="5"/>
    <m/>
    <x v="58"/>
    <m/>
    <n v="8"/>
    <m/>
    <s v="PCS"/>
    <n v="5000"/>
    <n v="40000"/>
    <s v="DISTRIBUTION BOARD"/>
    <s v="Sheet"/>
    <b v="0"/>
  </r>
  <r>
    <x v="6"/>
    <x v="6"/>
    <n v="6"/>
    <m/>
    <x v="59"/>
    <m/>
    <n v="4"/>
    <m/>
    <s v="PCS"/>
    <n v="5000"/>
    <n v="20000"/>
    <s v="DISTRIBUTION BOARD"/>
    <s v="Sheet"/>
    <b v="0"/>
  </r>
  <r>
    <x v="6"/>
    <x v="6"/>
    <n v="7"/>
    <m/>
    <x v="32"/>
    <m/>
    <m/>
    <n v="5"/>
    <s v="h"/>
    <n v="13000000"/>
    <n v="65000000"/>
    <s v="DISTRIBUTION BOARD"/>
    <s v="Sheet"/>
    <b v="0"/>
  </r>
  <r>
    <x v="6"/>
    <x v="6"/>
    <n v="8"/>
    <m/>
    <x v="35"/>
    <m/>
    <m/>
    <n v="0"/>
    <s v="%"/>
    <m/>
    <n v="0"/>
    <s v="DISTRIBUTION BOARD"/>
    <s v="Sheet"/>
    <b v="0"/>
  </r>
  <r>
    <x v="6"/>
    <x v="7"/>
    <n v="1"/>
    <s v="مس"/>
    <x v="61"/>
    <m/>
    <n v="1"/>
    <n v="24"/>
    <s v="Kg"/>
    <n v="8500000"/>
    <n v="204000000"/>
    <s v="Transformer connection"/>
    <s v="Sheet"/>
    <b v="0"/>
  </r>
  <r>
    <x v="6"/>
    <x v="7"/>
    <m/>
    <s v="قلع"/>
    <x v="10"/>
    <m/>
    <n v="0"/>
    <n v="24"/>
    <s v="Kg"/>
    <n v="3600000"/>
    <n v="86400000"/>
    <s v="Transformer connection"/>
    <s v="Sheet"/>
    <b v="0"/>
  </r>
  <r>
    <x v="6"/>
    <x v="7"/>
    <n v="3"/>
    <m/>
    <x v="56"/>
    <m/>
    <n v="16"/>
    <m/>
    <s v="PCS"/>
    <n v="50000"/>
    <n v="800000"/>
    <s v="Transformer connection"/>
    <s v="Sheet"/>
    <b v="0"/>
  </r>
  <r>
    <x v="6"/>
    <x v="7"/>
    <n v="4"/>
    <m/>
    <x v="57"/>
    <m/>
    <n v="16"/>
    <m/>
    <s v="PCS"/>
    <n v="15000"/>
    <n v="240000"/>
    <s v="Transformer connection"/>
    <s v="Sheet"/>
    <b v="0"/>
  </r>
  <r>
    <x v="6"/>
    <x v="7"/>
    <n v="5"/>
    <m/>
    <x v="58"/>
    <m/>
    <n v="32"/>
    <m/>
    <s v="PCS"/>
    <n v="5000"/>
    <n v="160000"/>
    <s v="Transformer connection"/>
    <s v="Sheet"/>
    <b v="0"/>
  </r>
  <r>
    <x v="6"/>
    <x v="7"/>
    <n v="6"/>
    <m/>
    <x v="59"/>
    <m/>
    <n v="16"/>
    <m/>
    <s v="PCS"/>
    <n v="5000"/>
    <n v="80000"/>
    <s v="Transformer connection"/>
    <s v="Sheet"/>
    <b v="0"/>
  </r>
  <r>
    <x v="6"/>
    <x v="7"/>
    <n v="7"/>
    <m/>
    <x v="32"/>
    <m/>
    <m/>
    <n v="5"/>
    <s v="h"/>
    <n v="13000000"/>
    <n v="65000000"/>
    <s v="Transformer connection"/>
    <s v="Sheet"/>
    <b v="0"/>
  </r>
  <r>
    <x v="6"/>
    <x v="7"/>
    <n v="8"/>
    <m/>
    <x v="35"/>
    <m/>
    <m/>
    <n v="0"/>
    <s v="%"/>
    <m/>
    <n v="0"/>
    <s v="Transformer connection"/>
    <s v="Sheet"/>
    <b v="0"/>
  </r>
  <r>
    <x v="6"/>
    <x v="8"/>
    <n v="1"/>
    <s v="آهن"/>
    <x v="62"/>
    <m/>
    <n v="1"/>
    <n v="25"/>
    <s v="Kg"/>
    <n v="5200000"/>
    <n v="130000000"/>
    <s v="Connection protection unit"/>
    <s v="Sheet"/>
    <b v="0"/>
  </r>
  <r>
    <x v="6"/>
    <x v="8"/>
    <m/>
    <s v="آهن"/>
    <x v="63"/>
    <m/>
    <n v="1"/>
    <m/>
    <s v="Kg"/>
    <m/>
    <n v="0"/>
    <s v="Connection protection unit"/>
    <s v="Sheet"/>
    <b v="0"/>
  </r>
  <r>
    <x v="6"/>
    <x v="8"/>
    <n v="3"/>
    <m/>
    <x v="38"/>
    <m/>
    <n v="32"/>
    <m/>
    <s v="PCS"/>
    <n v="10000"/>
    <n v="320000"/>
    <s v="Connection protection unit"/>
    <s v="Sheet"/>
    <b v="0"/>
  </r>
  <r>
    <x v="6"/>
    <x v="8"/>
    <n v="4"/>
    <m/>
    <x v="15"/>
    <m/>
    <n v="32"/>
    <m/>
    <s v="PCS"/>
    <n v="60000"/>
    <n v="1920000"/>
    <s v="Connection protection unit"/>
    <s v="Sheet"/>
    <b v="0"/>
  </r>
  <r>
    <x v="6"/>
    <x v="8"/>
    <n v="5"/>
    <m/>
    <x v="64"/>
    <m/>
    <n v="32"/>
    <m/>
    <s v="PCS"/>
    <n v="60000"/>
    <n v="1920000"/>
    <s v="Connection protection unit"/>
    <s v="Sheet"/>
    <b v="0"/>
  </r>
  <r>
    <x v="6"/>
    <x v="8"/>
    <n v="6"/>
    <m/>
    <x v="38"/>
    <m/>
    <n v="12"/>
    <m/>
    <s v="PCS"/>
    <n v="10000"/>
    <n v="120000"/>
    <s v="Connection protection unit"/>
    <s v="Sheet"/>
    <b v="0"/>
  </r>
  <r>
    <x v="6"/>
    <x v="8"/>
    <n v="7"/>
    <m/>
    <x v="65"/>
    <m/>
    <n v="12"/>
    <m/>
    <s v="PCS"/>
    <n v="10000"/>
    <n v="120000"/>
    <s v="Connection protection unit"/>
    <s v="Sheet"/>
    <b v="0"/>
  </r>
  <r>
    <x v="6"/>
    <x v="8"/>
    <n v="8"/>
    <m/>
    <x v="40"/>
    <m/>
    <n v="12"/>
    <m/>
    <s v="PCS"/>
    <n v="60000"/>
    <n v="720000"/>
    <s v="Connection protection unit"/>
    <s v="Sheet"/>
    <b v="0"/>
  </r>
  <r>
    <x v="6"/>
    <x v="8"/>
    <n v="9"/>
    <m/>
    <x v="66"/>
    <m/>
    <n v="32"/>
    <m/>
    <s v="PCS"/>
    <n v="10000"/>
    <n v="320000"/>
    <s v="Connection protection unit"/>
    <s v="Sheet"/>
    <b v="0"/>
  </r>
  <r>
    <x v="6"/>
    <x v="8"/>
    <n v="10"/>
    <m/>
    <x v="8"/>
    <m/>
    <n v="25"/>
    <m/>
    <s v="Kg"/>
    <n v="1430000"/>
    <n v="35750000"/>
    <s v="Connection protection unit"/>
    <s v="Sheet"/>
    <b v="0"/>
  </r>
  <r>
    <x v="6"/>
    <x v="8"/>
    <m/>
    <m/>
    <x v="30"/>
    <m/>
    <n v="1"/>
    <n v="6"/>
    <s v="m"/>
    <n v="460000"/>
    <n v="2760000"/>
    <s v="Connection protection unit"/>
    <s v="Sheet"/>
    <b v="0"/>
  </r>
  <r>
    <x v="6"/>
    <x v="8"/>
    <n v="11"/>
    <m/>
    <x v="32"/>
    <m/>
    <m/>
    <n v="5"/>
    <s v="h"/>
    <n v="13000000"/>
    <n v="65000000"/>
    <s v="Connection protection unit"/>
    <s v="Sheet"/>
    <b v="0"/>
  </r>
  <r>
    <x v="6"/>
    <x v="8"/>
    <n v="12"/>
    <m/>
    <x v="35"/>
    <m/>
    <m/>
    <n v="0"/>
    <s v="%"/>
    <m/>
    <n v="0"/>
    <s v="Connection protection unit"/>
    <s v="Sheet"/>
    <b v="0"/>
  </r>
  <r>
    <x v="6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6"/>
    <x v="9"/>
    <m/>
    <m/>
    <x v="68"/>
    <s v="200 X 100 X 3"/>
    <n v="2"/>
    <n v="0.94320000000000004"/>
    <s v="Kg"/>
    <n v="800000"/>
    <n v="754560"/>
    <s v="SPRINH HANGER"/>
    <s v="Sheet"/>
    <b v="0"/>
  </r>
  <r>
    <x v="6"/>
    <x v="9"/>
    <m/>
    <m/>
    <x v="69"/>
    <m/>
    <n v="2"/>
    <m/>
    <s v="PCS"/>
    <n v="5000000"/>
    <n v="10000000"/>
    <s v="SPRINH HANGER"/>
    <s v="Sheet"/>
    <b v="0"/>
  </r>
  <r>
    <x v="6"/>
    <x v="9"/>
    <n v="2"/>
    <m/>
    <x v="70"/>
    <n v="260"/>
    <n v="2"/>
    <n v="0.52"/>
    <s v="m"/>
    <n v="2000000"/>
    <n v="1040000"/>
    <s v="SPRINH HANGER"/>
    <s v="Sheet"/>
    <b v="0"/>
  </r>
  <r>
    <x v="6"/>
    <x v="9"/>
    <m/>
    <m/>
    <x v="71"/>
    <m/>
    <n v="10"/>
    <m/>
    <s v="PCS"/>
    <n v="200000"/>
    <n v="2000000"/>
    <s v="SPRINH HANGER"/>
    <s v="Sheet"/>
    <b v="0"/>
  </r>
  <r>
    <x v="6"/>
    <x v="9"/>
    <n v="7"/>
    <m/>
    <x v="72"/>
    <m/>
    <n v="4"/>
    <n v="4"/>
    <s v="PCS"/>
    <n v="300000"/>
    <n v="1200000"/>
    <s v="SPRINH HANGER"/>
    <s v="Sheet"/>
    <b v="0"/>
  </r>
  <r>
    <x v="6"/>
    <x v="9"/>
    <n v="8"/>
    <m/>
    <x v="58"/>
    <m/>
    <n v="10"/>
    <n v="10"/>
    <s v="PCS"/>
    <n v="30000"/>
    <n v="300000"/>
    <s v="SPRINH HANGER"/>
    <s v="Sheet"/>
    <b v="0"/>
  </r>
  <r>
    <x v="6"/>
    <x v="9"/>
    <n v="9"/>
    <m/>
    <x v="73"/>
    <m/>
    <n v="4"/>
    <n v="4"/>
    <s v="PCS"/>
    <n v="30000"/>
    <n v="120000"/>
    <s v="SPRINH HANGER"/>
    <s v="Sheet"/>
    <b v="0"/>
  </r>
  <r>
    <x v="6"/>
    <x v="9"/>
    <n v="12"/>
    <m/>
    <x v="46"/>
    <m/>
    <n v="4"/>
    <n v="4"/>
    <s v="PCS"/>
    <n v="30000"/>
    <n v="120000"/>
    <s v="SPRINH HANGER"/>
    <s v="Sheet"/>
    <b v="0"/>
  </r>
  <r>
    <x v="6"/>
    <x v="9"/>
    <n v="13"/>
    <m/>
    <x v="32"/>
    <m/>
    <m/>
    <n v="1"/>
    <s v="h"/>
    <n v="13000000"/>
    <n v="13000000"/>
    <s v="SPRINH HANGER"/>
    <s v="Sheet"/>
    <b v="0"/>
  </r>
  <r>
    <x v="6"/>
    <x v="9"/>
    <n v="14"/>
    <m/>
    <x v="35"/>
    <m/>
    <m/>
    <n v="0"/>
    <s v="%"/>
    <m/>
    <n v="0"/>
    <s v="SPRINH HANGER"/>
    <s v="Sheet"/>
    <b v="0"/>
  </r>
  <r>
    <x v="6"/>
    <x v="9"/>
    <m/>
    <m/>
    <x v="74"/>
    <n v="300"/>
    <n v="200"/>
    <n v="3"/>
    <n v="7.86"/>
    <m/>
    <n v="1.4148000000000001"/>
    <s v="SPRINH HANGER"/>
    <s v="Sheet"/>
    <b v="0"/>
  </r>
  <r>
    <x v="6"/>
    <x v="9"/>
    <m/>
    <m/>
    <x v="75"/>
    <n v="200"/>
    <n v="100"/>
    <n v="3"/>
    <n v="7.86"/>
    <m/>
    <n v="0.47160000000000002"/>
    <s v="SPRINH HANGER"/>
    <s v="Sheet"/>
    <b v="0"/>
  </r>
  <r>
    <x v="6"/>
    <x v="10"/>
    <n v="1"/>
    <s v="آهن"/>
    <x v="76"/>
    <m/>
    <n v="1"/>
    <n v="1.6485000000000001"/>
    <s v="Kg"/>
    <n v="700000"/>
    <n v="1153950"/>
    <s v="Suspension unit ceiling"/>
    <s v="Sheet"/>
    <b v="0"/>
  </r>
  <r>
    <x v="6"/>
    <x v="10"/>
    <n v="2"/>
    <s v="آهن"/>
    <x v="77"/>
    <m/>
    <n v="2"/>
    <m/>
    <s v="m"/>
    <n v="1200000"/>
    <n v="2400000"/>
    <s v="Suspension unit ceiling"/>
    <s v="Sheet"/>
    <b v="0"/>
  </r>
  <r>
    <x v="6"/>
    <x v="10"/>
    <n v="3"/>
    <m/>
    <x v="78"/>
    <m/>
    <n v="2"/>
    <m/>
    <s v="PCS"/>
    <n v="100000"/>
    <n v="200000"/>
    <s v="Suspension unit ceiling"/>
    <s v="Sheet"/>
    <b v="0"/>
  </r>
  <r>
    <x v="6"/>
    <x v="10"/>
    <n v="4"/>
    <m/>
    <x v="57"/>
    <m/>
    <n v="6"/>
    <m/>
    <s v="PCS"/>
    <n v="10000"/>
    <n v="60000"/>
    <s v="Suspension unit ceiling"/>
    <s v="Sheet"/>
    <b v="0"/>
  </r>
  <r>
    <x v="6"/>
    <x v="10"/>
    <n v="5"/>
    <m/>
    <x v="58"/>
    <m/>
    <n v="6"/>
    <m/>
    <s v="PCS"/>
    <n v="5000"/>
    <n v="30000"/>
    <s v="Suspension unit ceiling"/>
    <s v="Sheet"/>
    <b v="0"/>
  </r>
  <r>
    <x v="6"/>
    <x v="10"/>
    <n v="6"/>
    <m/>
    <x v="79"/>
    <m/>
    <n v="2"/>
    <m/>
    <s v="PCS"/>
    <n v="500000"/>
    <n v="1000000"/>
    <s v="Suspension unit ceiling"/>
    <s v="Sheet"/>
    <b v="0"/>
  </r>
  <r>
    <x v="6"/>
    <x v="10"/>
    <n v="7"/>
    <m/>
    <x v="80"/>
    <m/>
    <n v="2"/>
    <m/>
    <s v="PCS"/>
    <n v="10000"/>
    <n v="20000"/>
    <s v="Suspension unit ceiling"/>
    <s v="Sheet"/>
    <b v="0"/>
  </r>
  <r>
    <x v="6"/>
    <x v="10"/>
    <n v="8"/>
    <m/>
    <x v="65"/>
    <m/>
    <n v="2"/>
    <m/>
    <s v="PCS"/>
    <n v="5000"/>
    <n v="10000"/>
    <s v="Suspension unit ceiling"/>
    <s v="Sheet"/>
    <b v="0"/>
  </r>
  <r>
    <x v="6"/>
    <x v="10"/>
    <n v="9"/>
    <m/>
    <x v="40"/>
    <m/>
    <n v="2"/>
    <m/>
    <s v="PCS"/>
    <n v="60000"/>
    <n v="120000"/>
    <s v="Suspension unit ceiling"/>
    <s v="Sheet"/>
    <b v="0"/>
  </r>
  <r>
    <x v="6"/>
    <x v="10"/>
    <n v="10"/>
    <m/>
    <x v="32"/>
    <m/>
    <m/>
    <n v="3"/>
    <s v="h"/>
    <n v="13000000"/>
    <n v="39000000"/>
    <s v="Suspension unit ceiling"/>
    <s v="Sheet"/>
    <b v="0"/>
  </r>
  <r>
    <x v="6"/>
    <x v="10"/>
    <n v="11"/>
    <m/>
    <x v="35"/>
    <m/>
    <m/>
    <n v="0"/>
    <s v="%"/>
    <m/>
    <n v="0"/>
    <s v="Suspension unit ceiling"/>
    <s v="Sheet"/>
    <b v="0"/>
  </r>
  <r>
    <x v="6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6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6"/>
    <x v="11"/>
    <n v="7"/>
    <m/>
    <x v="13"/>
    <m/>
    <n v="2"/>
    <n v="2"/>
    <s v="PCS"/>
    <n v="50000"/>
    <n v="100000"/>
    <s v="Universal fixing unit"/>
    <s v="Sheet"/>
    <b v="0"/>
  </r>
  <r>
    <x v="6"/>
    <x v="11"/>
    <n v="8"/>
    <m/>
    <x v="64"/>
    <m/>
    <n v="4"/>
    <n v="4"/>
    <s v="PCS"/>
    <n v="30000"/>
    <n v="120000"/>
    <s v="Universal fixing unit"/>
    <s v="Sheet"/>
    <b v="0"/>
  </r>
  <r>
    <x v="6"/>
    <x v="11"/>
    <n v="9"/>
    <m/>
    <x v="82"/>
    <m/>
    <n v="1"/>
    <n v="1"/>
    <s v="PCS"/>
    <n v="30000"/>
    <n v="30000"/>
    <s v="Universal fixing unit"/>
    <s v="Sheet"/>
    <b v="0"/>
  </r>
  <r>
    <x v="6"/>
    <x v="11"/>
    <n v="13"/>
    <m/>
    <x v="32"/>
    <m/>
    <m/>
    <n v="1"/>
    <s v="h"/>
    <n v="13000000"/>
    <n v="13000000"/>
    <s v="Universal fixing unit"/>
    <s v="Sheet"/>
    <b v="0"/>
  </r>
  <r>
    <x v="6"/>
    <x v="11"/>
    <n v="14"/>
    <m/>
    <x v="35"/>
    <m/>
    <m/>
    <n v="0"/>
    <s v="%"/>
    <m/>
    <n v="0"/>
    <s v="Universal fixing unit"/>
    <s v="Sheet"/>
    <b v="0"/>
  </r>
  <r>
    <x v="6"/>
    <x v="11"/>
    <m/>
    <m/>
    <x v="74"/>
    <n v="300"/>
    <n v="100"/>
    <n v="2.5"/>
    <n v="7.86"/>
    <m/>
    <n v="0.58950000000000002"/>
    <s v="Universal fixing unit"/>
    <s v="Sheet"/>
    <b v="0"/>
  </r>
  <r>
    <x v="7"/>
    <x v="20"/>
    <n v="1"/>
    <s v="آلومینیوم"/>
    <x v="0"/>
    <n v="2735"/>
    <n v="2"/>
    <n v="7.6580000000000004"/>
    <s v="Kg"/>
    <n v="8500000"/>
    <n v="65092999.999999993"/>
    <s v="FEEDER-630"/>
    <s v="Sheet"/>
    <b v="0"/>
  </r>
  <r>
    <x v="7"/>
    <x v="20"/>
    <n v="2"/>
    <m/>
    <x v="1"/>
    <n v="2735"/>
    <n v="0"/>
    <n v="0"/>
    <s v="Kg"/>
    <n v="8500000"/>
    <n v="0"/>
    <s v="FEEDER-630"/>
    <s v="Sheet"/>
    <b v="0"/>
  </r>
  <r>
    <x v="7"/>
    <x v="20"/>
    <n v="3"/>
    <m/>
    <x v="87"/>
    <n v="2703"/>
    <n v="2"/>
    <n v="5.9466000000000001"/>
    <s v="Kg"/>
    <n v="8500000"/>
    <n v="50546100"/>
    <s v="FEEDER-630"/>
    <s v="Sheet"/>
    <b v="0"/>
  </r>
  <r>
    <x v="7"/>
    <x v="20"/>
    <n v="4"/>
    <m/>
    <x v="3"/>
    <n v="120"/>
    <n v="4"/>
    <n v="0.48"/>
    <s v="Kg"/>
    <n v="8500000"/>
    <n v="4080000"/>
    <s v="FEEDER-630"/>
    <s v="Sheet"/>
    <b v="0"/>
  </r>
  <r>
    <x v="7"/>
    <x v="20"/>
    <n v="5"/>
    <m/>
    <x v="4"/>
    <n v="180"/>
    <n v="4"/>
    <n v="0.68817600000000001"/>
    <s v="Kg"/>
    <n v="8500000"/>
    <n v="5849496"/>
    <s v="FEEDER-630"/>
    <s v="Sheet"/>
    <b v="0"/>
  </r>
  <r>
    <x v="7"/>
    <x v="20"/>
    <n v="6"/>
    <m/>
    <x v="5"/>
    <n v="2970"/>
    <n v="4"/>
    <n v="10.58508"/>
    <s v="Kg"/>
    <n v="8500000"/>
    <n v="89973180.000000015"/>
    <s v="FEEDER-630"/>
    <s v="Sheet"/>
    <b v="0"/>
  </r>
  <r>
    <x v="7"/>
    <x v="20"/>
    <n v="7"/>
    <s v="عایق ها"/>
    <x v="6"/>
    <n v="0.13"/>
    <n v="1.68696"/>
    <n v="1.68696"/>
    <s v="M2"/>
    <n v="4275000"/>
    <n v="7211754"/>
    <s v="FEEDER-630"/>
    <s v="Sheet"/>
    <b v="0"/>
  </r>
  <r>
    <x v="7"/>
    <x v="20"/>
    <n v="8"/>
    <m/>
    <x v="7"/>
    <n v="0.35"/>
    <n v="0.74226239999999999"/>
    <n v="0.74226239999999999"/>
    <s v="Kg"/>
    <n v="35750000"/>
    <n v="26535880.800000001"/>
    <s v="FEEDER-630"/>
    <s v="Sheet"/>
    <b v="0"/>
  </r>
  <r>
    <x v="7"/>
    <x v="20"/>
    <n v="9"/>
    <m/>
    <x v="7"/>
    <n v="0.2"/>
    <n v="0"/>
    <n v="0"/>
    <s v="Kg"/>
    <n v="45760000"/>
    <n v="0"/>
    <s v="FEEDER-630"/>
    <s v="Sheet"/>
    <b v="0"/>
  </r>
  <r>
    <x v="7"/>
    <x v="20"/>
    <n v="10"/>
    <s v="رنگ بدنه"/>
    <x v="8"/>
    <m/>
    <n v="13.6046"/>
    <n v="13.6046"/>
    <s v="Kg"/>
    <n v="1430000"/>
    <n v="19454578"/>
    <s v="FEEDER-630"/>
    <s v="Sheet"/>
    <b v="0"/>
  </r>
  <r>
    <x v="7"/>
    <x v="20"/>
    <n v="11"/>
    <s v="قلع"/>
    <x v="9"/>
    <m/>
    <n v="8"/>
    <n v="8"/>
    <s v="Kg"/>
    <n v="1600000"/>
    <n v="12800000"/>
    <s v="FEEDER-630"/>
    <s v="Sheet"/>
    <b v="0"/>
  </r>
  <r>
    <x v="7"/>
    <x v="20"/>
    <n v="12"/>
    <m/>
    <x v="10"/>
    <m/>
    <n v="10.58508"/>
    <n v="10.58508"/>
    <s v="PCS"/>
    <n v="3600000"/>
    <n v="38106288.000000007"/>
    <s v="FEEDER-630"/>
    <s v="Sheet"/>
    <b v="0"/>
  </r>
  <r>
    <x v="7"/>
    <x v="20"/>
    <n v="13"/>
    <s v="چسب"/>
    <x v="11"/>
    <m/>
    <n v="11.88"/>
    <n v="11.88"/>
    <s v="PCS"/>
    <n v="3600000"/>
    <n v="42768000"/>
    <s v="FEEDER-630"/>
    <s v="Sheet"/>
    <b v="0"/>
  </r>
  <r>
    <x v="7"/>
    <x v="20"/>
    <n v="14"/>
    <m/>
    <x v="12"/>
    <m/>
    <n v="0.1"/>
    <n v="0.1"/>
    <s v="PCS"/>
    <n v="5500000"/>
    <n v="550000"/>
    <s v="FEEDER-630"/>
    <s v="Sheet"/>
    <b v="0"/>
  </r>
  <r>
    <x v="7"/>
    <x v="20"/>
    <n v="15"/>
    <s v="پیچ و مهره"/>
    <x v="13"/>
    <m/>
    <s v="80"/>
    <s v="80"/>
    <s v="PCS"/>
    <n v="200000"/>
    <n v="16000000"/>
    <s v="FEEDER-630"/>
    <s v="Sheet"/>
    <b v="0"/>
  </r>
  <r>
    <x v="7"/>
    <x v="20"/>
    <n v="16"/>
    <m/>
    <x v="14"/>
    <m/>
    <n v="8"/>
    <n v="8"/>
    <s v="PCS"/>
    <n v="200000"/>
    <n v="1600000"/>
    <s v="FEEDER-630"/>
    <s v="Sheet"/>
    <b v="0"/>
  </r>
  <r>
    <x v="7"/>
    <x v="20"/>
    <n v="17"/>
    <m/>
    <x v="15"/>
    <m/>
    <n v="88"/>
    <n v="88"/>
    <s v="PCS"/>
    <n v="200000"/>
    <n v="17600000"/>
    <s v="FEEDER-630"/>
    <s v="Sheet"/>
    <b v="0"/>
  </r>
  <r>
    <x v="7"/>
    <x v="20"/>
    <n v="18"/>
    <m/>
    <x v="16"/>
    <m/>
    <n v="16"/>
    <n v="16"/>
    <s v="PCS"/>
    <n v="400000"/>
    <n v="6400000"/>
    <s v="FEEDER-630"/>
    <s v="Sheet"/>
    <b v="0"/>
  </r>
  <r>
    <x v="7"/>
    <x v="20"/>
    <n v="19"/>
    <m/>
    <x v="17"/>
    <m/>
    <n v="16"/>
    <n v="16"/>
    <s v="PCS"/>
    <n v="120000"/>
    <n v="1920000"/>
    <s v="FEEDER-630"/>
    <s v="Sheet"/>
    <b v="0"/>
  </r>
  <r>
    <x v="7"/>
    <x v="20"/>
    <n v="20"/>
    <m/>
    <x v="18"/>
    <m/>
    <n v="24"/>
    <n v="24"/>
    <s v="PCS"/>
    <n v="400000"/>
    <n v="9600000"/>
    <s v="FEEDER-630"/>
    <s v="Sheet"/>
    <b v="0"/>
  </r>
  <r>
    <x v="7"/>
    <x v="20"/>
    <n v="21"/>
    <s v="مس"/>
    <x v="19"/>
    <n v="132"/>
    <n v="8"/>
    <n v="1.5611904000000001"/>
    <s v="Kg"/>
    <n v="35000000"/>
    <n v="54641664"/>
    <s v="FEEDER-630"/>
    <s v="Sheet"/>
    <b v="0"/>
  </r>
  <r>
    <x v="7"/>
    <x v="20"/>
    <n v="22"/>
    <s v="آهن"/>
    <x v="20"/>
    <s v="115 X 185"/>
    <n v="2"/>
    <n v="0.8"/>
    <s v="Kg"/>
    <n v="5200000"/>
    <n v="4160000"/>
    <s v="FEEDER-630"/>
    <s v="Sheet"/>
    <b v="0"/>
  </r>
  <r>
    <x v="7"/>
    <x v="20"/>
    <n v="23"/>
    <m/>
    <x v="21"/>
    <s v="425 X 265"/>
    <n v="2"/>
    <n v="1.2"/>
    <s v="Kg"/>
    <n v="5200000"/>
    <n v="6240000"/>
    <s v="FEEDER-630"/>
    <s v="Sheet"/>
    <b v="0"/>
  </r>
  <r>
    <x v="7"/>
    <x v="20"/>
    <n v="24"/>
    <s v="الومینیوم"/>
    <x v="22"/>
    <s v="118*157"/>
    <n v="2"/>
    <n v="0.41689399999999999"/>
    <s v="Kg"/>
    <n v="8500000"/>
    <n v="3543599"/>
    <s v="FEEDER-630"/>
    <s v="Sheet"/>
    <b v="0"/>
  </r>
  <r>
    <x v="7"/>
    <x v="20"/>
    <n v="25"/>
    <s v="پلی امید"/>
    <x v="23"/>
    <n v="0.18"/>
    <s v="2"/>
    <s v="2"/>
    <s v="PCS"/>
    <n v="585000"/>
    <n v="1170000"/>
    <s v="FEEDER-630"/>
    <s v="Sheet"/>
    <b v="0"/>
  </r>
  <r>
    <x v="7"/>
    <x v="20"/>
    <n v="26"/>
    <m/>
    <x v="24"/>
    <n v="0.2"/>
    <s v="3"/>
    <s v="3"/>
    <s v="PCS"/>
    <n v="585000"/>
    <n v="1755000"/>
    <s v="FEEDER-630"/>
    <s v="Sheet"/>
    <b v="0"/>
  </r>
  <r>
    <x v="7"/>
    <x v="20"/>
    <n v="27"/>
    <s v="ABS"/>
    <x v="25"/>
    <s v="80 mm"/>
    <n v="1"/>
    <n v="1"/>
    <s v="PCS"/>
    <n v="100000"/>
    <n v="100000"/>
    <s v="FEEDER-630"/>
    <s v="Sheet"/>
    <b v="0"/>
  </r>
  <r>
    <x v="7"/>
    <x v="20"/>
    <n v="28"/>
    <s v="پیچ و مهره"/>
    <x v="26"/>
    <m/>
    <n v="2"/>
    <n v="2"/>
    <s v="PCS"/>
    <n v="2400000"/>
    <n v="4800000"/>
    <s v="FEEDER-630"/>
    <s v="Sheet"/>
    <b v="0"/>
  </r>
  <r>
    <x v="7"/>
    <x v="20"/>
    <n v="29"/>
    <m/>
    <x v="27"/>
    <m/>
    <n v="2"/>
    <n v="2"/>
    <s v="PCS"/>
    <n v="2400000"/>
    <n v="4800000"/>
    <s v="FEEDER-630"/>
    <s v="Sheet"/>
    <b v="0"/>
  </r>
  <r>
    <x v="7"/>
    <x v="20"/>
    <n v="30"/>
    <m/>
    <x v="28"/>
    <m/>
    <n v="2"/>
    <n v="2"/>
    <s v="PCS"/>
    <n v="3000000"/>
    <n v="6000000"/>
    <s v="FEEDER-630"/>
    <s v="Sheet"/>
    <b v="0"/>
  </r>
  <r>
    <x v="7"/>
    <x v="20"/>
    <n v="31"/>
    <s v="نوار IP"/>
    <x v="29"/>
    <m/>
    <n v="2"/>
    <n v="2"/>
    <s v="PCS"/>
    <n v="1300000"/>
    <n v="2600000"/>
    <s v="FEEDER-630"/>
    <s v="Sheet"/>
    <b v="0"/>
  </r>
  <r>
    <x v="7"/>
    <x v="20"/>
    <n v="32"/>
    <s v="نوار IP"/>
    <x v="30"/>
    <m/>
    <n v="4"/>
    <n v="10.811999999999999"/>
    <s v="m"/>
    <n v="460000"/>
    <n v="4973520"/>
    <s v="FEEDER-630"/>
    <s v="Sheet"/>
    <b v="0"/>
  </r>
  <r>
    <x v="7"/>
    <x v="20"/>
    <n v="33"/>
    <s v="ترموفیت"/>
    <x v="31"/>
    <n v="50"/>
    <n v="8"/>
    <n v="0.8"/>
    <s v="m "/>
    <n v="3414400.0000000005"/>
    <n v="2731520.0000000005"/>
    <s v="FEEDER-630"/>
    <s v="Sheet"/>
    <b v="0"/>
  </r>
  <r>
    <x v="7"/>
    <x v="20"/>
    <n v="28"/>
    <m/>
    <x v="32"/>
    <m/>
    <m/>
    <n v="6"/>
    <s v="h"/>
    <n v="13000000"/>
    <n v="78000000"/>
    <s v="FEEDER-630"/>
    <s v="Sheet"/>
    <b v="0"/>
  </r>
  <r>
    <x v="7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7"/>
    <x v="1"/>
    <n v="2"/>
    <m/>
    <x v="1"/>
    <n v="0"/>
    <n v="0"/>
    <n v="0"/>
    <s v="Kg"/>
    <n v="8500000"/>
    <n v="0"/>
    <s v="Vertical elbow"/>
    <s v="Sheet"/>
    <b v="0"/>
  </r>
  <r>
    <x v="7"/>
    <x v="1"/>
    <n v="3"/>
    <m/>
    <x v="87"/>
    <n v="0.70299999999999996"/>
    <n v="2"/>
    <n v="1.5466"/>
    <s v="Kg"/>
    <n v="8500000"/>
    <n v="13146100"/>
    <s v="Vertical elbow"/>
    <s v="Sheet"/>
    <b v="0"/>
  </r>
  <r>
    <x v="7"/>
    <x v="1"/>
    <n v="4"/>
    <m/>
    <x v="3"/>
    <n v="120"/>
    <n v="4"/>
    <n v="0.48"/>
    <s v="Kg"/>
    <n v="8500000"/>
    <n v="4080000"/>
    <s v="Vertical elbow"/>
    <s v="Sheet"/>
    <b v="0"/>
  </r>
  <r>
    <x v="7"/>
    <x v="1"/>
    <n v="5"/>
    <m/>
    <x v="4"/>
    <n v="180"/>
    <n v="4"/>
    <n v="0.68817600000000001"/>
    <s v="Kg"/>
    <n v="8500000"/>
    <n v="5849496"/>
    <s v="Vertical elbow"/>
    <s v="Sheet"/>
    <b v="0"/>
  </r>
  <r>
    <x v="7"/>
    <x v="1"/>
    <n v="6"/>
    <m/>
    <x v="5"/>
    <n v="0.96299999999999997"/>
    <n v="4"/>
    <n v="3.4321320000000006"/>
    <s v="Kg"/>
    <n v="8500000"/>
    <n v="29173122.000000004"/>
    <s v="Vertical elbow"/>
    <s v="Sheet"/>
    <b v="0"/>
  </r>
  <r>
    <x v="7"/>
    <x v="1"/>
    <n v="7"/>
    <s v="عایق ها"/>
    <x v="6"/>
    <n v="0.13"/>
    <n v="0.54698400000000003"/>
    <n v="0.54698400000000003"/>
    <s v="M2"/>
    <n v="4275000"/>
    <n v="2338356.6"/>
    <s v="Vertical elbow"/>
    <s v="Sheet"/>
    <b v="0"/>
  </r>
  <r>
    <x v="7"/>
    <x v="1"/>
    <n v="8"/>
    <m/>
    <x v="7"/>
    <n v="0.35"/>
    <n v="0"/>
    <n v="0"/>
    <s v="Kg"/>
    <n v="35750000"/>
    <n v="0"/>
    <s v="Vertical elbow"/>
    <s v="Sheet"/>
    <b v="0"/>
  </r>
  <r>
    <x v="7"/>
    <x v="1"/>
    <n v="9"/>
    <m/>
    <x v="7"/>
    <n v="0.2"/>
    <n v="0.27349200000000001"/>
    <n v="0.27349200000000001"/>
    <s v="Kg"/>
    <n v="45760000"/>
    <n v="12514993.92"/>
    <s v="Vertical elbow"/>
    <s v="Sheet"/>
    <b v="0"/>
  </r>
  <r>
    <x v="7"/>
    <x v="1"/>
    <n v="10"/>
    <s v="رنگ بدنه"/>
    <x v="8"/>
    <m/>
    <n v="3.6970000000000001"/>
    <n v="3.6970000000000001"/>
    <s v="PCS"/>
    <n v="1430000"/>
    <n v="5286710"/>
    <s v="Vertical elbow"/>
    <s v="Sheet"/>
    <b v="0"/>
  </r>
  <r>
    <x v="7"/>
    <x v="1"/>
    <n v="11"/>
    <s v="قلع"/>
    <x v="9"/>
    <m/>
    <s v="8"/>
    <s v="8"/>
    <s v="Kg"/>
    <n v="1600000"/>
    <n v="12800000"/>
    <s v="Vertical elbow"/>
    <s v="Sheet"/>
    <b v="0"/>
  </r>
  <r>
    <x v="7"/>
    <x v="1"/>
    <n v="12"/>
    <m/>
    <x v="10"/>
    <m/>
    <n v="3.4321320000000006"/>
    <n v="3.4321320000000006"/>
    <s v="PCS"/>
    <n v="3600000"/>
    <n v="12355675.200000005"/>
    <s v="Vertical elbow"/>
    <s v="Sheet"/>
    <b v="0"/>
  </r>
  <r>
    <x v="7"/>
    <x v="1"/>
    <n v="13"/>
    <s v="چسب"/>
    <x v="11"/>
    <m/>
    <n v="3.8519999999999999"/>
    <n v="3.8519999999999999"/>
    <s v="PCS"/>
    <n v="3600000"/>
    <n v="13867200"/>
    <s v="Vertical elbow"/>
    <s v="Sheet"/>
    <b v="0"/>
  </r>
  <r>
    <x v="7"/>
    <x v="1"/>
    <n v="14"/>
    <m/>
    <x v="12"/>
    <m/>
    <n v="0.1"/>
    <n v="0.1"/>
    <s v="PCS"/>
    <n v="5500000"/>
    <n v="550000"/>
    <s v="Vertical elbow"/>
    <s v="Sheet"/>
    <b v="0"/>
  </r>
  <r>
    <x v="7"/>
    <x v="1"/>
    <n v="15"/>
    <s v="پیچ و مهره"/>
    <x v="13"/>
    <m/>
    <n v="20"/>
    <n v="20"/>
    <s v="PCS"/>
    <n v="200000"/>
    <n v="4000000"/>
    <s v="Vertical elbow"/>
    <s v="Sheet"/>
    <b v="0"/>
  </r>
  <r>
    <x v="7"/>
    <x v="1"/>
    <n v="16"/>
    <m/>
    <x v="14"/>
    <m/>
    <n v="8"/>
    <n v="8"/>
    <s v="PCS"/>
    <n v="200000"/>
    <n v="1600000"/>
    <s v="Vertical elbow"/>
    <s v="Sheet"/>
    <b v="0"/>
  </r>
  <r>
    <x v="7"/>
    <x v="1"/>
    <n v="17"/>
    <m/>
    <x v="15"/>
    <m/>
    <n v="28"/>
    <n v="28"/>
    <s v="PCS"/>
    <n v="200000"/>
    <n v="5600000"/>
    <s v="Vertical elbow"/>
    <s v="Sheet"/>
    <b v="0"/>
  </r>
  <r>
    <x v="7"/>
    <x v="1"/>
    <n v="18"/>
    <m/>
    <x v="16"/>
    <m/>
    <n v="16"/>
    <n v="16"/>
    <s v="PCS"/>
    <n v="400000"/>
    <n v="6400000"/>
    <s v="Vertical elbow"/>
    <s v="Sheet"/>
    <b v="0"/>
  </r>
  <r>
    <x v="7"/>
    <x v="1"/>
    <n v="19"/>
    <m/>
    <x v="17"/>
    <m/>
    <n v="16"/>
    <n v="16"/>
    <s v="PCS"/>
    <n v="120000"/>
    <n v="1920000"/>
    <s v="Vertical elbow"/>
    <s v="Sheet"/>
    <b v="0"/>
  </r>
  <r>
    <x v="7"/>
    <x v="1"/>
    <n v="20"/>
    <m/>
    <x v="18"/>
    <m/>
    <n v="24"/>
    <n v="24"/>
    <s v="PCS"/>
    <n v="400000"/>
    <n v="9600000"/>
    <s v="Vertical elbow"/>
    <s v="Sheet"/>
    <b v="0"/>
  </r>
  <r>
    <x v="7"/>
    <x v="1"/>
    <n v="21"/>
    <s v="مس"/>
    <x v="19"/>
    <n v="132"/>
    <s v="8"/>
    <n v="1.5611904000000001"/>
    <s v="Kg"/>
    <n v="35000000"/>
    <n v="54641664"/>
    <s v="Vertical elbow"/>
    <s v="Sheet"/>
    <b v="0"/>
  </r>
  <r>
    <x v="7"/>
    <x v="1"/>
    <n v="22"/>
    <s v="آهن"/>
    <x v="20"/>
    <s v="115 X 185"/>
    <n v="2"/>
    <n v="0.8"/>
    <s v="Kg"/>
    <n v="5200000"/>
    <n v="4160000"/>
    <s v="Vertical elbow"/>
    <s v="Sheet"/>
    <b v="0"/>
  </r>
  <r>
    <x v="7"/>
    <x v="1"/>
    <n v="23"/>
    <m/>
    <x v="21"/>
    <s v="425 X 265"/>
    <n v="2"/>
    <n v="1.2"/>
    <s v="Kg"/>
    <n v="5200000"/>
    <n v="6240000"/>
    <s v="Vertical elbow"/>
    <s v="Sheet"/>
    <b v="0"/>
  </r>
  <r>
    <x v="7"/>
    <x v="1"/>
    <n v="24"/>
    <s v="الومینیوم"/>
    <x v="22"/>
    <s v="118*157"/>
    <n v="2"/>
    <n v="0.41689399999999999"/>
    <s v="Kg"/>
    <n v="8500000"/>
    <n v="3543599"/>
    <s v="Vertical elbow"/>
    <s v="Sheet"/>
    <b v="0"/>
  </r>
  <r>
    <x v="7"/>
    <x v="1"/>
    <n v="25"/>
    <s v="پلی امید"/>
    <x v="23"/>
    <n v="0.18"/>
    <n v="2"/>
    <n v="2"/>
    <s v="PCS"/>
    <n v="585000"/>
    <n v="1170000"/>
    <s v="Vertical elbow"/>
    <s v="Sheet"/>
    <b v="0"/>
  </r>
  <r>
    <x v="7"/>
    <x v="1"/>
    <n v="26"/>
    <m/>
    <x v="24"/>
    <n v="0.2"/>
    <n v="3"/>
    <n v="3"/>
    <s v="PCS"/>
    <n v="585000"/>
    <n v="1755000"/>
    <s v="Vertical elbow"/>
    <s v="Sheet"/>
    <b v="0"/>
  </r>
  <r>
    <x v="7"/>
    <x v="1"/>
    <n v="27"/>
    <s v="ABS"/>
    <x v="25"/>
    <s v="80 mm"/>
    <n v="1"/>
    <n v="1"/>
    <s v="PCS"/>
    <n v="100000"/>
    <n v="100000"/>
    <s v="Vertical elbow"/>
    <s v="Sheet"/>
    <b v="0"/>
  </r>
  <r>
    <x v="7"/>
    <x v="1"/>
    <n v="28"/>
    <s v="پیچ و مهره"/>
    <x v="26"/>
    <m/>
    <n v="2"/>
    <n v="2"/>
    <s v="PCS"/>
    <n v="2400000"/>
    <n v="4800000"/>
    <s v="Vertical elbow"/>
    <s v="Sheet"/>
    <b v="0"/>
  </r>
  <r>
    <x v="7"/>
    <x v="1"/>
    <n v="29"/>
    <m/>
    <x v="27"/>
    <m/>
    <n v="2"/>
    <n v="2"/>
    <s v="PCS"/>
    <n v="2400000"/>
    <n v="4800000"/>
    <s v="Vertical elbow"/>
    <s v="Sheet"/>
    <b v="0"/>
  </r>
  <r>
    <x v="7"/>
    <x v="1"/>
    <n v="30"/>
    <m/>
    <x v="28"/>
    <m/>
    <n v="2"/>
    <n v="2"/>
    <s v="PCS"/>
    <n v="3000000"/>
    <n v="6000000"/>
    <s v="Vertical elbow"/>
    <s v="Sheet"/>
    <b v="0"/>
  </r>
  <r>
    <x v="7"/>
    <x v="1"/>
    <n v="31"/>
    <s v="جوش"/>
    <x v="33"/>
    <m/>
    <n v="1"/>
    <n v="2"/>
    <s v="PCS"/>
    <n v="30000000"/>
    <n v="60000000"/>
    <s v="Vertical elbow"/>
    <s v="Sheet"/>
    <b v="0"/>
  </r>
  <r>
    <x v="7"/>
    <x v="1"/>
    <n v="32"/>
    <m/>
    <x v="34"/>
    <m/>
    <n v="1"/>
    <n v="4"/>
    <m/>
    <n v="12000000"/>
    <n v="48000000"/>
    <s v="Vertical elbow"/>
    <s v="Sheet"/>
    <b v="0"/>
  </r>
  <r>
    <x v="7"/>
    <x v="1"/>
    <n v="33"/>
    <s v="نوار IP"/>
    <x v="29"/>
    <m/>
    <n v="2"/>
    <n v="2"/>
    <s v="PCS"/>
    <n v="1300000"/>
    <n v="2600000"/>
    <s v="Vertical elbow"/>
    <s v="Sheet"/>
    <b v="0"/>
  </r>
  <r>
    <x v="7"/>
    <x v="1"/>
    <n v="34"/>
    <s v="نوار IP"/>
    <x v="30"/>
    <m/>
    <n v="4"/>
    <n v="2.8119999999999998"/>
    <s v="m"/>
    <n v="460000"/>
    <n v="1293520"/>
    <s v="Vertical elbow"/>
    <s v="Sheet"/>
    <b v="0"/>
  </r>
  <r>
    <x v="7"/>
    <x v="1"/>
    <n v="35"/>
    <s v="ترموفیت"/>
    <x v="31"/>
    <n v="50"/>
    <n v="8"/>
    <n v="0.8"/>
    <s v="m "/>
    <n v="3414400.0000000005"/>
    <n v="2731520.0000000005"/>
    <s v="Vertical elbow"/>
    <s v="Sheet"/>
    <b v="0"/>
  </r>
  <r>
    <x v="7"/>
    <x v="1"/>
    <n v="28"/>
    <m/>
    <x v="32"/>
    <m/>
    <m/>
    <n v="10"/>
    <s v="h"/>
    <n v="13000000"/>
    <n v="130000000"/>
    <s v="Vertical elbow"/>
    <s v="Sheet"/>
    <b v="0"/>
  </r>
  <r>
    <x v="7"/>
    <x v="1"/>
    <n v="29"/>
    <m/>
    <x v="35"/>
    <m/>
    <m/>
    <n v="0"/>
    <s v="%"/>
    <m/>
    <n v="0"/>
    <s v="Vertical elbow"/>
    <s v="Sheet"/>
    <b v="0"/>
  </r>
  <r>
    <x v="7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7"/>
    <x v="2"/>
    <n v="2"/>
    <m/>
    <x v="1"/>
    <n v="0"/>
    <n v="0"/>
    <n v="0"/>
    <s v="Kg"/>
    <n v="8500000"/>
    <n v="0"/>
    <s v="Horizontal elbow"/>
    <s v="Sheet"/>
    <b v="0"/>
  </r>
  <r>
    <x v="7"/>
    <x v="2"/>
    <n v="3"/>
    <m/>
    <x v="87"/>
    <n v="0.33500000000000002"/>
    <n v="2"/>
    <n v="0.7370000000000001"/>
    <s v="Kg"/>
    <n v="8500000"/>
    <n v="6264500.0000000009"/>
    <s v="Horizontal elbow"/>
    <s v="Sheet"/>
    <b v="0"/>
  </r>
  <r>
    <x v="7"/>
    <x v="2"/>
    <n v="4"/>
    <m/>
    <x v="3"/>
    <n v="120"/>
    <n v="4"/>
    <n v="0.48"/>
    <s v="Kg"/>
    <n v="8500000"/>
    <n v="4080000"/>
    <s v="Horizontal elbow"/>
    <s v="Sheet"/>
    <b v="0"/>
  </r>
  <r>
    <x v="7"/>
    <x v="2"/>
    <n v="5"/>
    <m/>
    <x v="4"/>
    <n v="180"/>
    <n v="4"/>
    <n v="0.68817600000000001"/>
    <s v="Kg"/>
    <n v="8500000"/>
    <n v="5849496"/>
    <s v="Horizontal elbow"/>
    <s v="Sheet"/>
    <b v="0"/>
  </r>
  <r>
    <x v="7"/>
    <x v="2"/>
    <n v="6"/>
    <m/>
    <x v="5"/>
    <n v="0.55800000000000005"/>
    <n v="4"/>
    <n v="1.988712"/>
    <s v="Kg"/>
    <n v="8500000"/>
    <n v="16904052"/>
    <s v="Horizontal elbow"/>
    <s v="Sheet"/>
    <b v="0"/>
  </r>
  <r>
    <x v="7"/>
    <x v="2"/>
    <n v="7"/>
    <s v="عایق ها"/>
    <x v="6"/>
    <n v="0.13"/>
    <n v="0.316944"/>
    <n v="0.316944"/>
    <s v="M2"/>
    <n v="4275000"/>
    <n v="1354935.6"/>
    <s v="Horizontal elbow"/>
    <s v="Sheet"/>
    <b v="0"/>
  </r>
  <r>
    <x v="7"/>
    <x v="2"/>
    <n v="8"/>
    <m/>
    <x v="7"/>
    <n v="0.35"/>
    <n v="0"/>
    <n v="0"/>
    <s v="Kg"/>
    <n v="35750000"/>
    <n v="0"/>
    <s v="Horizontal elbow"/>
    <s v="Sheet"/>
    <b v="0"/>
  </r>
  <r>
    <x v="7"/>
    <x v="2"/>
    <n v="9"/>
    <m/>
    <x v="7"/>
    <n v="0.2"/>
    <n v="0.158472"/>
    <n v="0.158472"/>
    <s v="Kg"/>
    <n v="45760000"/>
    <n v="7251678.7199999997"/>
    <s v="Horizontal elbow"/>
    <s v="Sheet"/>
    <b v="0"/>
  </r>
  <r>
    <x v="7"/>
    <x v="2"/>
    <n v="10"/>
    <s v="رنگ بدنه"/>
    <x v="8"/>
    <m/>
    <n v="1.675"/>
    <n v="1.675"/>
    <s v="PCS"/>
    <n v="1430000"/>
    <n v="2395250"/>
    <s v="Horizontal elbow"/>
    <s v="Sheet"/>
    <b v="0"/>
  </r>
  <r>
    <x v="7"/>
    <x v="2"/>
    <n v="11"/>
    <s v="قلع"/>
    <x v="9"/>
    <m/>
    <s v="8"/>
    <s v="8"/>
    <s v="Kg"/>
    <n v="1600000"/>
    <n v="12800000"/>
    <s v="Horizontal elbow"/>
    <s v="Sheet"/>
    <b v="0"/>
  </r>
  <r>
    <x v="7"/>
    <x v="2"/>
    <n v="12"/>
    <m/>
    <x v="10"/>
    <m/>
    <n v="1.988712"/>
    <n v="1.988712"/>
    <s v="PCS"/>
    <n v="3600000"/>
    <n v="7159363.2000000002"/>
    <s v="Horizontal elbow"/>
    <s v="Sheet"/>
    <b v="0"/>
  </r>
  <r>
    <x v="7"/>
    <x v="2"/>
    <n v="13"/>
    <s v="چسب"/>
    <x v="11"/>
    <m/>
    <n v="2.2320000000000002"/>
    <n v="2.2320000000000002"/>
    <s v="PCS"/>
    <n v="3600000"/>
    <n v="8035200.0000000019"/>
    <s v="Horizontal elbow"/>
    <s v="Sheet"/>
    <b v="0"/>
  </r>
  <r>
    <x v="7"/>
    <x v="2"/>
    <n v="14"/>
    <m/>
    <x v="12"/>
    <m/>
    <n v="0.1"/>
    <n v="0.1"/>
    <s v="PCS"/>
    <n v="5500000"/>
    <n v="550000"/>
    <s v="Horizontal elbow"/>
    <s v="Sheet"/>
    <b v="0"/>
  </r>
  <r>
    <x v="7"/>
    <x v="2"/>
    <n v="15"/>
    <s v="پیچ و مهره"/>
    <x v="13"/>
    <m/>
    <n v="20"/>
    <n v="20"/>
    <s v="PCS"/>
    <n v="200000"/>
    <n v="4000000"/>
    <s v="Horizontal elbow"/>
    <s v="Sheet"/>
    <b v="0"/>
  </r>
  <r>
    <x v="7"/>
    <x v="2"/>
    <n v="16"/>
    <m/>
    <x v="14"/>
    <m/>
    <n v="8"/>
    <n v="8"/>
    <s v="PCS"/>
    <n v="200000"/>
    <n v="1600000"/>
    <s v="Horizontal elbow"/>
    <s v="Sheet"/>
    <b v="0"/>
  </r>
  <r>
    <x v="7"/>
    <x v="2"/>
    <n v="17"/>
    <m/>
    <x v="15"/>
    <m/>
    <n v="16"/>
    <n v="16"/>
    <s v="PCS"/>
    <n v="200000"/>
    <n v="3200000"/>
    <s v="Horizontal elbow"/>
    <s v="Sheet"/>
    <b v="0"/>
  </r>
  <r>
    <x v="7"/>
    <x v="2"/>
    <n v="18"/>
    <m/>
    <x v="16"/>
    <m/>
    <n v="16"/>
    <n v="16"/>
    <s v="PCS"/>
    <n v="400000"/>
    <n v="6400000"/>
    <s v="Horizontal elbow"/>
    <s v="Sheet"/>
    <b v="0"/>
  </r>
  <r>
    <x v="7"/>
    <x v="2"/>
    <n v="19"/>
    <m/>
    <x v="17"/>
    <m/>
    <n v="16"/>
    <n v="16"/>
    <s v="PCS"/>
    <n v="120000"/>
    <n v="1920000"/>
    <s v="Horizontal elbow"/>
    <s v="Sheet"/>
    <b v="0"/>
  </r>
  <r>
    <x v="7"/>
    <x v="2"/>
    <n v="20"/>
    <m/>
    <x v="18"/>
    <m/>
    <n v="24"/>
    <n v="24"/>
    <s v="PCS"/>
    <n v="400000"/>
    <n v="9600000"/>
    <s v="Horizontal elbow"/>
    <s v="Sheet"/>
    <b v="0"/>
  </r>
  <r>
    <x v="7"/>
    <x v="2"/>
    <n v="21"/>
    <s v="مس"/>
    <x v="19"/>
    <n v="132"/>
    <s v="8"/>
    <n v="1.5611904000000001"/>
    <s v="Kg"/>
    <n v="35000000"/>
    <n v="54641664"/>
    <s v="Horizontal elbow"/>
    <s v="Sheet"/>
    <b v="0"/>
  </r>
  <r>
    <x v="7"/>
    <x v="2"/>
    <n v="22"/>
    <s v="آهن"/>
    <x v="20"/>
    <s v="115 X 185"/>
    <n v="2"/>
    <n v="0.8"/>
    <s v="Kg"/>
    <n v="5200000"/>
    <n v="4160000"/>
    <s v="Horizontal elbow"/>
    <s v="Sheet"/>
    <b v="0"/>
  </r>
  <r>
    <x v="7"/>
    <x v="2"/>
    <n v="23"/>
    <m/>
    <x v="21"/>
    <s v="425 X 265"/>
    <n v="2"/>
    <n v="1.2"/>
    <s v="Kg"/>
    <n v="5200000"/>
    <n v="6240000"/>
    <s v="Horizontal elbow"/>
    <s v="Sheet"/>
    <b v="0"/>
  </r>
  <r>
    <x v="7"/>
    <x v="2"/>
    <n v="24"/>
    <s v="الومینیوم"/>
    <x v="22"/>
    <s v="118*157"/>
    <n v="2"/>
    <n v="0.41689399999999999"/>
    <s v="Kg"/>
    <n v="8500000"/>
    <n v="3543599"/>
    <s v="Horizontal elbow"/>
    <s v="Sheet"/>
    <b v="0"/>
  </r>
  <r>
    <x v="7"/>
    <x v="2"/>
    <n v="25"/>
    <s v="پلی امید"/>
    <x v="23"/>
    <n v="0.18"/>
    <n v="2"/>
    <n v="2"/>
    <s v="PCS"/>
    <n v="585000"/>
    <n v="1170000"/>
    <s v="Horizontal elbow"/>
    <s v="Sheet"/>
    <b v="0"/>
  </r>
  <r>
    <x v="7"/>
    <x v="2"/>
    <n v="26"/>
    <m/>
    <x v="24"/>
    <n v="0.2"/>
    <n v="3"/>
    <n v="3"/>
    <s v="PCS"/>
    <n v="585000"/>
    <n v="1755000"/>
    <s v="Horizontal elbow"/>
    <s v="Sheet"/>
    <b v="0"/>
  </r>
  <r>
    <x v="7"/>
    <x v="2"/>
    <n v="27"/>
    <s v="ABS"/>
    <x v="25"/>
    <s v="80 mm"/>
    <n v="1"/>
    <n v="1"/>
    <s v="PCS"/>
    <n v="100000"/>
    <n v="100000"/>
    <s v="Horizontal elbow"/>
    <s v="Sheet"/>
    <b v="0"/>
  </r>
  <r>
    <x v="7"/>
    <x v="2"/>
    <n v="28"/>
    <s v="پیچ و مهره"/>
    <x v="26"/>
    <m/>
    <n v="2"/>
    <n v="2"/>
    <s v="PCS"/>
    <n v="2400000"/>
    <n v="4800000"/>
    <s v="Horizontal elbow"/>
    <s v="Sheet"/>
    <b v="0"/>
  </r>
  <r>
    <x v="7"/>
    <x v="2"/>
    <n v="29"/>
    <m/>
    <x v="27"/>
    <m/>
    <n v="2"/>
    <n v="2"/>
    <s v="PCS"/>
    <n v="2400000"/>
    <n v="4800000"/>
    <s v="Horizontal elbow"/>
    <s v="Sheet"/>
    <b v="0"/>
  </r>
  <r>
    <x v="7"/>
    <x v="2"/>
    <n v="30"/>
    <m/>
    <x v="28"/>
    <m/>
    <n v="2"/>
    <n v="2"/>
    <s v="PCS"/>
    <n v="3000000"/>
    <n v="6000000"/>
    <s v="Horizontal elbow"/>
    <s v="Sheet"/>
    <b v="0"/>
  </r>
  <r>
    <x v="7"/>
    <x v="2"/>
    <n v="31"/>
    <s v="جوش"/>
    <x v="33"/>
    <m/>
    <n v="1"/>
    <n v="2"/>
    <s v="PCS"/>
    <n v="30000000"/>
    <n v="60000000"/>
    <s v="Horizontal elbow"/>
    <s v="Sheet"/>
    <b v="0"/>
  </r>
  <r>
    <x v="7"/>
    <x v="2"/>
    <n v="32"/>
    <m/>
    <x v="34"/>
    <m/>
    <n v="1"/>
    <n v="0"/>
    <s v="PCS"/>
    <n v="12000000"/>
    <n v="0"/>
    <s v="Horizontal elbow"/>
    <s v="Sheet"/>
    <b v="0"/>
  </r>
  <r>
    <x v="7"/>
    <x v="2"/>
    <n v="33"/>
    <s v="نوار IP"/>
    <x v="29"/>
    <m/>
    <n v="2"/>
    <n v="2"/>
    <s v="PCS"/>
    <n v="1300000"/>
    <n v="2600000"/>
    <s v="Horizontal elbow"/>
    <s v="Sheet"/>
    <b v="0"/>
  </r>
  <r>
    <x v="7"/>
    <x v="2"/>
    <n v="34"/>
    <s v="نوار IP"/>
    <x v="30"/>
    <m/>
    <n v="4"/>
    <n v="1.34"/>
    <s v="m"/>
    <n v="460000"/>
    <n v="616400"/>
    <s v="Horizontal elbow"/>
    <s v="Sheet"/>
    <b v="0"/>
  </r>
  <r>
    <x v="7"/>
    <x v="2"/>
    <n v="35"/>
    <s v="ترموفیت"/>
    <x v="31"/>
    <n v="50"/>
    <n v="8"/>
    <n v="0.8"/>
    <s v="m "/>
    <n v="3414400.0000000005"/>
    <n v="2731520.0000000005"/>
    <s v="Horizontal elbow"/>
    <s v="Sheet"/>
    <b v="0"/>
  </r>
  <r>
    <x v="7"/>
    <x v="2"/>
    <n v="28"/>
    <m/>
    <x v="32"/>
    <m/>
    <m/>
    <n v="8"/>
    <s v="h"/>
    <n v="13000000"/>
    <n v="104000000"/>
    <s v="Horizontal elbow"/>
    <s v="Sheet"/>
    <b v="0"/>
  </r>
  <r>
    <x v="7"/>
    <x v="2"/>
    <n v="29"/>
    <m/>
    <x v="35"/>
    <m/>
    <m/>
    <n v="0"/>
    <s v="%"/>
    <m/>
    <n v="0"/>
    <s v="Horizontal elbow"/>
    <s v="Sheet"/>
    <b v="0"/>
  </r>
  <r>
    <x v="7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7"/>
    <x v="3"/>
    <n v="2"/>
    <m/>
    <x v="1"/>
    <n v="0"/>
    <n v="0"/>
    <n v="0"/>
    <s v="Kg"/>
    <n v="8500000"/>
    <n v="0"/>
    <s v="Flange end "/>
    <s v="Sheet"/>
    <b v="0"/>
  </r>
  <r>
    <x v="7"/>
    <x v="3"/>
    <n v="3"/>
    <m/>
    <x v="87"/>
    <n v="168"/>
    <n v="2"/>
    <n v="0.36959999999999998"/>
    <s v="Kg"/>
    <n v="8500000"/>
    <n v="3141600.0000000005"/>
    <s v="Flange end "/>
    <s v="Sheet"/>
    <b v="0"/>
  </r>
  <r>
    <x v="7"/>
    <x v="3"/>
    <n v="4"/>
    <m/>
    <x v="3"/>
    <n v="120"/>
    <n v="4"/>
    <n v="0.48"/>
    <s v="Kg"/>
    <n v="8500000"/>
    <n v="4080000"/>
    <s v="Flange end "/>
    <s v="Sheet"/>
    <b v="0"/>
  </r>
  <r>
    <x v="7"/>
    <x v="3"/>
    <n v="5"/>
    <m/>
    <x v="4"/>
    <n v="180"/>
    <n v="2"/>
    <n v="0.344088"/>
    <s v="Kg"/>
    <n v="8500000"/>
    <n v="2924748"/>
    <s v="Flange end "/>
    <s v="Sheet"/>
    <b v="0"/>
  </r>
  <r>
    <x v="7"/>
    <x v="3"/>
    <n v="6"/>
    <m/>
    <x v="5"/>
    <n v="0.58799999999999997"/>
    <n v="4"/>
    <n v="2.0956320000000002"/>
    <s v="Kg"/>
    <n v="8500000"/>
    <n v="17812872"/>
    <s v="Flange end "/>
    <s v="Sheet"/>
    <b v="0"/>
  </r>
  <r>
    <x v="7"/>
    <x v="3"/>
    <n v="7"/>
    <s v="عایق ها"/>
    <x v="6"/>
    <n v="0.13"/>
    <n v="0.333984"/>
    <n v="0.333984"/>
    <s v="M2"/>
    <n v="4275000"/>
    <n v="1427781.6"/>
    <s v="Flange end "/>
    <s v="Sheet"/>
    <b v="0"/>
  </r>
  <r>
    <x v="7"/>
    <x v="3"/>
    <n v="8"/>
    <m/>
    <x v="7"/>
    <n v="0.35"/>
    <n v="0"/>
    <n v="0"/>
    <s v="Kg"/>
    <n v="35750000"/>
    <n v="0"/>
    <s v="Flange end "/>
    <s v="Sheet"/>
    <b v="0"/>
  </r>
  <r>
    <x v="7"/>
    <x v="3"/>
    <n v="9"/>
    <m/>
    <x v="7"/>
    <n v="0.2"/>
    <n v="0.166992"/>
    <n v="0.166992"/>
    <s v="Kg"/>
    <n v="45760000"/>
    <n v="7641553.9199999999"/>
    <s v="Flange end "/>
    <s v="Sheet"/>
    <b v="0"/>
  </r>
  <r>
    <x v="7"/>
    <x v="3"/>
    <n v="10"/>
    <s v="رنگ بدنه"/>
    <x v="8"/>
    <m/>
    <n v="0.84"/>
    <n v="0.84"/>
    <s v="Kg"/>
    <n v="1430000"/>
    <n v="1201200"/>
    <s v="Flange end "/>
    <s v="Sheet"/>
    <b v="0"/>
  </r>
  <r>
    <x v="7"/>
    <x v="3"/>
    <n v="11"/>
    <s v="قلع"/>
    <x v="9"/>
    <m/>
    <n v="8"/>
    <n v="8"/>
    <s v="Kg"/>
    <n v="1600000"/>
    <n v="12800000"/>
    <s v="Flange end "/>
    <s v="Sheet"/>
    <b v="0"/>
  </r>
  <r>
    <x v="7"/>
    <x v="3"/>
    <n v="12"/>
    <m/>
    <x v="10"/>
    <m/>
    <n v="2.0956320000000002"/>
    <n v="2.0956320000000002"/>
    <s v="PCS"/>
    <n v="3600000"/>
    <n v="7544275.2000000002"/>
    <s v="Flange end "/>
    <s v="Sheet"/>
    <b v="0"/>
  </r>
  <r>
    <x v="7"/>
    <x v="3"/>
    <n v="13"/>
    <s v="چسب"/>
    <x v="11"/>
    <m/>
    <n v="2.3519999999999999"/>
    <n v="2.3519999999999999"/>
    <s v="PCS"/>
    <n v="3600000"/>
    <n v="8467200"/>
    <s v="Flange end "/>
    <s v="Sheet"/>
    <b v="0"/>
  </r>
  <r>
    <x v="7"/>
    <x v="3"/>
    <n v="14"/>
    <m/>
    <x v="12"/>
    <m/>
    <n v="0.1"/>
    <n v="0.1"/>
    <s v="PCS"/>
    <n v="5500000"/>
    <n v="550000"/>
    <s v="Flange end "/>
    <s v="Sheet"/>
    <b v="0"/>
  </r>
  <r>
    <x v="7"/>
    <x v="3"/>
    <n v="15"/>
    <s v="پیچ و مهره"/>
    <x v="13"/>
    <m/>
    <s v="80"/>
    <n v="8"/>
    <s v="PCS"/>
    <n v="200000"/>
    <n v="1600000"/>
    <s v="Flange end "/>
    <s v="Sheet"/>
    <b v="0"/>
  </r>
  <r>
    <x v="7"/>
    <x v="3"/>
    <n v="16"/>
    <m/>
    <x v="14"/>
    <m/>
    <n v="8"/>
    <n v="8"/>
    <s v="PCS"/>
    <n v="200000"/>
    <n v="1600000"/>
    <s v="Flange end "/>
    <s v="Sheet"/>
    <b v="0"/>
  </r>
  <r>
    <x v="7"/>
    <x v="3"/>
    <n v="17"/>
    <m/>
    <x v="15"/>
    <m/>
    <n v="88"/>
    <n v="16"/>
    <s v="PCS"/>
    <n v="200000"/>
    <n v="3200000"/>
    <s v="Flange end "/>
    <s v="Sheet"/>
    <b v="0"/>
  </r>
  <r>
    <x v="7"/>
    <x v="3"/>
    <n v="18"/>
    <m/>
    <x v="16"/>
    <m/>
    <n v="16"/>
    <n v="16"/>
    <s v="PCS"/>
    <n v="400000"/>
    <n v="6400000"/>
    <s v="Flange end "/>
    <s v="Sheet"/>
    <b v="0"/>
  </r>
  <r>
    <x v="7"/>
    <x v="3"/>
    <n v="19"/>
    <m/>
    <x v="17"/>
    <m/>
    <n v="16"/>
    <n v="16"/>
    <s v="PCS"/>
    <n v="120000"/>
    <n v="1920000"/>
    <s v="Flange end "/>
    <s v="Sheet"/>
    <b v="0"/>
  </r>
  <r>
    <x v="7"/>
    <x v="3"/>
    <n v="20"/>
    <m/>
    <x v="18"/>
    <m/>
    <n v="24"/>
    <n v="24"/>
    <s v="PCS"/>
    <n v="400000"/>
    <n v="9600000"/>
    <s v="Flange end "/>
    <s v="Sheet"/>
    <b v="0"/>
  </r>
  <r>
    <x v="7"/>
    <x v="3"/>
    <n v="21"/>
    <s v="مس"/>
    <x v="19"/>
    <n v="132"/>
    <n v="8"/>
    <n v="1.5611904000000001"/>
    <s v="Kg"/>
    <n v="35000000"/>
    <n v="54641664"/>
    <s v="Flange end "/>
    <s v="Sheet"/>
    <b v="0"/>
  </r>
  <r>
    <x v="7"/>
    <x v="3"/>
    <n v="22"/>
    <s v="آهن"/>
    <x v="20"/>
    <s v="115 X 185"/>
    <n v="2"/>
    <n v="0.8"/>
    <s v="Kg"/>
    <n v="5200000"/>
    <n v="4160000"/>
    <s v="Flange end "/>
    <s v="Sheet"/>
    <b v="0"/>
  </r>
  <r>
    <x v="7"/>
    <x v="3"/>
    <n v="23"/>
    <m/>
    <x v="21"/>
    <s v="425 X 265"/>
    <n v="2"/>
    <n v="1.2"/>
    <s v="Kg"/>
    <n v="5200000"/>
    <n v="6240000"/>
    <s v="Flange end "/>
    <s v="Sheet"/>
    <b v="0"/>
  </r>
  <r>
    <x v="7"/>
    <x v="3"/>
    <n v="24"/>
    <s v="الومینیوم"/>
    <x v="22"/>
    <s v="118*157"/>
    <n v="2"/>
    <n v="0.41689399999999999"/>
    <s v="Kg"/>
    <n v="8500000"/>
    <n v="3543599"/>
    <s v="Flange end "/>
    <s v="Sheet"/>
    <b v="0"/>
  </r>
  <r>
    <x v="7"/>
    <x v="3"/>
    <n v="25"/>
    <s v="پلی امید"/>
    <x v="23"/>
    <n v="0.18"/>
    <s v="2"/>
    <s v="2"/>
    <s v="PCS"/>
    <n v="585000"/>
    <n v="1170000"/>
    <s v="Flange end "/>
    <s v="Sheet"/>
    <b v="0"/>
  </r>
  <r>
    <x v="7"/>
    <x v="3"/>
    <n v="26"/>
    <m/>
    <x v="24"/>
    <n v="0.2"/>
    <s v="3"/>
    <s v="3"/>
    <s v="PCS"/>
    <n v="585000"/>
    <n v="1755000"/>
    <s v="Flange end "/>
    <s v="Sheet"/>
    <b v="0"/>
  </r>
  <r>
    <x v="7"/>
    <x v="3"/>
    <n v="27"/>
    <s v="ABS"/>
    <x v="25"/>
    <s v="80 mm"/>
    <n v="1"/>
    <n v="1"/>
    <s v="PCS"/>
    <n v="100000"/>
    <n v="100000"/>
    <s v="Flange end "/>
    <s v="Sheet"/>
    <b v="0"/>
  </r>
  <r>
    <x v="7"/>
    <x v="3"/>
    <n v="28"/>
    <s v="پیچ و مهره"/>
    <x v="26"/>
    <m/>
    <n v="2"/>
    <n v="2"/>
    <s v="PCS"/>
    <n v="2400000"/>
    <n v="4800000"/>
    <s v="Flange end "/>
    <s v="Sheet"/>
    <b v="0"/>
  </r>
  <r>
    <x v="7"/>
    <x v="3"/>
    <n v="29"/>
    <m/>
    <x v="27"/>
    <m/>
    <n v="2"/>
    <n v="2"/>
    <s v="PCS"/>
    <n v="2400000"/>
    <n v="4800000"/>
    <s v="Flange end "/>
    <s v="Sheet"/>
    <b v="0"/>
  </r>
  <r>
    <x v="7"/>
    <x v="3"/>
    <n v="30"/>
    <m/>
    <x v="28"/>
    <m/>
    <n v="2"/>
    <n v="2"/>
    <s v="PCS"/>
    <n v="3000000"/>
    <n v="6000000"/>
    <s v="Flange end "/>
    <s v="Sheet"/>
    <b v="0"/>
  </r>
  <r>
    <x v="7"/>
    <x v="3"/>
    <n v="31"/>
    <s v="نوار IP"/>
    <x v="29"/>
    <m/>
    <n v="2"/>
    <n v="2"/>
    <s v="PCS"/>
    <n v="1300000"/>
    <n v="2600000"/>
    <s v="Flange end "/>
    <s v="Sheet"/>
    <b v="0"/>
  </r>
  <r>
    <x v="7"/>
    <x v="3"/>
    <n v="32"/>
    <s v="نوار IP"/>
    <x v="30"/>
    <m/>
    <n v="4"/>
    <n v="0.67200000000000004"/>
    <s v="m"/>
    <n v="460000"/>
    <n v="309120"/>
    <s v="Flange end "/>
    <s v="Sheet"/>
    <b v="0"/>
  </r>
  <r>
    <x v="7"/>
    <x v="3"/>
    <n v="33"/>
    <s v="ترموفیت"/>
    <x v="31"/>
    <n v="50"/>
    <n v="8"/>
    <n v="0.8"/>
    <s v="m "/>
    <n v="3414400.0000000005"/>
    <n v="2731520.0000000005"/>
    <s v="Flange end "/>
    <s v="Sheet"/>
    <b v="0"/>
  </r>
  <r>
    <x v="7"/>
    <x v="3"/>
    <n v="28"/>
    <m/>
    <x v="32"/>
    <m/>
    <m/>
    <n v="8"/>
    <s v="h"/>
    <n v="13000000"/>
    <n v="104000000"/>
    <s v="Flange end "/>
    <s v="Sheet"/>
    <b v="0"/>
  </r>
  <r>
    <x v="7"/>
    <x v="3"/>
    <n v="29"/>
    <m/>
    <x v="35"/>
    <m/>
    <m/>
    <n v="0"/>
    <s v="%"/>
    <m/>
    <n v="0"/>
    <s v="Flange end "/>
    <s v="Sheet"/>
    <b v="0"/>
  </r>
  <r>
    <x v="7"/>
    <x v="4"/>
    <n v="1"/>
    <s v="آهن"/>
    <x v="36"/>
    <m/>
    <n v="1"/>
    <n v="9"/>
    <s v="Kg"/>
    <n v="5200000"/>
    <n v="46800000"/>
    <s v="TOP OFF BOX 250"/>
    <s v="Sheet"/>
    <b v="0"/>
  </r>
  <r>
    <x v="7"/>
    <x v="4"/>
    <n v="4"/>
    <s v="مسی"/>
    <x v="37"/>
    <m/>
    <n v="4"/>
    <n v="0.5"/>
    <s v="Kg"/>
    <n v="22000000"/>
    <n v="11000000"/>
    <s v="TOP OFF BOX 250"/>
    <s v="Sheet"/>
    <b v="0"/>
  </r>
  <r>
    <x v="7"/>
    <x v="4"/>
    <n v="5"/>
    <m/>
    <x v="38"/>
    <m/>
    <n v="20"/>
    <n v="20"/>
    <s v="PCS"/>
    <n v="26000"/>
    <n v="520000"/>
    <s v="TOP OFF BOX 250"/>
    <s v="Sheet"/>
    <b v="0"/>
  </r>
  <r>
    <x v="7"/>
    <x v="4"/>
    <n v="6"/>
    <m/>
    <x v="39"/>
    <m/>
    <n v="6"/>
    <n v="6"/>
    <s v="PCS"/>
    <n v="195000"/>
    <n v="1170000"/>
    <s v="TOP OFF BOX 250"/>
    <s v="Sheet"/>
    <b v="0"/>
  </r>
  <r>
    <x v="7"/>
    <x v="4"/>
    <n v="7"/>
    <m/>
    <x v="40"/>
    <m/>
    <n v="20"/>
    <n v="20"/>
    <s v="PCS"/>
    <n v="13000"/>
    <n v="260000"/>
    <s v="TOP OFF BOX 250"/>
    <s v="Sheet"/>
    <b v="0"/>
  </r>
  <r>
    <x v="7"/>
    <x v="4"/>
    <n v="8"/>
    <m/>
    <x v="41"/>
    <m/>
    <n v="20"/>
    <n v="20"/>
    <s v="PCS"/>
    <n v="75000"/>
    <n v="1500000"/>
    <s v="TOP OFF BOX 250"/>
    <s v="Sheet"/>
    <b v="0"/>
  </r>
  <r>
    <x v="7"/>
    <x v="4"/>
    <n v="9"/>
    <m/>
    <x v="42"/>
    <m/>
    <n v="1"/>
    <n v="1"/>
    <s v="PCS"/>
    <n v="11250000"/>
    <n v="11250000"/>
    <s v="TOP OFF BOX 250"/>
    <s v="Sheet"/>
    <b v="0"/>
  </r>
  <r>
    <x v="7"/>
    <x v="4"/>
    <n v="10"/>
    <m/>
    <x v="43"/>
    <m/>
    <n v="1"/>
    <n v="1"/>
    <s v="PCS"/>
    <n v="7500000"/>
    <n v="7500000"/>
    <s v="TOP OFF BOX 250"/>
    <s v="Sheet"/>
    <b v="0"/>
  </r>
  <r>
    <x v="7"/>
    <x v="4"/>
    <n v="11"/>
    <m/>
    <x v="44"/>
    <m/>
    <n v="2"/>
    <n v="2"/>
    <s v="PCS"/>
    <n v="150000"/>
    <n v="300000"/>
    <s v="TOP OFF BOX 250"/>
    <s v="Sheet"/>
    <b v="0"/>
  </r>
  <r>
    <x v="7"/>
    <x v="4"/>
    <n v="12"/>
    <m/>
    <x v="45"/>
    <m/>
    <n v="2"/>
    <n v="2"/>
    <s v="PCS"/>
    <n v="100000"/>
    <n v="200000"/>
    <s v="TOP OFF BOX 250"/>
    <s v="Sheet"/>
    <b v="0"/>
  </r>
  <r>
    <x v="7"/>
    <x v="4"/>
    <n v="13"/>
    <m/>
    <x v="46"/>
    <m/>
    <n v="4"/>
    <n v="4"/>
    <s v="PCS"/>
    <n v="50000"/>
    <n v="200000"/>
    <s v="TOP OFF BOX 250"/>
    <s v="Sheet"/>
    <b v="0"/>
  </r>
  <r>
    <x v="7"/>
    <x v="4"/>
    <n v="14"/>
    <m/>
    <x v="47"/>
    <m/>
    <n v="2"/>
    <n v="2"/>
    <s v="PCS"/>
    <n v="100000"/>
    <n v="200000"/>
    <s v="TOP OFF BOX 250"/>
    <s v="Sheet"/>
    <b v="0"/>
  </r>
  <r>
    <x v="7"/>
    <x v="4"/>
    <n v="15"/>
    <m/>
    <x v="48"/>
    <m/>
    <n v="1"/>
    <n v="0.1"/>
    <s v="Kg"/>
    <n v="4200000"/>
    <n v="420000"/>
    <s v="TOP OFF BOX 250"/>
    <s v="Sheet"/>
    <b v="0"/>
  </r>
  <r>
    <x v="7"/>
    <x v="4"/>
    <n v="16"/>
    <m/>
    <x v="49"/>
    <m/>
    <n v="1"/>
    <n v="0.3"/>
    <s v="m"/>
    <m/>
    <n v="0"/>
    <s v="TOP OFF BOX 250"/>
    <s v="Sheet"/>
    <b v="0"/>
  </r>
  <r>
    <x v="7"/>
    <x v="4"/>
    <n v="17"/>
    <m/>
    <x v="50"/>
    <m/>
    <n v="1"/>
    <n v="0.15"/>
    <s v="m"/>
    <m/>
    <n v="0"/>
    <s v="TOP OFF BOX 250"/>
    <s v="Sheet"/>
    <b v="0"/>
  </r>
  <r>
    <x v="7"/>
    <x v="4"/>
    <n v="18"/>
    <m/>
    <x v="51"/>
    <m/>
    <n v="1"/>
    <m/>
    <s v="PCS"/>
    <m/>
    <n v="0"/>
    <s v="TOP OFF BOX 250"/>
    <s v="Sheet"/>
    <b v="0"/>
  </r>
  <r>
    <x v="7"/>
    <x v="4"/>
    <n v="19"/>
    <m/>
    <x v="52"/>
    <m/>
    <n v="1"/>
    <m/>
    <s v="PCS"/>
    <m/>
    <n v="0"/>
    <s v="TOP OFF BOX 250"/>
    <s v="Sheet"/>
    <b v="0"/>
  </r>
  <r>
    <x v="7"/>
    <x v="4"/>
    <n v="20"/>
    <m/>
    <x v="53"/>
    <m/>
    <n v="1"/>
    <m/>
    <s v="PCS"/>
    <m/>
    <n v="0"/>
    <s v="TOP OFF BOX 250"/>
    <s v="Sheet"/>
    <b v="0"/>
  </r>
  <r>
    <x v="7"/>
    <x v="4"/>
    <n v="21"/>
    <m/>
    <x v="54"/>
    <m/>
    <n v="1"/>
    <n v="1"/>
    <s v="PCS"/>
    <n v="74000000"/>
    <n v="74000000"/>
    <s v="TOP OFF BOX 250"/>
    <s v="Sheet"/>
    <b v="0"/>
  </r>
  <r>
    <x v="7"/>
    <x v="4"/>
    <n v="7"/>
    <m/>
    <x v="32"/>
    <m/>
    <m/>
    <n v="5"/>
    <s v="h"/>
    <n v="13000000"/>
    <n v="65000000"/>
    <s v="TOP OFF BOX 250"/>
    <s v="Sheet"/>
    <b v="0"/>
  </r>
  <r>
    <x v="7"/>
    <x v="4"/>
    <n v="8"/>
    <m/>
    <x v="35"/>
    <m/>
    <m/>
    <n v="0"/>
    <s v="%"/>
    <m/>
    <n v="0"/>
    <s v="TOP OFF BOX 250"/>
    <s v="Sheet"/>
    <b v="0"/>
  </r>
  <r>
    <x v="7"/>
    <x v="5"/>
    <n v="1"/>
    <s v="مس بافته شده"/>
    <x v="55"/>
    <m/>
    <n v="1"/>
    <n v="4"/>
    <s v="SET"/>
    <n v="17250000"/>
    <n v="69000000"/>
    <s v="Flexible connection"/>
    <s v="Sheet"/>
    <b v="0"/>
  </r>
  <r>
    <x v="7"/>
    <x v="5"/>
    <m/>
    <s v="قلع"/>
    <x v="10"/>
    <m/>
    <n v="0"/>
    <n v="4"/>
    <s v="Kg"/>
    <n v="3600000"/>
    <n v="14400000"/>
    <s v="Flexible connection"/>
    <s v="Sheet"/>
    <b v="0"/>
  </r>
  <r>
    <x v="7"/>
    <x v="5"/>
    <n v="3"/>
    <m/>
    <x v="56"/>
    <m/>
    <n v="16"/>
    <m/>
    <s v="PCS"/>
    <n v="50000"/>
    <n v="800000"/>
    <s v="Flexible connection"/>
    <s v="Sheet"/>
    <b v="0"/>
  </r>
  <r>
    <x v="7"/>
    <x v="5"/>
    <n v="4"/>
    <m/>
    <x v="57"/>
    <m/>
    <n v="16"/>
    <m/>
    <s v="PCS"/>
    <n v="15000"/>
    <n v="240000"/>
    <s v="Flexible connection"/>
    <s v="Sheet"/>
    <b v="0"/>
  </r>
  <r>
    <x v="7"/>
    <x v="5"/>
    <n v="5"/>
    <m/>
    <x v="58"/>
    <m/>
    <n v="32"/>
    <m/>
    <s v="PCS"/>
    <n v="5000"/>
    <n v="160000"/>
    <s v="Flexible connection"/>
    <s v="Sheet"/>
    <b v="0"/>
  </r>
  <r>
    <x v="7"/>
    <x v="5"/>
    <n v="6"/>
    <m/>
    <x v="59"/>
    <m/>
    <n v="16"/>
    <m/>
    <s v="PCS"/>
    <n v="5000"/>
    <n v="80000"/>
    <s v="Flexible connection"/>
    <s v="Sheet"/>
    <b v="0"/>
  </r>
  <r>
    <x v="7"/>
    <x v="5"/>
    <n v="7"/>
    <m/>
    <x v="32"/>
    <m/>
    <m/>
    <n v="2"/>
    <s v="h"/>
    <n v="13000000"/>
    <n v="26000000"/>
    <s v="Flexible connection"/>
    <s v="Sheet"/>
    <b v="0"/>
  </r>
  <r>
    <x v="7"/>
    <x v="5"/>
    <n v="8"/>
    <m/>
    <x v="35"/>
    <m/>
    <m/>
    <n v="0"/>
    <s v="%"/>
    <m/>
    <n v="0"/>
    <s v="Flexible connection"/>
    <s v="Sheet"/>
    <b v="0"/>
  </r>
  <r>
    <x v="7"/>
    <x v="6"/>
    <n v="1"/>
    <s v="مس"/>
    <x v="60"/>
    <m/>
    <n v="1"/>
    <n v="4"/>
    <s v="Kg"/>
    <n v="8500000"/>
    <n v="34000000"/>
    <s v="DISTRIBUTION BOARD"/>
    <s v="Sheet"/>
    <b v="0"/>
  </r>
  <r>
    <x v="7"/>
    <x v="6"/>
    <m/>
    <s v="قلع"/>
    <x v="10"/>
    <m/>
    <n v="0"/>
    <n v="4"/>
    <s v="Kg"/>
    <n v="3600000"/>
    <n v="14400000"/>
    <s v="DISTRIBUTION BOARD"/>
    <s v="Sheet"/>
    <b v="0"/>
  </r>
  <r>
    <x v="7"/>
    <x v="6"/>
    <n v="3"/>
    <m/>
    <x v="56"/>
    <m/>
    <n v="4"/>
    <m/>
    <s v="PCS"/>
    <n v="50000"/>
    <n v="200000"/>
    <s v="DISTRIBUTION BOARD"/>
    <s v="Sheet"/>
    <b v="0"/>
  </r>
  <r>
    <x v="7"/>
    <x v="6"/>
    <n v="4"/>
    <m/>
    <x v="57"/>
    <m/>
    <n v="4"/>
    <m/>
    <s v="PCS"/>
    <n v="15000"/>
    <n v="60000"/>
    <s v="DISTRIBUTION BOARD"/>
    <s v="Sheet"/>
    <b v="0"/>
  </r>
  <r>
    <x v="7"/>
    <x v="6"/>
    <n v="5"/>
    <m/>
    <x v="58"/>
    <m/>
    <n v="8"/>
    <m/>
    <s v="PCS"/>
    <n v="5000"/>
    <n v="40000"/>
    <s v="DISTRIBUTION BOARD"/>
    <s v="Sheet"/>
    <b v="0"/>
  </r>
  <r>
    <x v="7"/>
    <x v="6"/>
    <n v="6"/>
    <m/>
    <x v="59"/>
    <m/>
    <n v="4"/>
    <m/>
    <s v="PCS"/>
    <n v="5000"/>
    <n v="20000"/>
    <s v="DISTRIBUTION BOARD"/>
    <s v="Sheet"/>
    <b v="0"/>
  </r>
  <r>
    <x v="7"/>
    <x v="6"/>
    <n v="7"/>
    <m/>
    <x v="32"/>
    <m/>
    <m/>
    <n v="5"/>
    <s v="h"/>
    <n v="13000000"/>
    <n v="65000000"/>
    <s v="DISTRIBUTION BOARD"/>
    <s v="Sheet"/>
    <b v="0"/>
  </r>
  <r>
    <x v="7"/>
    <x v="6"/>
    <n v="8"/>
    <m/>
    <x v="35"/>
    <m/>
    <m/>
    <n v="0"/>
    <s v="%"/>
    <m/>
    <n v="0"/>
    <s v="DISTRIBUTION BOARD"/>
    <s v="Sheet"/>
    <b v="0"/>
  </r>
  <r>
    <x v="7"/>
    <x v="7"/>
    <n v="1"/>
    <s v="مس"/>
    <x v="61"/>
    <m/>
    <n v="1"/>
    <n v="4"/>
    <s v="Kg"/>
    <n v="8500000"/>
    <n v="34000000"/>
    <s v="Transformer connection"/>
    <s v="Sheet"/>
    <b v="0"/>
  </r>
  <r>
    <x v="7"/>
    <x v="7"/>
    <m/>
    <s v="قلع"/>
    <x v="10"/>
    <m/>
    <n v="0"/>
    <n v="4"/>
    <s v="Kg"/>
    <n v="3600000"/>
    <n v="14400000"/>
    <s v="Transformer connection"/>
    <s v="Sheet"/>
    <b v="0"/>
  </r>
  <r>
    <x v="7"/>
    <x v="7"/>
    <n v="3"/>
    <m/>
    <x v="56"/>
    <m/>
    <n v="16"/>
    <m/>
    <s v="PCS"/>
    <n v="50000"/>
    <n v="800000"/>
    <s v="Transformer connection"/>
    <s v="Sheet"/>
    <b v="0"/>
  </r>
  <r>
    <x v="7"/>
    <x v="7"/>
    <n v="4"/>
    <m/>
    <x v="57"/>
    <m/>
    <n v="16"/>
    <m/>
    <s v="PCS"/>
    <n v="15000"/>
    <n v="240000"/>
    <s v="Transformer connection"/>
    <s v="Sheet"/>
    <b v="0"/>
  </r>
  <r>
    <x v="7"/>
    <x v="7"/>
    <n v="5"/>
    <m/>
    <x v="58"/>
    <m/>
    <n v="32"/>
    <m/>
    <s v="PCS"/>
    <n v="5000"/>
    <n v="160000"/>
    <s v="Transformer connection"/>
    <s v="Sheet"/>
    <b v="0"/>
  </r>
  <r>
    <x v="7"/>
    <x v="7"/>
    <n v="6"/>
    <m/>
    <x v="59"/>
    <m/>
    <n v="16"/>
    <m/>
    <s v="PCS"/>
    <n v="5000"/>
    <n v="80000"/>
    <s v="Transformer connection"/>
    <s v="Sheet"/>
    <b v="0"/>
  </r>
  <r>
    <x v="7"/>
    <x v="7"/>
    <n v="7"/>
    <m/>
    <x v="32"/>
    <m/>
    <m/>
    <n v="5"/>
    <s v="h"/>
    <n v="13000000"/>
    <n v="65000000"/>
    <s v="Transformer connection"/>
    <s v="Sheet"/>
    <b v="0"/>
  </r>
  <r>
    <x v="7"/>
    <x v="7"/>
    <n v="8"/>
    <m/>
    <x v="35"/>
    <m/>
    <m/>
    <n v="0"/>
    <s v="%"/>
    <m/>
    <n v="0"/>
    <s v="Transformer connection"/>
    <s v="Sheet"/>
    <b v="0"/>
  </r>
  <r>
    <x v="7"/>
    <x v="8"/>
    <n v="1"/>
    <s v="آهن"/>
    <x v="62"/>
    <m/>
    <n v="1"/>
    <n v="25"/>
    <s v="Kg"/>
    <n v="5200000"/>
    <n v="130000000"/>
    <s v="Connection protection unit"/>
    <s v="Sheet"/>
    <b v="0"/>
  </r>
  <r>
    <x v="7"/>
    <x v="8"/>
    <m/>
    <s v="آهن"/>
    <x v="63"/>
    <m/>
    <n v="1"/>
    <m/>
    <s v="Kg"/>
    <m/>
    <n v="0"/>
    <s v="Connection protection unit"/>
    <s v="Sheet"/>
    <b v="0"/>
  </r>
  <r>
    <x v="7"/>
    <x v="8"/>
    <n v="3"/>
    <m/>
    <x v="38"/>
    <m/>
    <n v="32"/>
    <m/>
    <s v="PCS"/>
    <n v="10000"/>
    <n v="320000"/>
    <s v="Connection protection unit"/>
    <s v="Sheet"/>
    <b v="0"/>
  </r>
  <r>
    <x v="7"/>
    <x v="8"/>
    <n v="4"/>
    <m/>
    <x v="15"/>
    <m/>
    <n v="32"/>
    <m/>
    <s v="PCS"/>
    <n v="60000"/>
    <n v="1920000"/>
    <s v="Connection protection unit"/>
    <s v="Sheet"/>
    <b v="0"/>
  </r>
  <r>
    <x v="7"/>
    <x v="8"/>
    <n v="5"/>
    <m/>
    <x v="64"/>
    <m/>
    <n v="32"/>
    <m/>
    <s v="PCS"/>
    <n v="60000"/>
    <n v="1920000"/>
    <s v="Connection protection unit"/>
    <s v="Sheet"/>
    <b v="0"/>
  </r>
  <r>
    <x v="7"/>
    <x v="8"/>
    <n v="6"/>
    <m/>
    <x v="38"/>
    <m/>
    <n v="12"/>
    <m/>
    <s v="PCS"/>
    <n v="10000"/>
    <n v="120000"/>
    <s v="Connection protection unit"/>
    <s v="Sheet"/>
    <b v="0"/>
  </r>
  <r>
    <x v="7"/>
    <x v="8"/>
    <n v="7"/>
    <m/>
    <x v="65"/>
    <m/>
    <n v="12"/>
    <m/>
    <s v="PCS"/>
    <n v="10000"/>
    <n v="120000"/>
    <s v="Connection protection unit"/>
    <s v="Sheet"/>
    <b v="0"/>
  </r>
  <r>
    <x v="7"/>
    <x v="8"/>
    <n v="8"/>
    <m/>
    <x v="40"/>
    <m/>
    <n v="12"/>
    <m/>
    <s v="PCS"/>
    <n v="60000"/>
    <n v="720000"/>
    <s v="Connection protection unit"/>
    <s v="Sheet"/>
    <b v="0"/>
  </r>
  <r>
    <x v="7"/>
    <x v="8"/>
    <n v="9"/>
    <m/>
    <x v="66"/>
    <m/>
    <n v="32"/>
    <m/>
    <s v="PCS"/>
    <n v="10000"/>
    <n v="320000"/>
    <s v="Connection protection unit"/>
    <s v="Sheet"/>
    <b v="0"/>
  </r>
  <r>
    <x v="7"/>
    <x v="8"/>
    <n v="10"/>
    <m/>
    <x v="8"/>
    <m/>
    <n v="25"/>
    <m/>
    <s v="Kg"/>
    <n v="1430000"/>
    <n v="35750000"/>
    <s v="Connection protection unit"/>
    <s v="Sheet"/>
    <b v="0"/>
  </r>
  <r>
    <x v="7"/>
    <x v="8"/>
    <m/>
    <m/>
    <x v="30"/>
    <m/>
    <n v="1"/>
    <n v="6"/>
    <s v="m"/>
    <n v="460000"/>
    <n v="2760000"/>
    <s v="Connection protection unit"/>
    <s v="Sheet"/>
    <b v="0"/>
  </r>
  <r>
    <x v="7"/>
    <x v="8"/>
    <n v="11"/>
    <m/>
    <x v="32"/>
    <m/>
    <m/>
    <n v="5"/>
    <s v="h"/>
    <n v="13000000"/>
    <n v="65000000"/>
    <s v="Connection protection unit"/>
    <s v="Sheet"/>
    <b v="0"/>
  </r>
  <r>
    <x v="7"/>
    <x v="8"/>
    <n v="12"/>
    <m/>
    <x v="35"/>
    <m/>
    <m/>
    <n v="0"/>
    <s v="%"/>
    <m/>
    <n v="0"/>
    <s v="Connection protection unit"/>
    <s v="Sheet"/>
    <b v="0"/>
  </r>
  <r>
    <x v="7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7"/>
    <x v="9"/>
    <m/>
    <m/>
    <x v="68"/>
    <s v="200 X 100 X 3"/>
    <n v="2"/>
    <n v="0.94320000000000004"/>
    <s v="Kg"/>
    <n v="800000"/>
    <n v="754560"/>
    <s v="SPRINH HANGER"/>
    <s v="Sheet"/>
    <b v="0"/>
  </r>
  <r>
    <x v="7"/>
    <x v="9"/>
    <m/>
    <m/>
    <x v="69"/>
    <m/>
    <n v="2"/>
    <m/>
    <s v="PCS"/>
    <n v="5000000"/>
    <n v="10000000"/>
    <s v="SPRINH HANGER"/>
    <s v="Sheet"/>
    <b v="0"/>
  </r>
  <r>
    <x v="7"/>
    <x v="9"/>
    <n v="2"/>
    <m/>
    <x v="70"/>
    <n v="260"/>
    <n v="2"/>
    <n v="0.52"/>
    <s v="m"/>
    <n v="2000000"/>
    <n v="1040000"/>
    <s v="SPRINH HANGER"/>
    <s v="Sheet"/>
    <b v="0"/>
  </r>
  <r>
    <x v="7"/>
    <x v="9"/>
    <m/>
    <m/>
    <x v="71"/>
    <m/>
    <n v="10"/>
    <m/>
    <s v="PCS"/>
    <n v="200000"/>
    <n v="2000000"/>
    <s v="SPRINH HANGER"/>
    <s v="Sheet"/>
    <b v="0"/>
  </r>
  <r>
    <x v="7"/>
    <x v="9"/>
    <n v="7"/>
    <m/>
    <x v="72"/>
    <m/>
    <n v="4"/>
    <n v="4"/>
    <s v="PCS"/>
    <n v="300000"/>
    <n v="1200000"/>
    <s v="SPRINH HANGER"/>
    <s v="Sheet"/>
    <b v="0"/>
  </r>
  <r>
    <x v="7"/>
    <x v="9"/>
    <n v="8"/>
    <m/>
    <x v="58"/>
    <m/>
    <n v="10"/>
    <n v="10"/>
    <s v="PCS"/>
    <n v="30000"/>
    <n v="300000"/>
    <s v="SPRINH HANGER"/>
    <s v="Sheet"/>
    <b v="0"/>
  </r>
  <r>
    <x v="7"/>
    <x v="9"/>
    <n v="9"/>
    <m/>
    <x v="73"/>
    <m/>
    <n v="4"/>
    <n v="4"/>
    <s v="PCS"/>
    <n v="30000"/>
    <n v="120000"/>
    <s v="SPRINH HANGER"/>
    <s v="Sheet"/>
    <b v="0"/>
  </r>
  <r>
    <x v="7"/>
    <x v="9"/>
    <n v="12"/>
    <m/>
    <x v="46"/>
    <m/>
    <n v="4"/>
    <n v="4"/>
    <s v="PCS"/>
    <n v="30000"/>
    <n v="120000"/>
    <s v="SPRINH HANGER"/>
    <s v="Sheet"/>
    <b v="0"/>
  </r>
  <r>
    <x v="7"/>
    <x v="9"/>
    <n v="13"/>
    <m/>
    <x v="32"/>
    <m/>
    <m/>
    <n v="1"/>
    <s v="h"/>
    <n v="13000000"/>
    <n v="13000000"/>
    <s v="SPRINH HANGER"/>
    <s v="Sheet"/>
    <b v="0"/>
  </r>
  <r>
    <x v="7"/>
    <x v="9"/>
    <n v="14"/>
    <m/>
    <x v="35"/>
    <m/>
    <m/>
    <n v="0"/>
    <s v="%"/>
    <m/>
    <n v="0"/>
    <s v="SPRINH HANGER"/>
    <s v="Sheet"/>
    <b v="0"/>
  </r>
  <r>
    <x v="7"/>
    <x v="9"/>
    <m/>
    <m/>
    <x v="74"/>
    <n v="300"/>
    <n v="200"/>
    <n v="3"/>
    <n v="7.86"/>
    <m/>
    <n v="1.4148000000000001"/>
    <s v="SPRINH HANGER"/>
    <s v="Sheet"/>
    <b v="0"/>
  </r>
  <r>
    <x v="7"/>
    <x v="9"/>
    <m/>
    <m/>
    <x v="75"/>
    <n v="200"/>
    <n v="100"/>
    <n v="3"/>
    <n v="7.86"/>
    <m/>
    <n v="0.47160000000000002"/>
    <s v="SPRINH HANGER"/>
    <s v="Sheet"/>
    <b v="0"/>
  </r>
  <r>
    <x v="7"/>
    <x v="10"/>
    <n v="1"/>
    <s v="آهن"/>
    <x v="76"/>
    <m/>
    <n v="1"/>
    <n v="1.6485000000000001"/>
    <s v="Kg"/>
    <n v="700000"/>
    <n v="1153950"/>
    <s v="Suspension unit ceiling"/>
    <s v="Sheet"/>
    <b v="0"/>
  </r>
  <r>
    <x v="7"/>
    <x v="10"/>
    <n v="2"/>
    <s v="آهن"/>
    <x v="77"/>
    <m/>
    <n v="2"/>
    <m/>
    <s v="m"/>
    <n v="1200000"/>
    <n v="2400000"/>
    <s v="Suspension unit ceiling"/>
    <s v="Sheet"/>
    <b v="0"/>
  </r>
  <r>
    <x v="7"/>
    <x v="10"/>
    <n v="3"/>
    <m/>
    <x v="78"/>
    <m/>
    <n v="2"/>
    <m/>
    <s v="PCS"/>
    <n v="100000"/>
    <n v="200000"/>
    <s v="Suspension unit ceiling"/>
    <s v="Sheet"/>
    <b v="0"/>
  </r>
  <r>
    <x v="7"/>
    <x v="10"/>
    <n v="4"/>
    <m/>
    <x v="57"/>
    <m/>
    <n v="6"/>
    <m/>
    <s v="PCS"/>
    <n v="10000"/>
    <n v="60000"/>
    <s v="Suspension unit ceiling"/>
    <s v="Sheet"/>
    <b v="0"/>
  </r>
  <r>
    <x v="7"/>
    <x v="10"/>
    <n v="5"/>
    <m/>
    <x v="58"/>
    <m/>
    <n v="6"/>
    <m/>
    <s v="PCS"/>
    <n v="5000"/>
    <n v="30000"/>
    <s v="Suspension unit ceiling"/>
    <s v="Sheet"/>
    <b v="0"/>
  </r>
  <r>
    <x v="7"/>
    <x v="10"/>
    <n v="6"/>
    <m/>
    <x v="79"/>
    <m/>
    <n v="2"/>
    <m/>
    <s v="PCS"/>
    <n v="500000"/>
    <n v="1000000"/>
    <s v="Suspension unit ceiling"/>
    <s v="Sheet"/>
    <b v="0"/>
  </r>
  <r>
    <x v="7"/>
    <x v="10"/>
    <n v="7"/>
    <m/>
    <x v="80"/>
    <m/>
    <n v="2"/>
    <m/>
    <s v="PCS"/>
    <n v="10000"/>
    <n v="20000"/>
    <s v="Suspension unit ceiling"/>
    <s v="Sheet"/>
    <b v="0"/>
  </r>
  <r>
    <x v="7"/>
    <x v="10"/>
    <n v="8"/>
    <m/>
    <x v="65"/>
    <m/>
    <n v="2"/>
    <m/>
    <s v="PCS"/>
    <n v="5000"/>
    <n v="10000"/>
    <s v="Suspension unit ceiling"/>
    <s v="Sheet"/>
    <b v="0"/>
  </r>
  <r>
    <x v="7"/>
    <x v="10"/>
    <n v="9"/>
    <m/>
    <x v="40"/>
    <m/>
    <n v="2"/>
    <m/>
    <s v="PCS"/>
    <n v="60000"/>
    <n v="120000"/>
    <s v="Suspension unit ceiling"/>
    <s v="Sheet"/>
    <b v="0"/>
  </r>
  <r>
    <x v="7"/>
    <x v="10"/>
    <n v="10"/>
    <m/>
    <x v="32"/>
    <m/>
    <m/>
    <n v="3"/>
    <s v="h"/>
    <n v="13000000"/>
    <n v="39000000"/>
    <s v="Suspension unit ceiling"/>
    <s v="Sheet"/>
    <b v="0"/>
  </r>
  <r>
    <x v="7"/>
    <x v="10"/>
    <n v="11"/>
    <m/>
    <x v="35"/>
    <m/>
    <m/>
    <n v="0"/>
    <s v="%"/>
    <m/>
    <n v="0"/>
    <s v="Suspension unit ceiling"/>
    <s v="Sheet"/>
    <b v="0"/>
  </r>
  <r>
    <x v="7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7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7"/>
    <x v="11"/>
    <n v="7"/>
    <m/>
    <x v="13"/>
    <m/>
    <n v="2"/>
    <n v="2"/>
    <s v="PCS"/>
    <n v="50000"/>
    <n v="100000"/>
    <s v="Universal fixing unit"/>
    <s v="Sheet"/>
    <b v="0"/>
  </r>
  <r>
    <x v="7"/>
    <x v="11"/>
    <n v="8"/>
    <m/>
    <x v="64"/>
    <m/>
    <n v="4"/>
    <n v="4"/>
    <s v="PCS"/>
    <n v="30000"/>
    <n v="120000"/>
    <s v="Universal fixing unit"/>
    <s v="Sheet"/>
    <b v="0"/>
  </r>
  <r>
    <x v="7"/>
    <x v="11"/>
    <n v="9"/>
    <m/>
    <x v="82"/>
    <m/>
    <n v="1"/>
    <n v="1"/>
    <s v="PCS"/>
    <n v="30000"/>
    <n v="30000"/>
    <s v="Universal fixing unit"/>
    <s v="Sheet"/>
    <b v="0"/>
  </r>
  <r>
    <x v="7"/>
    <x v="11"/>
    <n v="13"/>
    <m/>
    <x v="32"/>
    <m/>
    <m/>
    <n v="1"/>
    <s v="h"/>
    <n v="13000000"/>
    <n v="13000000"/>
    <s v="Universal fixing unit"/>
    <s v="Sheet"/>
    <b v="0"/>
  </r>
  <r>
    <x v="7"/>
    <x v="11"/>
    <n v="14"/>
    <m/>
    <x v="35"/>
    <m/>
    <m/>
    <n v="0"/>
    <s v="%"/>
    <m/>
    <n v="0"/>
    <s v="Universal fixing unit"/>
    <s v="Sheet"/>
    <b v="0"/>
  </r>
  <r>
    <x v="7"/>
    <x v="11"/>
    <m/>
    <m/>
    <x v="74"/>
    <n v="300"/>
    <n v="100"/>
    <n v="2.5"/>
    <n v="7.86"/>
    <m/>
    <n v="0.58950000000000002"/>
    <s v="Universal fixing unit"/>
    <s v="Sheet"/>
    <b v="0"/>
  </r>
  <r>
    <x v="8"/>
    <x v="21"/>
    <n v="1"/>
    <s v="آلومینیوم"/>
    <x v="0"/>
    <n v="2735"/>
    <n v="2"/>
    <n v="7.6580000000000004"/>
    <s v="Kg"/>
    <n v="8500000"/>
    <n v="65092999.999999993"/>
    <s v="FEEDER-5000"/>
    <s v="Sheet"/>
    <b v="0"/>
  </r>
  <r>
    <x v="8"/>
    <x v="21"/>
    <n v="2"/>
    <m/>
    <x v="1"/>
    <n v="2735"/>
    <n v="1"/>
    <n v="3.8290000000000002"/>
    <s v="Kg"/>
    <n v="8500000"/>
    <n v="32546499.999999996"/>
    <s v="FEEDER-5000"/>
    <s v="Sheet"/>
    <b v="0"/>
  </r>
  <r>
    <x v="8"/>
    <x v="21"/>
    <n v="3"/>
    <m/>
    <x v="89"/>
    <n v="2703"/>
    <n v="6"/>
    <n v="42.166800000000002"/>
    <s v="Kg"/>
    <n v="8500000"/>
    <n v="358417800"/>
    <s v="FEEDER-5000"/>
    <s v="Sheet"/>
    <b v="0"/>
  </r>
  <r>
    <x v="8"/>
    <x v="21"/>
    <n v="4"/>
    <m/>
    <x v="3"/>
    <n v="120"/>
    <n v="4"/>
    <n v="0.48"/>
    <s v="Kg"/>
    <n v="8500000"/>
    <n v="4080000"/>
    <s v="FEEDER-5000"/>
    <s v="Sheet"/>
    <b v="0"/>
  </r>
  <r>
    <x v="8"/>
    <x v="21"/>
    <n v="5"/>
    <m/>
    <x v="4"/>
    <n v="180"/>
    <n v="4"/>
    <n v="3.516696"/>
    <s v="Kg"/>
    <n v="8500000"/>
    <n v="29891916"/>
    <s v="FEEDER-5000"/>
    <s v="Sheet"/>
    <b v="0"/>
  </r>
  <r>
    <x v="8"/>
    <x v="21"/>
    <n v="6"/>
    <m/>
    <x v="5"/>
    <s v="2970"/>
    <n v="12"/>
    <n v="101.61676799999999"/>
    <s v="Kg"/>
    <n v="8500000"/>
    <n v="863742528.00000012"/>
    <s v="FEEDER-5000"/>
    <s v="Sheet"/>
    <b v="0"/>
  </r>
  <r>
    <x v="8"/>
    <x v="21"/>
    <n v="7"/>
    <s v="عایق ها"/>
    <x v="6"/>
    <n v="0.13"/>
    <n v="13.68576"/>
    <n v="13.68576"/>
    <s v="M2"/>
    <n v="4275000"/>
    <n v="58506624"/>
    <s v="FEEDER-5000"/>
    <s v="Sheet"/>
    <b v="0"/>
  </r>
  <r>
    <x v="8"/>
    <x v="21"/>
    <n v="8"/>
    <m/>
    <x v="7"/>
    <n v="0.35"/>
    <n v="6.0217344000000006"/>
    <n v="6.0217344000000006"/>
    <s v="Kg"/>
    <n v="35750000"/>
    <n v="215277004.80000001"/>
    <s v="FEEDER-5000"/>
    <s v="Sheet"/>
    <b v="0"/>
  </r>
  <r>
    <x v="8"/>
    <x v="21"/>
    <n v="9"/>
    <m/>
    <x v="7"/>
    <n v="0.2"/>
    <n v="0"/>
    <n v="0"/>
    <s v="Kg"/>
    <n v="45760000"/>
    <n v="0"/>
    <s v="FEEDER-5000"/>
    <s v="Sheet"/>
    <b v="0"/>
  </r>
  <r>
    <x v="8"/>
    <x v="21"/>
    <n v="10"/>
    <s v="رنگ بدنه"/>
    <x v="8"/>
    <m/>
    <n v="53.653799999999997"/>
    <n v="53.653799999999997"/>
    <s v="Kg"/>
    <n v="1430000"/>
    <n v="76724934"/>
    <s v="FEEDER-5000"/>
    <s v="Sheet"/>
    <b v="0"/>
  </r>
  <r>
    <x v="8"/>
    <x v="21"/>
    <n v="11"/>
    <s v="قلع"/>
    <x v="9"/>
    <m/>
    <n v="24"/>
    <n v="24"/>
    <s v="Kg"/>
    <n v="3000000"/>
    <n v="72000000"/>
    <s v="FEEDER-5000"/>
    <s v="Sheet"/>
    <b v="0"/>
  </r>
  <r>
    <x v="8"/>
    <x v="21"/>
    <n v="12"/>
    <m/>
    <x v="10"/>
    <m/>
    <n v="101.61676799999999"/>
    <n v="101.61676799999999"/>
    <s v="PCS"/>
    <n v="3600000"/>
    <n v="365820364.80000001"/>
    <s v="FEEDER-5000"/>
    <s v="Sheet"/>
    <b v="0"/>
  </r>
  <r>
    <x v="8"/>
    <x v="21"/>
    <n v="13"/>
    <s v="چسب"/>
    <x v="11"/>
    <m/>
    <n v="35.64"/>
    <n v="35.64"/>
    <s v="PCS"/>
    <n v="3600000"/>
    <n v="128304000"/>
    <s v="FEEDER-5000"/>
    <s v="Sheet"/>
    <b v="0"/>
  </r>
  <r>
    <x v="8"/>
    <x v="21"/>
    <n v="14"/>
    <m/>
    <x v="12"/>
    <m/>
    <n v="0.6"/>
    <n v="0.6"/>
    <s v="PCS"/>
    <n v="5500000"/>
    <n v="3300000"/>
    <s v="FEEDER-5000"/>
    <s v="Sheet"/>
    <b v="0"/>
  </r>
  <r>
    <x v="8"/>
    <x v="21"/>
    <n v="15"/>
    <s v="پیچ و مهره"/>
    <x v="13"/>
    <m/>
    <s v="80"/>
    <s v="80"/>
    <s v="PCS"/>
    <n v="200000"/>
    <n v="16000000"/>
    <s v="FEEDER-5000"/>
    <s v="Sheet"/>
    <b v="0"/>
  </r>
  <r>
    <x v="8"/>
    <x v="21"/>
    <n v="16"/>
    <m/>
    <x v="14"/>
    <m/>
    <n v="8"/>
    <n v="8"/>
    <s v="PCS"/>
    <n v="200000"/>
    <n v="1600000"/>
    <s v="FEEDER-5000"/>
    <s v="Sheet"/>
    <b v="0"/>
  </r>
  <r>
    <x v="8"/>
    <x v="21"/>
    <n v="17"/>
    <m/>
    <x v="15"/>
    <m/>
    <n v="88"/>
    <n v="88"/>
    <s v="PCS"/>
    <n v="200000"/>
    <n v="17600000"/>
    <s v="FEEDER-5000"/>
    <s v="Sheet"/>
    <b v="0"/>
  </r>
  <r>
    <x v="8"/>
    <x v="21"/>
    <n v="18"/>
    <m/>
    <x v="16"/>
    <m/>
    <n v="16"/>
    <n v="16"/>
    <s v="PCS"/>
    <n v="400000"/>
    <n v="6400000"/>
    <s v="FEEDER-5000"/>
    <s v="Sheet"/>
    <b v="0"/>
  </r>
  <r>
    <x v="8"/>
    <x v="21"/>
    <n v="19"/>
    <m/>
    <x v="17"/>
    <m/>
    <n v="16"/>
    <n v="16"/>
    <s v="PCS"/>
    <n v="120000"/>
    <n v="1920000"/>
    <s v="FEEDER-5000"/>
    <s v="Sheet"/>
    <b v="0"/>
  </r>
  <r>
    <x v="8"/>
    <x v="21"/>
    <n v="20"/>
    <m/>
    <x v="18"/>
    <m/>
    <n v="24"/>
    <n v="24"/>
    <s v="PCS"/>
    <n v="400000"/>
    <n v="9600000"/>
    <s v="FEEDER-5000"/>
    <s v="Sheet"/>
    <b v="0"/>
  </r>
  <r>
    <x v="8"/>
    <x v="21"/>
    <n v="21"/>
    <s v="مس"/>
    <x v="19"/>
    <n v="132"/>
    <n v="24"/>
    <n v="14.987427840000002"/>
    <s v="Kg"/>
    <n v="35000000"/>
    <n v="524559974.4000001"/>
    <s v="FEEDER-5000"/>
    <s v="Sheet"/>
    <b v="0"/>
  </r>
  <r>
    <x v="8"/>
    <x v="21"/>
    <n v="22"/>
    <s v="آهن"/>
    <x v="20"/>
    <s v="115 X 185"/>
    <n v="2"/>
    <n v="3.8"/>
    <s v="Kg"/>
    <n v="5200000"/>
    <n v="19760000"/>
    <s v="FEEDER-5000"/>
    <s v="Sheet"/>
    <b v="0"/>
  </r>
  <r>
    <x v="8"/>
    <x v="21"/>
    <n v="23"/>
    <m/>
    <x v="21"/>
    <s v="425 X 265"/>
    <n v="2"/>
    <n v="1.2"/>
    <s v="Kg"/>
    <n v="5200000"/>
    <n v="6240000"/>
    <s v="FEEDER-5000"/>
    <s v="Sheet"/>
    <b v="0"/>
  </r>
  <r>
    <x v="8"/>
    <x v="21"/>
    <n v="24"/>
    <s v="الومینیوم"/>
    <x v="22"/>
    <s v="118*157"/>
    <n v="2"/>
    <n v="2.1303989999999997"/>
    <s v="Kg"/>
    <n v="8500000"/>
    <n v="18108391.499999996"/>
    <s v="FEEDER-5000"/>
    <s v="Sheet"/>
    <b v="0"/>
  </r>
  <r>
    <x v="8"/>
    <x v="21"/>
    <n v="25"/>
    <s v="پلی امید"/>
    <x v="23"/>
    <n v="0.18"/>
    <n v="6"/>
    <n v="6"/>
    <s v="PCS"/>
    <n v="1014000"/>
    <n v="6084000"/>
    <s v="FEEDER-5000"/>
    <s v="Sheet"/>
    <b v="0"/>
  </r>
  <r>
    <x v="8"/>
    <x v="21"/>
    <n v="26"/>
    <m/>
    <x v="24"/>
    <n v="0.2"/>
    <n v="9"/>
    <n v="9"/>
    <s v="PCS"/>
    <n v="1014000"/>
    <n v="9126000"/>
    <s v="FEEDER-5000"/>
    <s v="Sheet"/>
    <b v="0"/>
  </r>
  <r>
    <x v="8"/>
    <x v="21"/>
    <n v="27"/>
    <s v="ABS"/>
    <x v="25"/>
    <s v="80 mm"/>
    <n v="3"/>
    <n v="3"/>
    <s v="PCS"/>
    <n v="100000"/>
    <n v="300000"/>
    <s v="FEEDER-5000"/>
    <s v="Sheet"/>
    <b v="0"/>
  </r>
  <r>
    <x v="8"/>
    <x v="21"/>
    <n v="28"/>
    <s v="پیچ و مهره"/>
    <x v="26"/>
    <m/>
    <n v="6"/>
    <n v="6"/>
    <s v="PCS"/>
    <n v="2400000"/>
    <n v="14400000"/>
    <s v="FEEDER-5000"/>
    <s v="Sheet"/>
    <b v="0"/>
  </r>
  <r>
    <x v="8"/>
    <x v="21"/>
    <n v="29"/>
    <m/>
    <x v="27"/>
    <m/>
    <n v="6"/>
    <n v="6"/>
    <s v="PCS"/>
    <n v="2400000"/>
    <n v="14400000"/>
    <s v="FEEDER-5000"/>
    <s v="Sheet"/>
    <b v="0"/>
  </r>
  <r>
    <x v="8"/>
    <x v="21"/>
    <n v="30"/>
    <m/>
    <x v="28"/>
    <m/>
    <n v="6"/>
    <n v="6"/>
    <s v="PCS"/>
    <n v="3000000"/>
    <n v="18000000"/>
    <s v="FEEDER-5000"/>
    <s v="Sheet"/>
    <b v="0"/>
  </r>
  <r>
    <x v="8"/>
    <x v="21"/>
    <n v="31"/>
    <s v="نوار IP"/>
    <x v="29"/>
    <m/>
    <n v="2"/>
    <n v="2"/>
    <s v="PCS"/>
    <n v="1300000"/>
    <n v="2600000"/>
    <s v="FEEDER-5000"/>
    <s v="Sheet"/>
    <b v="0"/>
  </r>
  <r>
    <x v="8"/>
    <x v="21"/>
    <n v="32"/>
    <s v="نوار IP"/>
    <x v="30"/>
    <m/>
    <n v="12"/>
    <n v="32.436"/>
    <s v="m"/>
    <n v="460000"/>
    <n v="14920560"/>
    <s v="FEEDER-5000"/>
    <s v="Sheet"/>
    <b v="0"/>
  </r>
  <r>
    <x v="8"/>
    <x v="21"/>
    <n v="33"/>
    <s v="ترموفیت"/>
    <x v="31"/>
    <n v="50"/>
    <n v="24"/>
    <n v="2.4"/>
    <s v="m "/>
    <n v="12655280.000000002"/>
    <n v="30372672.000000004"/>
    <s v="FEEDER-5000"/>
    <s v="Sheet"/>
    <b v="0"/>
  </r>
  <r>
    <x v="8"/>
    <x v="21"/>
    <n v="28"/>
    <m/>
    <x v="32"/>
    <m/>
    <m/>
    <n v="12"/>
    <s v="h"/>
    <n v="13000000"/>
    <n v="156000000"/>
    <s v="FEEDER-5000"/>
    <s v="Sheet"/>
    <b v="0"/>
  </r>
  <r>
    <x v="8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8"/>
    <x v="1"/>
    <n v="2"/>
    <m/>
    <x v="1"/>
    <n v="0.76800000000000002"/>
    <n v="1"/>
    <n v="1.0751999999999999"/>
    <s v="Kg"/>
    <n v="8500000"/>
    <n v="9139200"/>
    <s v="Vertical elbow"/>
    <s v="Sheet"/>
    <b v="0"/>
  </r>
  <r>
    <x v="8"/>
    <x v="1"/>
    <n v="3"/>
    <m/>
    <x v="89"/>
    <n v="0.70299999999999996"/>
    <n v="6"/>
    <n v="10.966799999999999"/>
    <s v="Kg"/>
    <n v="8500000"/>
    <n v="93217800"/>
    <s v="Vertical elbow"/>
    <s v="Sheet"/>
    <b v="0"/>
  </r>
  <r>
    <x v="8"/>
    <x v="1"/>
    <n v="4"/>
    <m/>
    <x v="3"/>
    <n v="120"/>
    <n v="4"/>
    <n v="0.48"/>
    <s v="Kg"/>
    <n v="8500000"/>
    <n v="4080000"/>
    <s v="Vertical elbow"/>
    <s v="Sheet"/>
    <b v="0"/>
  </r>
  <r>
    <x v="8"/>
    <x v="1"/>
    <n v="5"/>
    <m/>
    <x v="4"/>
    <n v="180"/>
    <n v="4"/>
    <n v="3.516696"/>
    <s v="Kg"/>
    <n v="8500000"/>
    <n v="29891916"/>
    <s v="Vertical elbow"/>
    <s v="Sheet"/>
    <b v="0"/>
  </r>
  <r>
    <x v="8"/>
    <x v="1"/>
    <n v="6"/>
    <m/>
    <x v="5"/>
    <n v="0.96299999999999997"/>
    <n v="12"/>
    <n v="32.948467199999996"/>
    <s v="Kg"/>
    <n v="8500000"/>
    <n v="280061971.19999999"/>
    <s v="Vertical elbow"/>
    <s v="Sheet"/>
    <b v="0"/>
  </r>
  <r>
    <x v="8"/>
    <x v="1"/>
    <n v="7"/>
    <s v="عایق ها"/>
    <x v="6"/>
    <n v="0.13"/>
    <n v="4.4375039999999997"/>
    <n v="4.4375039999999997"/>
    <s v="M2"/>
    <n v="4275000"/>
    <n v="18970329.600000001"/>
    <s v="Vertical elbow"/>
    <s v="Sheet"/>
    <b v="0"/>
  </r>
  <r>
    <x v="8"/>
    <x v="1"/>
    <n v="8"/>
    <m/>
    <x v="7"/>
    <n v="0.35"/>
    <n v="0"/>
    <n v="0"/>
    <s v="Kg"/>
    <n v="35750000"/>
    <n v="0"/>
    <s v="Vertical elbow"/>
    <s v="Sheet"/>
    <b v="0"/>
  </r>
  <r>
    <x v="8"/>
    <x v="1"/>
    <n v="9"/>
    <m/>
    <x v="7"/>
    <n v="0.2"/>
    <n v="2.2187519999999998"/>
    <n v="2.2187519999999998"/>
    <s v="Kg"/>
    <n v="45760000"/>
    <n v="101530091.52"/>
    <s v="Vertical elbow"/>
    <s v="Sheet"/>
    <b v="0"/>
  </r>
  <r>
    <x v="8"/>
    <x v="1"/>
    <n v="10"/>
    <s v="رنگ بدنه"/>
    <x v="8"/>
    <m/>
    <n v="14.192399999999999"/>
    <n v="14.192399999999999"/>
    <s v="PCS"/>
    <n v="1430000"/>
    <n v="20295132"/>
    <s v="Vertical elbow"/>
    <s v="Sheet"/>
    <b v="0"/>
  </r>
  <r>
    <x v="8"/>
    <x v="1"/>
    <n v="11"/>
    <s v="قلع"/>
    <x v="9"/>
    <m/>
    <n v="24"/>
    <n v="24"/>
    <s v="Kg"/>
    <n v="3000000"/>
    <n v="72000000"/>
    <s v="Vertical elbow"/>
    <s v="Sheet"/>
    <b v="0"/>
  </r>
  <r>
    <x v="8"/>
    <x v="1"/>
    <n v="12"/>
    <m/>
    <x v="10"/>
    <m/>
    <n v="32.948467199999996"/>
    <n v="32.948467199999996"/>
    <s v="PCS"/>
    <n v="3600000"/>
    <n v="118614481.92"/>
    <s v="Vertical elbow"/>
    <s v="Sheet"/>
    <b v="0"/>
  </r>
  <r>
    <x v="8"/>
    <x v="1"/>
    <n v="13"/>
    <s v="چسب"/>
    <x v="11"/>
    <m/>
    <n v="11.555999999999999"/>
    <n v="11.555999999999999"/>
    <s v="PCS"/>
    <n v="3600000"/>
    <n v="41601600"/>
    <s v="Vertical elbow"/>
    <s v="Sheet"/>
    <b v="0"/>
  </r>
  <r>
    <x v="8"/>
    <x v="1"/>
    <n v="14"/>
    <m/>
    <x v="12"/>
    <m/>
    <n v="0.6"/>
    <n v="0.6"/>
    <s v="PCS"/>
    <n v="5500000"/>
    <n v="3300000"/>
    <s v="Vertical elbow"/>
    <s v="Sheet"/>
    <b v="0"/>
  </r>
  <r>
    <x v="8"/>
    <x v="1"/>
    <n v="15"/>
    <s v="پیچ و مهره"/>
    <x v="13"/>
    <m/>
    <n v="20"/>
    <n v="20"/>
    <s v="PCS"/>
    <n v="200000"/>
    <n v="4000000"/>
    <s v="Vertical elbow"/>
    <s v="Sheet"/>
    <b v="0"/>
  </r>
  <r>
    <x v="8"/>
    <x v="1"/>
    <n v="16"/>
    <m/>
    <x v="14"/>
    <m/>
    <n v="8"/>
    <n v="8"/>
    <s v="PCS"/>
    <n v="200000"/>
    <n v="1600000"/>
    <s v="Vertical elbow"/>
    <s v="Sheet"/>
    <b v="0"/>
  </r>
  <r>
    <x v="8"/>
    <x v="1"/>
    <n v="17"/>
    <m/>
    <x v="15"/>
    <m/>
    <n v="28"/>
    <n v="28"/>
    <s v="PCS"/>
    <n v="200000"/>
    <n v="5600000"/>
    <s v="Vertical elbow"/>
    <s v="Sheet"/>
    <b v="0"/>
  </r>
  <r>
    <x v="8"/>
    <x v="1"/>
    <n v="18"/>
    <m/>
    <x v="16"/>
    <m/>
    <n v="16"/>
    <n v="16"/>
    <s v="PCS"/>
    <n v="400000"/>
    <n v="6400000"/>
    <s v="Vertical elbow"/>
    <s v="Sheet"/>
    <b v="0"/>
  </r>
  <r>
    <x v="8"/>
    <x v="1"/>
    <n v="19"/>
    <m/>
    <x v="17"/>
    <m/>
    <n v="16"/>
    <n v="16"/>
    <s v="PCS"/>
    <n v="120000"/>
    <n v="1920000"/>
    <s v="Vertical elbow"/>
    <s v="Sheet"/>
    <b v="0"/>
  </r>
  <r>
    <x v="8"/>
    <x v="1"/>
    <n v="20"/>
    <m/>
    <x v="18"/>
    <m/>
    <n v="24"/>
    <n v="24"/>
    <s v="PCS"/>
    <n v="400000"/>
    <n v="9600000"/>
    <s v="Vertical elbow"/>
    <s v="Sheet"/>
    <b v="0"/>
  </r>
  <r>
    <x v="8"/>
    <x v="1"/>
    <n v="21"/>
    <s v="مس"/>
    <x v="19"/>
    <n v="132"/>
    <n v="24"/>
    <n v="14.987427840000002"/>
    <s v="Kg"/>
    <n v="35000000"/>
    <n v="524559974.4000001"/>
    <s v="Vertical elbow"/>
    <s v="Sheet"/>
    <b v="0"/>
  </r>
  <r>
    <x v="8"/>
    <x v="1"/>
    <n v="22"/>
    <s v="آهن"/>
    <x v="20"/>
    <s v="115 X 185"/>
    <n v="2"/>
    <n v="3.8"/>
    <s v="Kg"/>
    <n v="5200000"/>
    <n v="19760000"/>
    <s v="Vertical elbow"/>
    <s v="Sheet"/>
    <b v="0"/>
  </r>
  <r>
    <x v="8"/>
    <x v="1"/>
    <n v="23"/>
    <m/>
    <x v="21"/>
    <s v="425 X 265"/>
    <n v="2"/>
    <n v="1.2"/>
    <s v="Kg"/>
    <n v="5200000"/>
    <n v="6240000"/>
    <s v="Vertical elbow"/>
    <s v="Sheet"/>
    <b v="0"/>
  </r>
  <r>
    <x v="8"/>
    <x v="1"/>
    <n v="24"/>
    <s v="الومینیوم"/>
    <x v="22"/>
    <s v="163*157"/>
    <n v="2"/>
    <n v="2.1303989999999997"/>
    <s v="Kg"/>
    <n v="8500000"/>
    <n v="18108391.499999996"/>
    <s v="Vertical elbow"/>
    <s v="Sheet"/>
    <b v="0"/>
  </r>
  <r>
    <x v="8"/>
    <x v="1"/>
    <n v="25"/>
    <s v="پلی امید"/>
    <x v="23"/>
    <n v="0.18"/>
    <n v="6"/>
    <n v="6"/>
    <s v="PCS"/>
    <n v="1014000"/>
    <n v="6084000"/>
    <s v="Vertical elbow"/>
    <s v="Sheet"/>
    <b v="0"/>
  </r>
  <r>
    <x v="8"/>
    <x v="1"/>
    <n v="26"/>
    <m/>
    <x v="24"/>
    <n v="0.2"/>
    <n v="9"/>
    <n v="9"/>
    <s v="PCS"/>
    <n v="1014000"/>
    <n v="9126000"/>
    <s v="Vertical elbow"/>
    <s v="Sheet"/>
    <b v="0"/>
  </r>
  <r>
    <x v="8"/>
    <x v="1"/>
    <n v="27"/>
    <s v="ABS"/>
    <x v="25"/>
    <s v="80 mm"/>
    <n v="3"/>
    <n v="3"/>
    <s v="PCS"/>
    <n v="100000"/>
    <n v="300000"/>
    <s v="Vertical elbow"/>
    <s v="Sheet"/>
    <b v="0"/>
  </r>
  <r>
    <x v="8"/>
    <x v="1"/>
    <n v="28"/>
    <s v="پیچ و مهره"/>
    <x v="26"/>
    <m/>
    <n v="6"/>
    <n v="6"/>
    <s v="PCS"/>
    <n v="2400000"/>
    <n v="14400000"/>
    <s v="Vertical elbow"/>
    <s v="Sheet"/>
    <b v="0"/>
  </r>
  <r>
    <x v="8"/>
    <x v="1"/>
    <n v="29"/>
    <m/>
    <x v="27"/>
    <m/>
    <n v="6"/>
    <n v="6"/>
    <s v="PCS"/>
    <n v="2400000"/>
    <n v="14400000"/>
    <s v="Vertical elbow"/>
    <s v="Sheet"/>
    <b v="0"/>
  </r>
  <r>
    <x v="8"/>
    <x v="1"/>
    <n v="30"/>
    <m/>
    <x v="28"/>
    <m/>
    <n v="6"/>
    <n v="6"/>
    <s v="PCS"/>
    <n v="3000000"/>
    <n v="18000000"/>
    <s v="Vertical elbow"/>
    <s v="Sheet"/>
    <b v="0"/>
  </r>
  <r>
    <x v="8"/>
    <x v="1"/>
    <n v="31"/>
    <s v="جوش"/>
    <x v="33"/>
    <m/>
    <n v="1"/>
    <n v="6"/>
    <s v="PCS"/>
    <n v="30000000"/>
    <n v="180000000"/>
    <s v="Vertical elbow"/>
    <s v="Sheet"/>
    <b v="0"/>
  </r>
  <r>
    <x v="8"/>
    <x v="1"/>
    <n v="32"/>
    <m/>
    <x v="34"/>
    <m/>
    <n v="1"/>
    <n v="12"/>
    <m/>
    <n v="19000000"/>
    <n v="228000000"/>
    <s v="Vertical elbow"/>
    <s v="Sheet"/>
    <b v="0"/>
  </r>
  <r>
    <x v="8"/>
    <x v="1"/>
    <n v="33"/>
    <s v="نوار IP"/>
    <x v="29"/>
    <m/>
    <n v="2"/>
    <n v="2"/>
    <s v="PCS"/>
    <n v="1300000"/>
    <n v="2600000"/>
    <s v="Vertical elbow"/>
    <s v="Sheet"/>
    <b v="0"/>
  </r>
  <r>
    <x v="8"/>
    <x v="1"/>
    <n v="34"/>
    <s v="نوار IP"/>
    <x v="30"/>
    <m/>
    <n v="12"/>
    <n v="8.4359999999999999"/>
    <s v="m"/>
    <n v="460000"/>
    <n v="3880560"/>
    <s v="Vertical elbow"/>
    <s v="Sheet"/>
    <b v="0"/>
  </r>
  <r>
    <x v="8"/>
    <x v="1"/>
    <n v="35"/>
    <s v="ترموفیت"/>
    <x v="31"/>
    <n v="50"/>
    <n v="24"/>
    <n v="2.4"/>
    <s v="m "/>
    <n v="12655280.000000002"/>
    <n v="30372672.000000004"/>
    <s v="Vertical elbow"/>
    <s v="Sheet"/>
    <b v="0"/>
  </r>
  <r>
    <x v="8"/>
    <x v="1"/>
    <n v="28"/>
    <m/>
    <x v="32"/>
    <m/>
    <m/>
    <n v="12"/>
    <s v="h"/>
    <n v="13000000"/>
    <n v="156000000"/>
    <s v="Vertical elbow"/>
    <s v="Sheet"/>
    <b v="0"/>
  </r>
  <r>
    <x v="8"/>
    <x v="1"/>
    <n v="29"/>
    <m/>
    <x v="35"/>
    <m/>
    <m/>
    <n v="0"/>
    <s v="%"/>
    <m/>
    <n v="0"/>
    <s v="Vertical elbow"/>
    <s v="Sheet"/>
    <b v="0"/>
  </r>
  <r>
    <x v="8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8"/>
    <x v="2"/>
    <n v="2"/>
    <m/>
    <x v="1"/>
    <n v="0.33500000000000002"/>
    <n v="1"/>
    <n v="0.46899999999999997"/>
    <s v="Kg"/>
    <n v="8500000"/>
    <n v="3986499.9999999991"/>
    <s v="Horizontal elbow"/>
    <s v="Sheet"/>
    <b v="0"/>
  </r>
  <r>
    <x v="8"/>
    <x v="2"/>
    <n v="3"/>
    <m/>
    <x v="89"/>
    <n v="0.33500000000000002"/>
    <n v="6"/>
    <n v="5.2260000000000009"/>
    <s v="Kg"/>
    <n v="8500000"/>
    <n v="44421000.000000007"/>
    <s v="Horizontal elbow"/>
    <s v="Sheet"/>
    <b v="0"/>
  </r>
  <r>
    <x v="8"/>
    <x v="2"/>
    <n v="4"/>
    <m/>
    <x v="3"/>
    <n v="120"/>
    <n v="4"/>
    <n v="0.48"/>
    <s v="Kg"/>
    <n v="8500000"/>
    <n v="4080000"/>
    <s v="Horizontal elbow"/>
    <s v="Sheet"/>
    <b v="0"/>
  </r>
  <r>
    <x v="8"/>
    <x v="2"/>
    <n v="5"/>
    <m/>
    <x v="4"/>
    <n v="180"/>
    <n v="4"/>
    <n v="3.516696"/>
    <s v="Kg"/>
    <n v="8500000"/>
    <n v="29891916"/>
    <s v="Horizontal elbow"/>
    <s v="Sheet"/>
    <b v="0"/>
  </r>
  <r>
    <x v="8"/>
    <x v="2"/>
    <n v="6"/>
    <m/>
    <x v="5"/>
    <n v="0.55800000000000005"/>
    <n v="12"/>
    <n v="19.09163520000001"/>
    <s v="Kg"/>
    <n v="8500000"/>
    <n v="162278899.20000005"/>
    <s v="Horizontal elbow"/>
    <s v="Sheet"/>
    <b v="0"/>
  </r>
  <r>
    <x v="8"/>
    <x v="2"/>
    <n v="7"/>
    <s v="عایق ها"/>
    <x v="6"/>
    <n v="0.13"/>
    <n v="2.5712640000000002"/>
    <n v="2.5712640000000002"/>
    <s v="M2"/>
    <n v="4275000"/>
    <n v="10992153.6"/>
    <s v="Horizontal elbow"/>
    <s v="Sheet"/>
    <b v="0"/>
  </r>
  <r>
    <x v="8"/>
    <x v="2"/>
    <n v="8"/>
    <m/>
    <x v="7"/>
    <n v="0.35"/>
    <n v="0"/>
    <n v="0"/>
    <s v="Kg"/>
    <n v="35750000"/>
    <n v="0"/>
    <s v="Horizontal elbow"/>
    <s v="Sheet"/>
    <b v="0"/>
  </r>
  <r>
    <x v="8"/>
    <x v="2"/>
    <n v="9"/>
    <m/>
    <x v="7"/>
    <n v="0.2"/>
    <n v="1.2856320000000001"/>
    <n v="1.2856320000000001"/>
    <s v="Kg"/>
    <n v="45760000"/>
    <n v="58830520.320000008"/>
    <s v="Horizontal elbow"/>
    <s v="Sheet"/>
    <b v="0"/>
  </r>
  <r>
    <x v="8"/>
    <x v="2"/>
    <n v="10"/>
    <s v="رنگ بدنه"/>
    <x v="8"/>
    <m/>
    <n v="6.6330000000000009"/>
    <n v="6.6330000000000009"/>
    <s v="PCS"/>
    <n v="1430000"/>
    <n v="9485190.0000000019"/>
    <s v="Horizontal elbow"/>
    <s v="Sheet"/>
    <b v="0"/>
  </r>
  <r>
    <x v="8"/>
    <x v="2"/>
    <n v="11"/>
    <s v="قلع"/>
    <x v="9"/>
    <m/>
    <n v="24"/>
    <n v="24"/>
    <s v="Kg"/>
    <n v="3000000"/>
    <n v="72000000"/>
    <s v="Horizontal elbow"/>
    <s v="Sheet"/>
    <b v="0"/>
  </r>
  <r>
    <x v="8"/>
    <x v="2"/>
    <n v="12"/>
    <m/>
    <x v="10"/>
    <m/>
    <n v="19.09163520000001"/>
    <n v="19.09163520000001"/>
    <s v="PCS"/>
    <n v="3600000"/>
    <n v="68729886.720000029"/>
    <s v="Horizontal elbow"/>
    <s v="Sheet"/>
    <b v="0"/>
  </r>
  <r>
    <x v="8"/>
    <x v="2"/>
    <n v="13"/>
    <s v="چسب"/>
    <x v="11"/>
    <m/>
    <n v="6.6960000000000006"/>
    <n v="6.6960000000000006"/>
    <s v="PCS"/>
    <n v="3600000"/>
    <n v="24105600.000000004"/>
    <s v="Horizontal elbow"/>
    <s v="Sheet"/>
    <b v="0"/>
  </r>
  <r>
    <x v="8"/>
    <x v="2"/>
    <n v="14"/>
    <m/>
    <x v="12"/>
    <m/>
    <n v="0.6"/>
    <n v="0.6"/>
    <s v="PCS"/>
    <n v="5500000"/>
    <n v="3300000"/>
    <s v="Horizontal elbow"/>
    <s v="Sheet"/>
    <b v="0"/>
  </r>
  <r>
    <x v="8"/>
    <x v="2"/>
    <n v="15"/>
    <s v="پیچ و مهره"/>
    <x v="13"/>
    <m/>
    <n v="20"/>
    <n v="20"/>
    <s v="PCS"/>
    <n v="200000"/>
    <n v="4000000"/>
    <s v="Horizontal elbow"/>
    <s v="Sheet"/>
    <b v="0"/>
  </r>
  <r>
    <x v="8"/>
    <x v="2"/>
    <n v="16"/>
    <m/>
    <x v="14"/>
    <m/>
    <n v="8"/>
    <n v="8"/>
    <s v="PCS"/>
    <n v="200000"/>
    <n v="1600000"/>
    <s v="Horizontal elbow"/>
    <s v="Sheet"/>
    <b v="0"/>
  </r>
  <r>
    <x v="8"/>
    <x v="2"/>
    <n v="17"/>
    <m/>
    <x v="15"/>
    <m/>
    <n v="16"/>
    <n v="16"/>
    <s v="PCS"/>
    <n v="200000"/>
    <n v="3200000"/>
    <s v="Horizontal elbow"/>
    <s v="Sheet"/>
    <b v="0"/>
  </r>
  <r>
    <x v="8"/>
    <x v="2"/>
    <n v="18"/>
    <m/>
    <x v="16"/>
    <m/>
    <n v="16"/>
    <n v="16"/>
    <s v="PCS"/>
    <n v="400000"/>
    <n v="6400000"/>
    <s v="Horizontal elbow"/>
    <s v="Sheet"/>
    <b v="0"/>
  </r>
  <r>
    <x v="8"/>
    <x v="2"/>
    <n v="19"/>
    <m/>
    <x v="17"/>
    <m/>
    <n v="16"/>
    <n v="16"/>
    <s v="PCS"/>
    <n v="120000"/>
    <n v="1920000"/>
    <s v="Horizontal elbow"/>
    <s v="Sheet"/>
    <b v="0"/>
  </r>
  <r>
    <x v="8"/>
    <x v="2"/>
    <n v="20"/>
    <m/>
    <x v="18"/>
    <m/>
    <n v="24"/>
    <n v="24"/>
    <s v="PCS"/>
    <n v="400000"/>
    <n v="9600000"/>
    <s v="Horizontal elbow"/>
    <s v="Sheet"/>
    <b v="0"/>
  </r>
  <r>
    <x v="8"/>
    <x v="2"/>
    <n v="21"/>
    <s v="مس"/>
    <x v="19"/>
    <n v="132"/>
    <n v="24"/>
    <n v="14.987427840000002"/>
    <s v="Kg"/>
    <n v="35000000"/>
    <n v="524559974.4000001"/>
    <s v="Horizontal elbow"/>
    <s v="Sheet"/>
    <b v="0"/>
  </r>
  <r>
    <x v="8"/>
    <x v="2"/>
    <n v="22"/>
    <s v="آهن"/>
    <x v="20"/>
    <s v="115 X 185"/>
    <n v="2"/>
    <n v="3.8"/>
    <s v="Kg"/>
    <n v="5200000"/>
    <n v="19760000"/>
    <s v="Horizontal elbow"/>
    <s v="Sheet"/>
    <b v="0"/>
  </r>
  <r>
    <x v="8"/>
    <x v="2"/>
    <n v="23"/>
    <m/>
    <x v="21"/>
    <s v="425 X 265"/>
    <n v="2"/>
    <n v="1.2"/>
    <s v="Kg"/>
    <n v="5200000"/>
    <n v="6240000"/>
    <s v="Horizontal elbow"/>
    <s v="Sheet"/>
    <b v="0"/>
  </r>
  <r>
    <x v="8"/>
    <x v="2"/>
    <n v="24"/>
    <s v="الومینیوم"/>
    <x v="22"/>
    <s v="163*157"/>
    <n v="2"/>
    <n v="2.1303989999999997"/>
    <s v="Kg"/>
    <n v="8500000"/>
    <n v="18108391.499999996"/>
    <s v="Horizontal elbow"/>
    <s v="Sheet"/>
    <b v="0"/>
  </r>
  <r>
    <x v="8"/>
    <x v="2"/>
    <n v="25"/>
    <s v="پلی امید"/>
    <x v="23"/>
    <n v="0.18"/>
    <n v="6"/>
    <n v="6"/>
    <s v="PCS"/>
    <n v="1014000"/>
    <n v="6084000"/>
    <s v="Horizontal elbow"/>
    <s v="Sheet"/>
    <b v="0"/>
  </r>
  <r>
    <x v="8"/>
    <x v="2"/>
    <n v="26"/>
    <m/>
    <x v="24"/>
    <n v="0.2"/>
    <n v="9"/>
    <n v="9"/>
    <s v="PCS"/>
    <n v="1014000"/>
    <n v="9126000"/>
    <s v="Horizontal elbow"/>
    <s v="Sheet"/>
    <b v="0"/>
  </r>
  <r>
    <x v="8"/>
    <x v="2"/>
    <n v="27"/>
    <s v="ABS"/>
    <x v="25"/>
    <s v="80 mm"/>
    <n v="3"/>
    <n v="3"/>
    <s v="PCS"/>
    <n v="100000"/>
    <n v="300000"/>
    <s v="Horizontal elbow"/>
    <s v="Sheet"/>
    <b v="0"/>
  </r>
  <r>
    <x v="8"/>
    <x v="2"/>
    <n v="28"/>
    <s v="پیچ و مهره"/>
    <x v="26"/>
    <m/>
    <n v="6"/>
    <n v="6"/>
    <s v="PCS"/>
    <n v="2400000"/>
    <n v="14400000"/>
    <s v="Horizontal elbow"/>
    <s v="Sheet"/>
    <b v="0"/>
  </r>
  <r>
    <x v="8"/>
    <x v="2"/>
    <n v="29"/>
    <m/>
    <x v="27"/>
    <m/>
    <n v="6"/>
    <n v="6"/>
    <s v="PCS"/>
    <n v="2400000"/>
    <n v="14400000"/>
    <s v="Horizontal elbow"/>
    <s v="Sheet"/>
    <b v="0"/>
  </r>
  <r>
    <x v="8"/>
    <x v="2"/>
    <n v="30"/>
    <m/>
    <x v="28"/>
    <m/>
    <n v="6"/>
    <n v="6"/>
    <s v="PCS"/>
    <n v="3000000"/>
    <n v="18000000"/>
    <s v="Horizontal elbow"/>
    <s v="Sheet"/>
    <b v="0"/>
  </r>
  <r>
    <x v="8"/>
    <x v="2"/>
    <n v="31"/>
    <s v="جوش"/>
    <x v="33"/>
    <m/>
    <n v="1"/>
    <n v="6"/>
    <s v="PCS"/>
    <n v="30000000"/>
    <n v="180000000"/>
    <s v="Horizontal elbow"/>
    <s v="Sheet"/>
    <b v="0"/>
  </r>
  <r>
    <x v="8"/>
    <x v="2"/>
    <n v="32"/>
    <m/>
    <x v="34"/>
    <m/>
    <n v="1"/>
    <n v="0"/>
    <s v="PCS"/>
    <n v="19000000"/>
    <n v="0"/>
    <s v="Horizontal elbow"/>
    <s v="Sheet"/>
    <b v="0"/>
  </r>
  <r>
    <x v="8"/>
    <x v="2"/>
    <n v="33"/>
    <s v="نوار IP"/>
    <x v="29"/>
    <m/>
    <n v="2"/>
    <n v="2"/>
    <s v="PCS"/>
    <n v="1300000"/>
    <n v="2600000"/>
    <s v="Horizontal elbow"/>
    <s v="Sheet"/>
    <b v="0"/>
  </r>
  <r>
    <x v="8"/>
    <x v="2"/>
    <n v="34"/>
    <s v="نوار IP"/>
    <x v="30"/>
    <m/>
    <n v="12"/>
    <n v="4.0200000000000005"/>
    <s v="m"/>
    <n v="460000"/>
    <n v="1849200"/>
    <s v="Horizontal elbow"/>
    <s v="Sheet"/>
    <b v="0"/>
  </r>
  <r>
    <x v="8"/>
    <x v="2"/>
    <n v="35"/>
    <s v="ترموفیت"/>
    <x v="31"/>
    <n v="50"/>
    <n v="24"/>
    <n v="2.4"/>
    <s v="m "/>
    <n v="12655280.000000002"/>
    <n v="30372672.000000004"/>
    <s v="Horizontal elbow"/>
    <s v="Sheet"/>
    <b v="0"/>
  </r>
  <r>
    <x v="8"/>
    <x v="2"/>
    <n v="28"/>
    <m/>
    <x v="32"/>
    <m/>
    <m/>
    <n v="10"/>
    <s v="h"/>
    <n v="13000000"/>
    <n v="130000000"/>
    <s v="Horizontal elbow"/>
    <s v="Sheet"/>
    <b v="0"/>
  </r>
  <r>
    <x v="8"/>
    <x v="2"/>
    <n v="29"/>
    <m/>
    <x v="35"/>
    <m/>
    <m/>
    <n v="0"/>
    <s v="%"/>
    <m/>
    <n v="0"/>
    <s v="Horizontal elbow"/>
    <s v="Sheet"/>
    <b v="0"/>
  </r>
  <r>
    <x v="8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8"/>
    <x v="3"/>
    <n v="2"/>
    <m/>
    <x v="1"/>
    <n v="168"/>
    <n v="1"/>
    <n v="0.23519999999999999"/>
    <s v="Kg"/>
    <n v="8500000"/>
    <n v="1999200"/>
    <s v="Flange end "/>
    <s v="Sheet"/>
    <b v="0"/>
  </r>
  <r>
    <x v="8"/>
    <x v="3"/>
    <n v="3"/>
    <m/>
    <x v="89"/>
    <n v="168"/>
    <n v="6"/>
    <n v="2.6208"/>
    <s v="Kg"/>
    <n v="8500000"/>
    <n v="22276800"/>
    <s v="Flange end "/>
    <s v="Sheet"/>
    <b v="0"/>
  </r>
  <r>
    <x v="8"/>
    <x v="3"/>
    <n v="4"/>
    <m/>
    <x v="3"/>
    <n v="120"/>
    <n v="4"/>
    <n v="0.48"/>
    <s v="Kg"/>
    <n v="8500000"/>
    <n v="4080000"/>
    <s v="Flange end "/>
    <s v="Sheet"/>
    <b v="0"/>
  </r>
  <r>
    <x v="8"/>
    <x v="3"/>
    <n v="5"/>
    <m/>
    <x v="4"/>
    <n v="180"/>
    <n v="2"/>
    <n v="1.758348"/>
    <s v="Kg"/>
    <n v="8500000"/>
    <n v="14945958"/>
    <s v="Flange end "/>
    <s v="Sheet"/>
    <b v="0"/>
  </r>
  <r>
    <x v="8"/>
    <x v="3"/>
    <n v="6"/>
    <m/>
    <x v="5"/>
    <n v="0.58799999999999997"/>
    <n v="12"/>
    <n v="20.118067199999999"/>
    <s v="Kg"/>
    <n v="8500000"/>
    <n v="171003571.19999999"/>
    <s v="Flange end "/>
    <s v="Sheet"/>
    <b v="0"/>
  </r>
  <r>
    <x v="8"/>
    <x v="3"/>
    <n v="7"/>
    <s v="عایق ها"/>
    <x v="6"/>
    <n v="0.13"/>
    <n v="2.7095039999999999"/>
    <n v="2.7095039999999999"/>
    <s v="M2"/>
    <n v="4275000"/>
    <n v="11583129.6"/>
    <s v="Flange end "/>
    <s v="Sheet"/>
    <b v="0"/>
  </r>
  <r>
    <x v="8"/>
    <x v="3"/>
    <n v="8"/>
    <m/>
    <x v="7"/>
    <n v="0.35"/>
    <n v="0"/>
    <n v="0"/>
    <s v="Kg"/>
    <n v="35750000"/>
    <n v="0"/>
    <s v="Flange end "/>
    <s v="Sheet"/>
    <b v="0"/>
  </r>
  <r>
    <x v="8"/>
    <x v="3"/>
    <n v="9"/>
    <m/>
    <x v="7"/>
    <n v="0.2"/>
    <n v="1.354752"/>
    <n v="1.354752"/>
    <s v="Kg"/>
    <n v="45760000"/>
    <n v="61993451.520000003"/>
    <s v="Flange end "/>
    <s v="Sheet"/>
    <b v="0"/>
  </r>
  <r>
    <x v="8"/>
    <x v="3"/>
    <n v="10"/>
    <s v="رنگ بدنه"/>
    <x v="8"/>
    <m/>
    <n v="3.3264"/>
    <n v="3.3264"/>
    <s v="Kg"/>
    <n v="1430000"/>
    <n v="4756752"/>
    <s v="Flange end "/>
    <s v="Sheet"/>
    <b v="0"/>
  </r>
  <r>
    <x v="8"/>
    <x v="3"/>
    <n v="11"/>
    <s v="قلع"/>
    <x v="9"/>
    <m/>
    <n v="24"/>
    <n v="24"/>
    <s v="Kg"/>
    <n v="3000000"/>
    <n v="72000000"/>
    <s v="Flange end "/>
    <s v="Sheet"/>
    <b v="0"/>
  </r>
  <r>
    <x v="8"/>
    <x v="3"/>
    <n v="12"/>
    <m/>
    <x v="10"/>
    <m/>
    <n v="20.118067199999999"/>
    <n v="20.118067199999999"/>
    <s v="PCS"/>
    <n v="3600000"/>
    <n v="72425041.920000002"/>
    <s v="Flange end "/>
    <s v="Sheet"/>
    <b v="0"/>
  </r>
  <r>
    <x v="8"/>
    <x v="3"/>
    <n v="13"/>
    <s v="چسب"/>
    <x v="11"/>
    <m/>
    <n v="7.0559999999999992"/>
    <n v="7.0559999999999992"/>
    <s v="PCS"/>
    <n v="3600000"/>
    <n v="25401599.999999996"/>
    <s v="Flange end "/>
    <s v="Sheet"/>
    <b v="0"/>
  </r>
  <r>
    <x v="8"/>
    <x v="3"/>
    <n v="14"/>
    <m/>
    <x v="12"/>
    <m/>
    <n v="0.6"/>
    <n v="0.6"/>
    <s v="PCS"/>
    <n v="5500000"/>
    <n v="3300000"/>
    <s v="Flange end "/>
    <s v="Sheet"/>
    <b v="0"/>
  </r>
  <r>
    <x v="8"/>
    <x v="3"/>
    <n v="15"/>
    <s v="پیچ و مهره"/>
    <x v="13"/>
    <m/>
    <s v="80"/>
    <n v="8"/>
    <s v="PCS"/>
    <n v="200000"/>
    <n v="1600000"/>
    <s v="Flange end "/>
    <s v="Sheet"/>
    <b v="0"/>
  </r>
  <r>
    <x v="8"/>
    <x v="3"/>
    <n v="16"/>
    <m/>
    <x v="14"/>
    <m/>
    <n v="8"/>
    <n v="8"/>
    <s v="PCS"/>
    <n v="200000"/>
    <n v="1600000"/>
    <s v="Flange end "/>
    <s v="Sheet"/>
    <b v="0"/>
  </r>
  <r>
    <x v="8"/>
    <x v="3"/>
    <n v="17"/>
    <m/>
    <x v="15"/>
    <m/>
    <n v="88"/>
    <n v="16"/>
    <s v="PCS"/>
    <n v="200000"/>
    <n v="3200000"/>
    <s v="Flange end "/>
    <s v="Sheet"/>
    <b v="0"/>
  </r>
  <r>
    <x v="8"/>
    <x v="3"/>
    <n v="18"/>
    <m/>
    <x v="16"/>
    <m/>
    <n v="16"/>
    <n v="16"/>
    <s v="PCS"/>
    <n v="400000"/>
    <n v="6400000"/>
    <s v="Flange end "/>
    <s v="Sheet"/>
    <b v="0"/>
  </r>
  <r>
    <x v="8"/>
    <x v="3"/>
    <n v="19"/>
    <m/>
    <x v="17"/>
    <m/>
    <n v="16"/>
    <n v="16"/>
    <s v="PCS"/>
    <n v="120000"/>
    <n v="1920000"/>
    <s v="Flange end "/>
    <s v="Sheet"/>
    <b v="0"/>
  </r>
  <r>
    <x v="8"/>
    <x v="3"/>
    <n v="20"/>
    <m/>
    <x v="18"/>
    <m/>
    <n v="24"/>
    <n v="24"/>
    <s v="PCS"/>
    <n v="400000"/>
    <n v="9600000"/>
    <s v="Flange end "/>
    <s v="Sheet"/>
    <b v="0"/>
  </r>
  <r>
    <x v="8"/>
    <x v="3"/>
    <n v="21"/>
    <s v="مس"/>
    <x v="19"/>
    <n v="132"/>
    <n v="24"/>
    <n v="14.987427840000002"/>
    <s v="Kg"/>
    <n v="35000000"/>
    <n v="524559974.4000001"/>
    <s v="Flange end "/>
    <s v="Sheet"/>
    <b v="0"/>
  </r>
  <r>
    <x v="8"/>
    <x v="3"/>
    <n v="22"/>
    <s v="آهن"/>
    <x v="20"/>
    <s v="115 X 185"/>
    <n v="2"/>
    <n v="3.8"/>
    <s v="Kg"/>
    <n v="5200000"/>
    <n v="19760000"/>
    <s v="Flange end "/>
    <s v="Sheet"/>
    <b v="0"/>
  </r>
  <r>
    <x v="8"/>
    <x v="3"/>
    <n v="23"/>
    <m/>
    <x v="21"/>
    <s v="425 X 265"/>
    <n v="2"/>
    <n v="1.2"/>
    <s v="Kg"/>
    <n v="5200000"/>
    <n v="6240000"/>
    <s v="Flange end "/>
    <s v="Sheet"/>
    <b v="0"/>
  </r>
  <r>
    <x v="8"/>
    <x v="3"/>
    <n v="24"/>
    <s v="الومینیوم"/>
    <x v="22"/>
    <s v="163*157"/>
    <n v="2"/>
    <n v="2.1303989999999997"/>
    <s v="Kg"/>
    <n v="8500000"/>
    <n v="18108391.499999996"/>
    <s v="Flange end "/>
    <s v="Sheet"/>
    <b v="0"/>
  </r>
  <r>
    <x v="8"/>
    <x v="3"/>
    <n v="25"/>
    <s v="پلی امید"/>
    <x v="23"/>
    <n v="0.18"/>
    <n v="6"/>
    <n v="6"/>
    <s v="PCS"/>
    <n v="1014000"/>
    <n v="6084000"/>
    <s v="Flange end "/>
    <s v="Sheet"/>
    <b v="0"/>
  </r>
  <r>
    <x v="8"/>
    <x v="3"/>
    <n v="26"/>
    <m/>
    <x v="24"/>
    <n v="0.2"/>
    <n v="9"/>
    <n v="9"/>
    <s v="PCS"/>
    <n v="1014000"/>
    <n v="9126000"/>
    <s v="Flange end "/>
    <s v="Sheet"/>
    <b v="0"/>
  </r>
  <r>
    <x v="8"/>
    <x v="3"/>
    <n v="27"/>
    <s v="ABS"/>
    <x v="25"/>
    <s v="80 mm"/>
    <n v="3"/>
    <n v="3"/>
    <s v="PCS"/>
    <n v="100000"/>
    <n v="300000"/>
    <s v="Flange end "/>
    <s v="Sheet"/>
    <b v="0"/>
  </r>
  <r>
    <x v="8"/>
    <x v="3"/>
    <n v="28"/>
    <s v="پیچ و مهره"/>
    <x v="26"/>
    <m/>
    <n v="6"/>
    <n v="6"/>
    <s v="PCS"/>
    <n v="2400000"/>
    <n v="14400000"/>
    <s v="Flange end "/>
    <s v="Sheet"/>
    <b v="0"/>
  </r>
  <r>
    <x v="8"/>
    <x v="3"/>
    <n v="29"/>
    <m/>
    <x v="27"/>
    <m/>
    <n v="7.0659999999999998"/>
    <n v="7.0659999999999998"/>
    <s v="PCS"/>
    <n v="2400000"/>
    <n v="16958400"/>
    <s v="Flange end "/>
    <s v="Sheet"/>
    <b v="0"/>
  </r>
  <r>
    <x v="8"/>
    <x v="3"/>
    <n v="30"/>
    <m/>
    <x v="28"/>
    <m/>
    <n v="6"/>
    <n v="6"/>
    <s v="PCS"/>
    <n v="3000000"/>
    <n v="18000000"/>
    <s v="Flange end "/>
    <s v="Sheet"/>
    <b v="0"/>
  </r>
  <r>
    <x v="8"/>
    <x v="3"/>
    <n v="31"/>
    <s v="نوار IP"/>
    <x v="29"/>
    <m/>
    <n v="2"/>
    <n v="2"/>
    <s v="PCS"/>
    <n v="1300000"/>
    <n v="2600000"/>
    <s v="Flange end "/>
    <s v="Sheet"/>
    <b v="0"/>
  </r>
  <r>
    <x v="8"/>
    <x v="3"/>
    <n v="32"/>
    <s v="نوار IP"/>
    <x v="30"/>
    <m/>
    <n v="12"/>
    <n v="2.016"/>
    <s v="m"/>
    <n v="460000"/>
    <n v="927360"/>
    <s v="Flange end "/>
    <s v="Sheet"/>
    <b v="0"/>
  </r>
  <r>
    <x v="8"/>
    <x v="3"/>
    <n v="33"/>
    <s v="ترموفیت"/>
    <x v="31"/>
    <n v="50"/>
    <n v="24"/>
    <n v="2.4"/>
    <s v="m "/>
    <n v="12655280.000000002"/>
    <n v="30372672.000000004"/>
    <s v="Flange end "/>
    <s v="Sheet"/>
    <b v="0"/>
  </r>
  <r>
    <x v="8"/>
    <x v="3"/>
    <n v="28"/>
    <m/>
    <x v="32"/>
    <m/>
    <m/>
    <n v="8"/>
    <s v="h"/>
    <n v="13000000"/>
    <n v="104000000"/>
    <s v="Flange end "/>
    <s v="Sheet"/>
    <b v="0"/>
  </r>
  <r>
    <x v="8"/>
    <x v="3"/>
    <n v="29"/>
    <m/>
    <x v="35"/>
    <m/>
    <m/>
    <n v="0"/>
    <s v="%"/>
    <m/>
    <n v="0"/>
    <s v="Flange end "/>
    <s v="Sheet"/>
    <b v="0"/>
  </r>
  <r>
    <x v="8"/>
    <x v="4"/>
    <n v="1"/>
    <s v="آهن"/>
    <x v="36"/>
    <m/>
    <n v="1"/>
    <n v="9"/>
    <s v="Kg"/>
    <n v="5200000"/>
    <n v="46800000"/>
    <s v="TOP OFF BOX 250"/>
    <s v="Sheet"/>
    <b v="0"/>
  </r>
  <r>
    <x v="8"/>
    <x v="4"/>
    <n v="4"/>
    <s v="مسی"/>
    <x v="37"/>
    <m/>
    <n v="4"/>
    <n v="0.5"/>
    <s v="Kg"/>
    <n v="22000000"/>
    <n v="11000000"/>
    <s v="TOP OFF BOX 250"/>
    <s v="Sheet"/>
    <b v="0"/>
  </r>
  <r>
    <x v="8"/>
    <x v="4"/>
    <n v="5"/>
    <m/>
    <x v="38"/>
    <m/>
    <n v="20"/>
    <n v="20"/>
    <s v="PCS"/>
    <n v="26000"/>
    <n v="520000"/>
    <s v="TOP OFF BOX 250"/>
    <s v="Sheet"/>
    <b v="0"/>
  </r>
  <r>
    <x v="8"/>
    <x v="4"/>
    <n v="6"/>
    <m/>
    <x v="39"/>
    <m/>
    <n v="6"/>
    <n v="6"/>
    <s v="PCS"/>
    <n v="195000"/>
    <n v="1170000"/>
    <s v="TOP OFF BOX 250"/>
    <s v="Sheet"/>
    <b v="0"/>
  </r>
  <r>
    <x v="8"/>
    <x v="4"/>
    <n v="7"/>
    <m/>
    <x v="40"/>
    <m/>
    <n v="20"/>
    <n v="20"/>
    <s v="PCS"/>
    <n v="13000"/>
    <n v="260000"/>
    <s v="TOP OFF BOX 250"/>
    <s v="Sheet"/>
    <b v="0"/>
  </r>
  <r>
    <x v="8"/>
    <x v="4"/>
    <n v="8"/>
    <m/>
    <x v="41"/>
    <m/>
    <n v="20"/>
    <n v="20"/>
    <s v="PCS"/>
    <n v="75000"/>
    <n v="1500000"/>
    <s v="TOP OFF BOX 250"/>
    <s v="Sheet"/>
    <b v="0"/>
  </r>
  <r>
    <x v="8"/>
    <x v="4"/>
    <n v="9"/>
    <m/>
    <x v="42"/>
    <m/>
    <n v="1"/>
    <n v="1"/>
    <s v="PCS"/>
    <n v="11250000"/>
    <n v="11250000"/>
    <s v="TOP OFF BOX 250"/>
    <s v="Sheet"/>
    <b v="0"/>
  </r>
  <r>
    <x v="8"/>
    <x v="4"/>
    <n v="10"/>
    <m/>
    <x v="43"/>
    <m/>
    <n v="1"/>
    <n v="1"/>
    <s v="PCS"/>
    <n v="7500000"/>
    <n v="7500000"/>
    <s v="TOP OFF BOX 250"/>
    <s v="Sheet"/>
    <b v="0"/>
  </r>
  <r>
    <x v="8"/>
    <x v="4"/>
    <n v="11"/>
    <m/>
    <x v="44"/>
    <m/>
    <n v="2"/>
    <n v="2"/>
    <s v="PCS"/>
    <n v="150000"/>
    <n v="300000"/>
    <s v="TOP OFF BOX 250"/>
    <s v="Sheet"/>
    <b v="0"/>
  </r>
  <r>
    <x v="8"/>
    <x v="4"/>
    <n v="12"/>
    <m/>
    <x v="45"/>
    <m/>
    <n v="2"/>
    <n v="2"/>
    <s v="PCS"/>
    <n v="100000"/>
    <n v="200000"/>
    <s v="TOP OFF BOX 250"/>
    <s v="Sheet"/>
    <b v="0"/>
  </r>
  <r>
    <x v="8"/>
    <x v="4"/>
    <n v="13"/>
    <m/>
    <x v="46"/>
    <m/>
    <n v="4"/>
    <n v="4"/>
    <s v="PCS"/>
    <n v="50000"/>
    <n v="200000"/>
    <s v="TOP OFF BOX 250"/>
    <s v="Sheet"/>
    <b v="0"/>
  </r>
  <r>
    <x v="8"/>
    <x v="4"/>
    <n v="14"/>
    <m/>
    <x v="47"/>
    <m/>
    <n v="2"/>
    <n v="2"/>
    <s v="PCS"/>
    <n v="100000"/>
    <n v="200000"/>
    <s v="TOP OFF BOX 250"/>
    <s v="Sheet"/>
    <b v="0"/>
  </r>
  <r>
    <x v="8"/>
    <x v="4"/>
    <n v="15"/>
    <m/>
    <x v="48"/>
    <m/>
    <n v="1"/>
    <n v="0.1"/>
    <s v="Kg"/>
    <n v="4200000"/>
    <n v="420000"/>
    <s v="TOP OFF BOX 250"/>
    <s v="Sheet"/>
    <b v="0"/>
  </r>
  <r>
    <x v="8"/>
    <x v="4"/>
    <n v="16"/>
    <m/>
    <x v="49"/>
    <m/>
    <n v="1"/>
    <n v="0.3"/>
    <s v="m"/>
    <m/>
    <n v="0"/>
    <s v="TOP OFF BOX 250"/>
    <s v="Sheet"/>
    <b v="0"/>
  </r>
  <r>
    <x v="8"/>
    <x v="4"/>
    <n v="17"/>
    <m/>
    <x v="50"/>
    <m/>
    <n v="1"/>
    <n v="0.15"/>
    <s v="m"/>
    <m/>
    <n v="0"/>
    <s v="TOP OFF BOX 250"/>
    <s v="Sheet"/>
    <b v="0"/>
  </r>
  <r>
    <x v="8"/>
    <x v="4"/>
    <n v="18"/>
    <m/>
    <x v="51"/>
    <m/>
    <n v="1"/>
    <m/>
    <s v="PCS"/>
    <m/>
    <n v="0"/>
    <s v="TOP OFF BOX 250"/>
    <s v="Sheet"/>
    <b v="0"/>
  </r>
  <r>
    <x v="8"/>
    <x v="4"/>
    <n v="19"/>
    <m/>
    <x v="52"/>
    <m/>
    <n v="1"/>
    <m/>
    <s v="PCS"/>
    <m/>
    <n v="0"/>
    <s v="TOP OFF BOX 250"/>
    <s v="Sheet"/>
    <b v="0"/>
  </r>
  <r>
    <x v="8"/>
    <x v="4"/>
    <n v="20"/>
    <m/>
    <x v="53"/>
    <m/>
    <n v="1"/>
    <m/>
    <s v="PCS"/>
    <m/>
    <n v="0"/>
    <s v="TOP OFF BOX 250"/>
    <s v="Sheet"/>
    <b v="0"/>
  </r>
  <r>
    <x v="8"/>
    <x v="4"/>
    <n v="21"/>
    <m/>
    <x v="54"/>
    <m/>
    <n v="1"/>
    <n v="1"/>
    <s v="PCS"/>
    <n v="74000000"/>
    <n v="74000000"/>
    <s v="TOP OFF BOX 250"/>
    <s v="Sheet"/>
    <b v="0"/>
  </r>
  <r>
    <x v="8"/>
    <x v="4"/>
    <n v="7"/>
    <m/>
    <x v="32"/>
    <m/>
    <m/>
    <n v="5"/>
    <s v="h"/>
    <n v="13000000"/>
    <n v="65000000"/>
    <s v="TOP OFF BOX 250"/>
    <s v="Sheet"/>
    <b v="0"/>
  </r>
  <r>
    <x v="8"/>
    <x v="4"/>
    <n v="8"/>
    <m/>
    <x v="35"/>
    <m/>
    <m/>
    <n v="0"/>
    <s v="%"/>
    <m/>
    <n v="0"/>
    <s v="TOP OFF BOX 250"/>
    <s v="Sheet"/>
    <b v="0"/>
  </r>
  <r>
    <x v="8"/>
    <x v="5"/>
    <n v="1"/>
    <s v="مس بافته شده"/>
    <x v="55"/>
    <m/>
    <n v="1"/>
    <n v="11"/>
    <s v="SET"/>
    <n v="34500000"/>
    <n v="379500000"/>
    <s v="Flexible connection"/>
    <s v="Sheet"/>
    <b v="0"/>
  </r>
  <r>
    <x v="8"/>
    <x v="5"/>
    <m/>
    <s v="قلع"/>
    <x v="10"/>
    <m/>
    <n v="0"/>
    <n v="32"/>
    <s v="Kg"/>
    <n v="3600000"/>
    <n v="115200000"/>
    <s v="Flexible connection"/>
    <s v="Sheet"/>
    <b v="0"/>
  </r>
  <r>
    <x v="8"/>
    <x v="5"/>
    <n v="3"/>
    <m/>
    <x v="56"/>
    <m/>
    <n v="16"/>
    <m/>
    <s v="PCS"/>
    <n v="50000"/>
    <n v="800000"/>
    <s v="Flexible connection"/>
    <s v="Sheet"/>
    <b v="0"/>
  </r>
  <r>
    <x v="8"/>
    <x v="5"/>
    <n v="4"/>
    <m/>
    <x v="57"/>
    <m/>
    <n v="16"/>
    <m/>
    <s v="PCS"/>
    <n v="15000"/>
    <n v="240000"/>
    <s v="Flexible connection"/>
    <s v="Sheet"/>
    <b v="0"/>
  </r>
  <r>
    <x v="8"/>
    <x v="5"/>
    <n v="5"/>
    <m/>
    <x v="58"/>
    <m/>
    <n v="32"/>
    <m/>
    <s v="PCS"/>
    <n v="5000"/>
    <n v="160000"/>
    <s v="Flexible connection"/>
    <s v="Sheet"/>
    <b v="0"/>
  </r>
  <r>
    <x v="8"/>
    <x v="5"/>
    <n v="6"/>
    <m/>
    <x v="59"/>
    <m/>
    <n v="16"/>
    <m/>
    <s v="PCS"/>
    <n v="5000"/>
    <n v="80000"/>
    <s v="Flexible connection"/>
    <s v="Sheet"/>
    <b v="0"/>
  </r>
  <r>
    <x v="8"/>
    <x v="5"/>
    <n v="7"/>
    <m/>
    <x v="32"/>
    <m/>
    <m/>
    <n v="1"/>
    <s v="h"/>
    <n v="13000000"/>
    <n v="13000000"/>
    <s v="Flexible connection"/>
    <s v="Sheet"/>
    <b v="0"/>
  </r>
  <r>
    <x v="8"/>
    <x v="5"/>
    <n v="8"/>
    <m/>
    <x v="35"/>
    <m/>
    <m/>
    <n v="0"/>
    <s v="%"/>
    <m/>
    <n v="0"/>
    <s v="Flexible connection"/>
    <s v="Sheet"/>
    <b v="0"/>
  </r>
  <r>
    <x v="8"/>
    <x v="6"/>
    <n v="1"/>
    <s v="مس"/>
    <x v="60"/>
    <m/>
    <n v="1"/>
    <n v="32"/>
    <s v="Kg"/>
    <n v="8500000"/>
    <n v="272000000"/>
    <s v="DISTRIBUTION BOARD"/>
    <s v="Sheet"/>
    <b v="0"/>
  </r>
  <r>
    <x v="8"/>
    <x v="6"/>
    <m/>
    <s v="قلع"/>
    <x v="10"/>
    <m/>
    <n v="0"/>
    <n v="32"/>
    <s v="Kg"/>
    <n v="3600000"/>
    <n v="115200000"/>
    <s v="DISTRIBUTION BOARD"/>
    <s v="Sheet"/>
    <b v="0"/>
  </r>
  <r>
    <x v="8"/>
    <x v="6"/>
    <n v="3"/>
    <m/>
    <x v="56"/>
    <m/>
    <n v="4"/>
    <m/>
    <s v="PCS"/>
    <n v="50000"/>
    <n v="200000"/>
    <s v="DISTRIBUTION BOARD"/>
    <s v="Sheet"/>
    <b v="0"/>
  </r>
  <r>
    <x v="8"/>
    <x v="6"/>
    <n v="4"/>
    <m/>
    <x v="57"/>
    <m/>
    <n v="4"/>
    <m/>
    <s v="PCS"/>
    <n v="15000"/>
    <n v="60000"/>
    <s v="DISTRIBUTION BOARD"/>
    <s v="Sheet"/>
    <b v="0"/>
  </r>
  <r>
    <x v="8"/>
    <x v="6"/>
    <n v="5"/>
    <m/>
    <x v="58"/>
    <m/>
    <n v="8"/>
    <m/>
    <s v="PCS"/>
    <n v="5000"/>
    <n v="40000"/>
    <s v="DISTRIBUTION BOARD"/>
    <s v="Sheet"/>
    <b v="0"/>
  </r>
  <r>
    <x v="8"/>
    <x v="6"/>
    <n v="6"/>
    <m/>
    <x v="59"/>
    <m/>
    <n v="4"/>
    <m/>
    <s v="PCS"/>
    <n v="5000"/>
    <n v="20000"/>
    <s v="DISTRIBUTION BOARD"/>
    <s v="Sheet"/>
    <b v="0"/>
  </r>
  <r>
    <x v="8"/>
    <x v="6"/>
    <n v="7"/>
    <m/>
    <x v="32"/>
    <m/>
    <m/>
    <n v="5"/>
    <s v="h"/>
    <n v="13000000"/>
    <n v="65000000"/>
    <s v="DISTRIBUTION BOARD"/>
    <s v="Sheet"/>
    <b v="0"/>
  </r>
  <r>
    <x v="8"/>
    <x v="6"/>
    <n v="8"/>
    <m/>
    <x v="35"/>
    <m/>
    <m/>
    <n v="0"/>
    <s v="%"/>
    <m/>
    <n v="0"/>
    <s v="DISTRIBUTION BOARD"/>
    <s v="Sheet"/>
    <b v="0"/>
  </r>
  <r>
    <x v="8"/>
    <x v="7"/>
    <n v="1"/>
    <s v="مس"/>
    <x v="61"/>
    <m/>
    <n v="1"/>
    <n v="32"/>
    <s v="Kg"/>
    <n v="8500000"/>
    <n v="272000000"/>
    <s v="Transformer connection"/>
    <s v="Sheet"/>
    <b v="0"/>
  </r>
  <r>
    <x v="8"/>
    <x v="7"/>
    <m/>
    <s v="قلع"/>
    <x v="10"/>
    <m/>
    <n v="0"/>
    <n v="32"/>
    <s v="Kg"/>
    <n v="3600000"/>
    <n v="115200000"/>
    <s v="Transformer connection"/>
    <s v="Sheet"/>
    <b v="0"/>
  </r>
  <r>
    <x v="8"/>
    <x v="7"/>
    <n v="3"/>
    <m/>
    <x v="56"/>
    <m/>
    <n v="16"/>
    <m/>
    <s v="PCS"/>
    <n v="50000"/>
    <n v="800000"/>
    <s v="Transformer connection"/>
    <s v="Sheet"/>
    <b v="0"/>
  </r>
  <r>
    <x v="8"/>
    <x v="7"/>
    <n v="4"/>
    <m/>
    <x v="57"/>
    <m/>
    <n v="16"/>
    <m/>
    <s v="PCS"/>
    <n v="15000"/>
    <n v="240000"/>
    <s v="Transformer connection"/>
    <s v="Sheet"/>
    <b v="0"/>
  </r>
  <r>
    <x v="8"/>
    <x v="7"/>
    <n v="5"/>
    <m/>
    <x v="58"/>
    <m/>
    <n v="32"/>
    <m/>
    <s v="PCS"/>
    <n v="5000"/>
    <n v="160000"/>
    <s v="Transformer connection"/>
    <s v="Sheet"/>
    <b v="0"/>
  </r>
  <r>
    <x v="8"/>
    <x v="7"/>
    <n v="6"/>
    <m/>
    <x v="59"/>
    <m/>
    <n v="16"/>
    <m/>
    <s v="PCS"/>
    <n v="5000"/>
    <n v="80000"/>
    <s v="Transformer connection"/>
    <s v="Sheet"/>
    <b v="0"/>
  </r>
  <r>
    <x v="8"/>
    <x v="7"/>
    <n v="7"/>
    <m/>
    <x v="32"/>
    <m/>
    <m/>
    <n v="5"/>
    <s v="h"/>
    <n v="13000000"/>
    <n v="65000000"/>
    <s v="Transformer connection"/>
    <s v="Sheet"/>
    <b v="0"/>
  </r>
  <r>
    <x v="8"/>
    <x v="7"/>
    <n v="8"/>
    <m/>
    <x v="35"/>
    <m/>
    <m/>
    <n v="0"/>
    <s v="%"/>
    <m/>
    <n v="0"/>
    <s v="Transformer connection"/>
    <s v="Sheet"/>
    <b v="0"/>
  </r>
  <r>
    <x v="8"/>
    <x v="8"/>
    <n v="1"/>
    <s v="آهن"/>
    <x v="62"/>
    <m/>
    <n v="1"/>
    <n v="25"/>
    <s v="Kg"/>
    <n v="5200000"/>
    <n v="130000000"/>
    <s v="Connection protection unit"/>
    <s v="Sheet"/>
    <b v="0"/>
  </r>
  <r>
    <x v="8"/>
    <x v="8"/>
    <m/>
    <s v="آهن"/>
    <x v="63"/>
    <m/>
    <n v="1"/>
    <m/>
    <s v="Kg"/>
    <m/>
    <n v="0"/>
    <s v="Connection protection unit"/>
    <s v="Sheet"/>
    <b v="0"/>
  </r>
  <r>
    <x v="8"/>
    <x v="8"/>
    <n v="3"/>
    <m/>
    <x v="38"/>
    <m/>
    <n v="32"/>
    <m/>
    <s v="PCS"/>
    <n v="10000"/>
    <n v="320000"/>
    <s v="Connection protection unit"/>
    <s v="Sheet"/>
    <b v="0"/>
  </r>
  <r>
    <x v="8"/>
    <x v="8"/>
    <n v="4"/>
    <m/>
    <x v="15"/>
    <m/>
    <n v="32"/>
    <m/>
    <s v="PCS"/>
    <n v="60000"/>
    <n v="1920000"/>
    <s v="Connection protection unit"/>
    <s v="Sheet"/>
    <b v="0"/>
  </r>
  <r>
    <x v="8"/>
    <x v="8"/>
    <n v="5"/>
    <m/>
    <x v="64"/>
    <m/>
    <n v="32"/>
    <m/>
    <s v="PCS"/>
    <n v="60000"/>
    <n v="1920000"/>
    <s v="Connection protection unit"/>
    <s v="Sheet"/>
    <b v="0"/>
  </r>
  <r>
    <x v="8"/>
    <x v="8"/>
    <n v="6"/>
    <m/>
    <x v="38"/>
    <m/>
    <n v="12"/>
    <m/>
    <s v="PCS"/>
    <n v="10000"/>
    <n v="120000"/>
    <s v="Connection protection unit"/>
    <s v="Sheet"/>
    <b v="0"/>
  </r>
  <r>
    <x v="8"/>
    <x v="8"/>
    <n v="7"/>
    <m/>
    <x v="65"/>
    <m/>
    <n v="12"/>
    <m/>
    <s v="PCS"/>
    <n v="10000"/>
    <n v="120000"/>
    <s v="Connection protection unit"/>
    <s v="Sheet"/>
    <b v="0"/>
  </r>
  <r>
    <x v="8"/>
    <x v="8"/>
    <n v="8"/>
    <m/>
    <x v="40"/>
    <m/>
    <n v="12"/>
    <m/>
    <s v="PCS"/>
    <n v="60000"/>
    <n v="720000"/>
    <s v="Connection protection unit"/>
    <s v="Sheet"/>
    <b v="0"/>
  </r>
  <r>
    <x v="8"/>
    <x v="8"/>
    <n v="9"/>
    <m/>
    <x v="66"/>
    <m/>
    <n v="32"/>
    <m/>
    <s v="PCS"/>
    <n v="10000"/>
    <n v="320000"/>
    <s v="Connection protection unit"/>
    <s v="Sheet"/>
    <b v="0"/>
  </r>
  <r>
    <x v="8"/>
    <x v="8"/>
    <n v="10"/>
    <m/>
    <x v="8"/>
    <m/>
    <n v="25"/>
    <m/>
    <s v="Kg"/>
    <n v="1430000"/>
    <n v="35750000"/>
    <s v="Connection protection unit"/>
    <s v="Sheet"/>
    <b v="0"/>
  </r>
  <r>
    <x v="8"/>
    <x v="8"/>
    <m/>
    <m/>
    <x v="30"/>
    <m/>
    <n v="1"/>
    <n v="6"/>
    <s v="m"/>
    <n v="460000"/>
    <n v="2760000"/>
    <s v="Connection protection unit"/>
    <s v="Sheet"/>
    <b v="0"/>
  </r>
  <r>
    <x v="8"/>
    <x v="8"/>
    <n v="11"/>
    <m/>
    <x v="32"/>
    <m/>
    <m/>
    <n v="5"/>
    <s v="h"/>
    <n v="13000000"/>
    <n v="65000000"/>
    <s v="Connection protection unit"/>
    <s v="Sheet"/>
    <b v="0"/>
  </r>
  <r>
    <x v="8"/>
    <x v="8"/>
    <n v="12"/>
    <m/>
    <x v="35"/>
    <m/>
    <m/>
    <n v="0"/>
    <s v="%"/>
    <m/>
    <n v="0"/>
    <s v="Connection protection unit"/>
    <s v="Sheet"/>
    <b v="0"/>
  </r>
  <r>
    <x v="8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8"/>
    <x v="9"/>
    <m/>
    <m/>
    <x v="68"/>
    <s v="200 X 100 X 3"/>
    <n v="2"/>
    <n v="0.94320000000000004"/>
    <s v="Kg"/>
    <n v="800000"/>
    <n v="754560"/>
    <s v="SPRINH HANGER"/>
    <s v="Sheet"/>
    <b v="0"/>
  </r>
  <r>
    <x v="8"/>
    <x v="9"/>
    <m/>
    <m/>
    <x v="69"/>
    <m/>
    <n v="2"/>
    <m/>
    <s v="PCS"/>
    <n v="5000000"/>
    <n v="10000000"/>
    <s v="SPRINH HANGER"/>
    <s v="Sheet"/>
    <b v="0"/>
  </r>
  <r>
    <x v="8"/>
    <x v="9"/>
    <n v="2"/>
    <m/>
    <x v="70"/>
    <n v="260"/>
    <n v="2"/>
    <n v="0.52"/>
    <s v="m"/>
    <n v="2000000"/>
    <n v="1040000"/>
    <s v="SPRINH HANGER"/>
    <s v="Sheet"/>
    <b v="0"/>
  </r>
  <r>
    <x v="8"/>
    <x v="9"/>
    <m/>
    <m/>
    <x v="71"/>
    <m/>
    <n v="10"/>
    <m/>
    <s v="PCS"/>
    <n v="200000"/>
    <n v="2000000"/>
    <s v="SPRINH HANGER"/>
    <s v="Sheet"/>
    <b v="0"/>
  </r>
  <r>
    <x v="8"/>
    <x v="9"/>
    <n v="7"/>
    <m/>
    <x v="72"/>
    <m/>
    <n v="4"/>
    <n v="4"/>
    <s v="PCS"/>
    <n v="300000"/>
    <n v="1200000"/>
    <s v="SPRINH HANGER"/>
    <s v="Sheet"/>
    <b v="0"/>
  </r>
  <r>
    <x v="8"/>
    <x v="9"/>
    <n v="8"/>
    <m/>
    <x v="58"/>
    <m/>
    <n v="10"/>
    <n v="10"/>
    <s v="PCS"/>
    <n v="30000"/>
    <n v="300000"/>
    <s v="SPRINH HANGER"/>
    <s v="Sheet"/>
    <b v="0"/>
  </r>
  <r>
    <x v="8"/>
    <x v="9"/>
    <n v="9"/>
    <m/>
    <x v="73"/>
    <m/>
    <n v="4"/>
    <n v="4"/>
    <s v="PCS"/>
    <n v="30000"/>
    <n v="120000"/>
    <s v="SPRINH HANGER"/>
    <s v="Sheet"/>
    <b v="0"/>
  </r>
  <r>
    <x v="8"/>
    <x v="9"/>
    <n v="12"/>
    <m/>
    <x v="46"/>
    <m/>
    <n v="4"/>
    <n v="4"/>
    <s v="PCS"/>
    <n v="30000"/>
    <n v="120000"/>
    <s v="SPRINH HANGER"/>
    <s v="Sheet"/>
    <b v="0"/>
  </r>
  <r>
    <x v="8"/>
    <x v="9"/>
    <n v="13"/>
    <m/>
    <x v="32"/>
    <m/>
    <m/>
    <n v="1"/>
    <s v="h"/>
    <n v="13000000"/>
    <n v="13000000"/>
    <s v="SPRINH HANGER"/>
    <s v="Sheet"/>
    <b v="0"/>
  </r>
  <r>
    <x v="8"/>
    <x v="9"/>
    <n v="14"/>
    <m/>
    <x v="35"/>
    <m/>
    <m/>
    <n v="0"/>
    <s v="%"/>
    <m/>
    <n v="0"/>
    <s v="SPRINH HANGER"/>
    <s v="Sheet"/>
    <b v="0"/>
  </r>
  <r>
    <x v="8"/>
    <x v="9"/>
    <m/>
    <m/>
    <x v="74"/>
    <n v="300"/>
    <n v="200"/>
    <n v="3"/>
    <n v="7.86"/>
    <m/>
    <n v="1.4148000000000001"/>
    <s v="SPRINH HANGER"/>
    <s v="Sheet"/>
    <b v="0"/>
  </r>
  <r>
    <x v="8"/>
    <x v="9"/>
    <m/>
    <m/>
    <x v="75"/>
    <n v="200"/>
    <n v="100"/>
    <n v="3"/>
    <n v="7.86"/>
    <m/>
    <n v="0.47160000000000002"/>
    <s v="SPRINH HANGER"/>
    <s v="Sheet"/>
    <b v="0"/>
  </r>
  <r>
    <x v="8"/>
    <x v="10"/>
    <n v="1"/>
    <s v="آهن"/>
    <x v="76"/>
    <m/>
    <n v="1"/>
    <n v="1.6485000000000001"/>
    <s v="Kg"/>
    <n v="700000"/>
    <n v="1153950"/>
    <s v="Suspension unit ceiling"/>
    <s v="Sheet"/>
    <b v="0"/>
  </r>
  <r>
    <x v="8"/>
    <x v="10"/>
    <n v="2"/>
    <s v="آهن"/>
    <x v="77"/>
    <m/>
    <n v="2"/>
    <m/>
    <s v="m"/>
    <n v="1200000"/>
    <n v="2400000"/>
    <s v="Suspension unit ceiling"/>
    <s v="Sheet"/>
    <b v="0"/>
  </r>
  <r>
    <x v="8"/>
    <x v="10"/>
    <n v="3"/>
    <m/>
    <x v="78"/>
    <m/>
    <n v="2"/>
    <m/>
    <s v="PCS"/>
    <n v="100000"/>
    <n v="200000"/>
    <s v="Suspension unit ceiling"/>
    <s v="Sheet"/>
    <b v="0"/>
  </r>
  <r>
    <x v="8"/>
    <x v="10"/>
    <n v="4"/>
    <m/>
    <x v="57"/>
    <m/>
    <n v="6"/>
    <m/>
    <s v="PCS"/>
    <n v="10000"/>
    <n v="60000"/>
    <s v="Suspension unit ceiling"/>
    <s v="Sheet"/>
    <b v="0"/>
  </r>
  <r>
    <x v="8"/>
    <x v="10"/>
    <n v="5"/>
    <m/>
    <x v="58"/>
    <m/>
    <n v="6"/>
    <m/>
    <s v="PCS"/>
    <n v="5000"/>
    <n v="30000"/>
    <s v="Suspension unit ceiling"/>
    <s v="Sheet"/>
    <b v="0"/>
  </r>
  <r>
    <x v="8"/>
    <x v="10"/>
    <n v="6"/>
    <m/>
    <x v="79"/>
    <m/>
    <n v="2"/>
    <m/>
    <s v="PCS"/>
    <n v="500000"/>
    <n v="1000000"/>
    <s v="Suspension unit ceiling"/>
    <s v="Sheet"/>
    <b v="0"/>
  </r>
  <r>
    <x v="8"/>
    <x v="10"/>
    <n v="7"/>
    <m/>
    <x v="80"/>
    <m/>
    <n v="2"/>
    <m/>
    <s v="PCS"/>
    <n v="10000"/>
    <n v="20000"/>
    <s v="Suspension unit ceiling"/>
    <s v="Sheet"/>
    <b v="0"/>
  </r>
  <r>
    <x v="8"/>
    <x v="10"/>
    <n v="8"/>
    <m/>
    <x v="65"/>
    <m/>
    <n v="2"/>
    <m/>
    <s v="PCS"/>
    <n v="5000"/>
    <n v="10000"/>
    <s v="Suspension unit ceiling"/>
    <s v="Sheet"/>
    <b v="0"/>
  </r>
  <r>
    <x v="8"/>
    <x v="10"/>
    <n v="9"/>
    <m/>
    <x v="40"/>
    <m/>
    <n v="2"/>
    <m/>
    <s v="PCS"/>
    <n v="60000"/>
    <n v="120000"/>
    <s v="Suspension unit ceiling"/>
    <s v="Sheet"/>
    <b v="0"/>
  </r>
  <r>
    <x v="8"/>
    <x v="10"/>
    <n v="10"/>
    <m/>
    <x v="32"/>
    <m/>
    <m/>
    <n v="3"/>
    <s v="h"/>
    <n v="13000000"/>
    <n v="39000000"/>
    <s v="Suspension unit ceiling"/>
    <s v="Sheet"/>
    <b v="0"/>
  </r>
  <r>
    <x v="8"/>
    <x v="10"/>
    <n v="11"/>
    <m/>
    <x v="35"/>
    <m/>
    <m/>
    <n v="0"/>
    <s v="%"/>
    <m/>
    <n v="0"/>
    <s v="Suspension unit ceiling"/>
    <s v="Sheet"/>
    <b v="0"/>
  </r>
  <r>
    <x v="8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8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8"/>
    <x v="11"/>
    <n v="7"/>
    <m/>
    <x v="13"/>
    <m/>
    <n v="2"/>
    <n v="2"/>
    <s v="PCS"/>
    <n v="50000"/>
    <n v="100000"/>
    <s v="Universal fixing unit"/>
    <s v="Sheet"/>
    <b v="0"/>
  </r>
  <r>
    <x v="8"/>
    <x v="11"/>
    <n v="8"/>
    <m/>
    <x v="64"/>
    <m/>
    <n v="4"/>
    <n v="4"/>
    <s v="PCS"/>
    <n v="30000"/>
    <n v="120000"/>
    <s v="Universal fixing unit"/>
    <s v="Sheet"/>
    <b v="0"/>
  </r>
  <r>
    <x v="8"/>
    <x v="11"/>
    <n v="9"/>
    <m/>
    <x v="82"/>
    <m/>
    <n v="1"/>
    <n v="1"/>
    <s v="PCS"/>
    <n v="30000"/>
    <n v="30000"/>
    <s v="Universal fixing unit"/>
    <s v="Sheet"/>
    <b v="0"/>
  </r>
  <r>
    <x v="8"/>
    <x v="11"/>
    <n v="13"/>
    <m/>
    <x v="32"/>
    <m/>
    <m/>
    <n v="1"/>
    <s v="h"/>
    <n v="13000000"/>
    <n v="13000000"/>
    <s v="Universal fixing unit"/>
    <s v="Sheet"/>
    <b v="0"/>
  </r>
  <r>
    <x v="8"/>
    <x v="11"/>
    <n v="14"/>
    <m/>
    <x v="35"/>
    <m/>
    <m/>
    <n v="0"/>
    <s v="%"/>
    <m/>
    <n v="0"/>
    <s v="Universal fixing unit"/>
    <s v="Sheet"/>
    <b v="0"/>
  </r>
  <r>
    <x v="8"/>
    <x v="11"/>
    <m/>
    <m/>
    <x v="74"/>
    <n v="300"/>
    <n v="100"/>
    <n v="2.5"/>
    <n v="7.86"/>
    <m/>
    <n v="0.58950000000000002"/>
    <s v="Universal fixing unit"/>
    <s v="Sheet"/>
    <b v="0"/>
  </r>
  <r>
    <x v="9"/>
    <x v="22"/>
    <n v="1"/>
    <s v="آلومینیوم"/>
    <x v="0"/>
    <n v="2735"/>
    <n v="2"/>
    <n v="7.6580000000000004"/>
    <s v="Kg"/>
    <n v="8500000"/>
    <n v="65092999.999999993"/>
    <s v="FEEDER-800"/>
    <s v="Sheet"/>
    <b v="0"/>
  </r>
  <r>
    <x v="9"/>
    <x v="22"/>
    <n v="2"/>
    <m/>
    <x v="1"/>
    <n v="2735"/>
    <n v="0"/>
    <n v="0"/>
    <s v="Kg"/>
    <n v="8500000"/>
    <n v="0"/>
    <s v="FEEDER-800"/>
    <s v="Sheet"/>
    <b v="0"/>
  </r>
  <r>
    <x v="9"/>
    <x v="22"/>
    <n v="3"/>
    <m/>
    <x v="2"/>
    <n v="2703"/>
    <n v="2"/>
    <n v="9.1902000000000008"/>
    <s v="Kg"/>
    <n v="8500000"/>
    <n v="78116699.999999985"/>
    <s v="FEEDER-800"/>
    <s v="Sheet"/>
    <b v="0"/>
  </r>
  <r>
    <x v="9"/>
    <x v="22"/>
    <n v="4"/>
    <m/>
    <x v="3"/>
    <n v="120"/>
    <n v="4"/>
    <n v="0.48"/>
    <s v="Kg"/>
    <n v="8500000"/>
    <n v="4080000"/>
    <s v="FEEDER-800"/>
    <s v="Sheet"/>
    <b v="0"/>
  </r>
  <r>
    <x v="9"/>
    <x v="22"/>
    <n v="5"/>
    <m/>
    <x v="4"/>
    <n v="180"/>
    <n v="4"/>
    <n v="0.95061600000000013"/>
    <s v="Kg"/>
    <n v="8500000"/>
    <n v="8080236.0000000019"/>
    <s v="FEEDER-800"/>
    <s v="Sheet"/>
    <b v="0"/>
  </r>
  <r>
    <x v="9"/>
    <x v="22"/>
    <n v="6"/>
    <m/>
    <x v="5"/>
    <n v="2970"/>
    <n v="4"/>
    <n v="14.434200000000002"/>
    <s v="Kg"/>
    <n v="8500000"/>
    <n v="122690700"/>
    <s v="FEEDER-800"/>
    <s v="Sheet"/>
    <b v="0"/>
  </r>
  <r>
    <x v="9"/>
    <x v="22"/>
    <n v="7"/>
    <s v="عایق ها"/>
    <x v="6"/>
    <n v="0.13"/>
    <n v="2.1621600000000005"/>
    <n v="2.1621600000000005"/>
    <s v="M2"/>
    <n v="4275000"/>
    <n v="9243234.0000000019"/>
    <s v="FEEDER-800"/>
    <s v="Sheet"/>
    <b v="0"/>
  </r>
  <r>
    <x v="9"/>
    <x v="22"/>
    <n v="8"/>
    <m/>
    <x v="7"/>
    <n v="0.35"/>
    <n v="0.95135040000000004"/>
    <n v="0.95135040000000004"/>
    <s v="Kg"/>
    <n v="35750000"/>
    <n v="34010776.800000004"/>
    <s v="FEEDER-800"/>
    <s v="Sheet"/>
    <b v="0"/>
  </r>
  <r>
    <x v="9"/>
    <x v="22"/>
    <n v="9"/>
    <m/>
    <x v="7"/>
    <n v="0.2"/>
    <n v="0"/>
    <n v="0"/>
    <s v="Kg"/>
    <n v="45760000"/>
    <n v="0"/>
    <s v="FEEDER-800"/>
    <s v="Sheet"/>
    <b v="0"/>
  </r>
  <r>
    <x v="9"/>
    <x v="22"/>
    <n v="10"/>
    <s v="رنگ بدنه"/>
    <x v="8"/>
    <m/>
    <n v="16.848199999999999"/>
    <n v="16.848199999999999"/>
    <s v="Kg"/>
    <n v="1430000"/>
    <n v="24092925.999999996"/>
    <s v="FEEDER-800"/>
    <s v="Sheet"/>
    <b v="0"/>
  </r>
  <r>
    <x v="9"/>
    <x v="22"/>
    <n v="11"/>
    <s v="قلع"/>
    <x v="9"/>
    <m/>
    <n v="8"/>
    <n v="8"/>
    <s v="Kg"/>
    <n v="1600000"/>
    <n v="12800000"/>
    <s v="FEEDER-800"/>
    <s v="Sheet"/>
    <b v="0"/>
  </r>
  <r>
    <x v="9"/>
    <x v="22"/>
    <n v="12"/>
    <m/>
    <x v="10"/>
    <m/>
    <n v="14.434200000000002"/>
    <n v="14.434200000000002"/>
    <s v="PCS"/>
    <n v="3600000"/>
    <n v="51963120.000000007"/>
    <s v="FEEDER-800"/>
    <s v="Sheet"/>
    <b v="0"/>
  </r>
  <r>
    <x v="9"/>
    <x v="22"/>
    <n v="13"/>
    <s v="چسب"/>
    <x v="11"/>
    <m/>
    <n v="11.88"/>
    <n v="11.88"/>
    <s v="PCS"/>
    <n v="3600000"/>
    <n v="42768000"/>
    <s v="FEEDER-800"/>
    <s v="Sheet"/>
    <b v="0"/>
  </r>
  <r>
    <x v="9"/>
    <x v="22"/>
    <n v="14"/>
    <m/>
    <x v="12"/>
    <m/>
    <n v="0.1"/>
    <n v="0.1"/>
    <s v="PCS"/>
    <n v="5500000"/>
    <n v="550000"/>
    <s v="FEEDER-800"/>
    <s v="Sheet"/>
    <b v="0"/>
  </r>
  <r>
    <x v="9"/>
    <x v="22"/>
    <n v="15"/>
    <s v="پیچ و مهره"/>
    <x v="13"/>
    <m/>
    <s v="80"/>
    <s v="80"/>
    <s v="PCS"/>
    <n v="200000"/>
    <n v="16000000"/>
    <s v="FEEDER-800"/>
    <s v="Sheet"/>
    <b v="0"/>
  </r>
  <r>
    <x v="9"/>
    <x v="22"/>
    <n v="16"/>
    <m/>
    <x v="14"/>
    <m/>
    <n v="8"/>
    <n v="8"/>
    <s v="PCS"/>
    <n v="200000"/>
    <n v="1600000"/>
    <s v="FEEDER-800"/>
    <s v="Sheet"/>
    <b v="0"/>
  </r>
  <r>
    <x v="9"/>
    <x v="22"/>
    <n v="17"/>
    <m/>
    <x v="15"/>
    <m/>
    <n v="88"/>
    <n v="88"/>
    <s v="PCS"/>
    <n v="200000"/>
    <n v="17600000"/>
    <s v="FEEDER-800"/>
    <s v="Sheet"/>
    <b v="0"/>
  </r>
  <r>
    <x v="9"/>
    <x v="22"/>
    <n v="18"/>
    <m/>
    <x v="16"/>
    <m/>
    <n v="16"/>
    <n v="16"/>
    <s v="PCS"/>
    <n v="400000"/>
    <n v="6400000"/>
    <s v="FEEDER-800"/>
    <s v="Sheet"/>
    <b v="0"/>
  </r>
  <r>
    <x v="9"/>
    <x v="22"/>
    <n v="19"/>
    <m/>
    <x v="17"/>
    <m/>
    <n v="16"/>
    <n v="16"/>
    <s v="PCS"/>
    <n v="120000"/>
    <n v="1920000"/>
    <s v="FEEDER-800"/>
    <s v="Sheet"/>
    <b v="0"/>
  </r>
  <r>
    <x v="9"/>
    <x v="22"/>
    <n v="20"/>
    <m/>
    <x v="18"/>
    <m/>
    <n v="24"/>
    <n v="24"/>
    <s v="PCS"/>
    <n v="400000"/>
    <n v="9600000"/>
    <s v="FEEDER-800"/>
    <s v="Sheet"/>
    <b v="0"/>
  </r>
  <r>
    <x v="9"/>
    <x v="22"/>
    <n v="21"/>
    <s v="مس"/>
    <x v="19"/>
    <n v="132"/>
    <n v="8"/>
    <n v="2.1288960000000001"/>
    <s v="Kg"/>
    <n v="35000000"/>
    <n v="74511360"/>
    <s v="FEEDER-800"/>
    <s v="Sheet"/>
    <b v="0"/>
  </r>
  <r>
    <x v="9"/>
    <x v="22"/>
    <n v="22"/>
    <s v="آهن"/>
    <x v="20"/>
    <s v="115 X 185"/>
    <n v="2"/>
    <n v="1"/>
    <s v="Kg"/>
    <n v="5200000"/>
    <n v="5200000"/>
    <s v="FEEDER-800"/>
    <s v="Sheet"/>
    <b v="0"/>
  </r>
  <r>
    <x v="9"/>
    <x v="22"/>
    <n v="23"/>
    <m/>
    <x v="21"/>
    <s v="425 X 265"/>
    <n v="2"/>
    <n v="1.2"/>
    <s v="Kg"/>
    <n v="5200000"/>
    <n v="6240000"/>
    <s v="FEEDER-800"/>
    <s v="Sheet"/>
    <b v="0"/>
  </r>
  <r>
    <x v="9"/>
    <x v="22"/>
    <n v="24"/>
    <s v="الومینیوم"/>
    <x v="22"/>
    <s v="163*157"/>
    <n v="2"/>
    <n v="0.57587900000000003"/>
    <s v="Kg"/>
    <n v="8500000"/>
    <n v="4894971.5"/>
    <s v="FEEDER-800"/>
    <s v="Sheet"/>
    <b v="0"/>
  </r>
  <r>
    <x v="9"/>
    <x v="22"/>
    <n v="25"/>
    <s v="پلی امید"/>
    <x v="23"/>
    <n v="0.18"/>
    <s v="2"/>
    <s v="2"/>
    <s v="PCS"/>
    <n v="715000"/>
    <n v="1430000"/>
    <s v="FEEDER-800"/>
    <s v="Sheet"/>
    <b v="0"/>
  </r>
  <r>
    <x v="9"/>
    <x v="22"/>
    <n v="26"/>
    <m/>
    <x v="24"/>
    <n v="0.2"/>
    <s v="3"/>
    <s v="3"/>
    <s v="PCS"/>
    <n v="715000"/>
    <n v="2145000"/>
    <s v="FEEDER-800"/>
    <s v="Sheet"/>
    <b v="0"/>
  </r>
  <r>
    <x v="9"/>
    <x v="22"/>
    <n v="27"/>
    <s v="ABS"/>
    <x v="25"/>
    <s v="80 mm"/>
    <n v="1"/>
    <n v="1"/>
    <s v="PCS"/>
    <n v="100000"/>
    <n v="100000"/>
    <s v="FEEDER-800"/>
    <s v="Sheet"/>
    <b v="0"/>
  </r>
  <r>
    <x v="9"/>
    <x v="22"/>
    <n v="28"/>
    <s v="پیچ و مهره"/>
    <x v="26"/>
    <m/>
    <n v="2"/>
    <n v="2"/>
    <s v="PCS"/>
    <n v="2400000"/>
    <n v="4800000"/>
    <s v="FEEDER-800"/>
    <s v="Sheet"/>
    <b v="0"/>
  </r>
  <r>
    <x v="9"/>
    <x v="22"/>
    <n v="29"/>
    <m/>
    <x v="27"/>
    <m/>
    <n v="2"/>
    <n v="2"/>
    <s v="PCS"/>
    <n v="2400000"/>
    <n v="4800000"/>
    <s v="FEEDER-800"/>
    <s v="Sheet"/>
    <b v="0"/>
  </r>
  <r>
    <x v="9"/>
    <x v="22"/>
    <n v="30"/>
    <m/>
    <x v="28"/>
    <m/>
    <n v="2"/>
    <n v="2"/>
    <s v="PCS"/>
    <n v="3000000"/>
    <n v="6000000"/>
    <s v="FEEDER-800"/>
    <s v="Sheet"/>
    <b v="0"/>
  </r>
  <r>
    <x v="9"/>
    <x v="22"/>
    <n v="31"/>
    <s v="نوار IP"/>
    <x v="29"/>
    <m/>
    <n v="2"/>
    <n v="2"/>
    <s v="PCS"/>
    <n v="1300000"/>
    <n v="2600000"/>
    <s v="FEEDER-800"/>
    <s v="Sheet"/>
    <b v="0"/>
  </r>
  <r>
    <x v="9"/>
    <x v="22"/>
    <n v="32"/>
    <s v="نوار IP"/>
    <x v="30"/>
    <m/>
    <n v="4"/>
    <n v="10.811999999999999"/>
    <s v="m"/>
    <n v="460000"/>
    <n v="4973520"/>
    <s v="FEEDER-800"/>
    <s v="Sheet"/>
    <b v="0"/>
  </r>
  <r>
    <x v="9"/>
    <x v="22"/>
    <n v="33"/>
    <s v="ترموفیت"/>
    <x v="31"/>
    <n v="50"/>
    <n v="8"/>
    <n v="0.8"/>
    <s v="m "/>
    <n v="4840000"/>
    <n v="3872000"/>
    <s v="FEEDER-800"/>
    <s v="Sheet"/>
    <b v="0"/>
  </r>
  <r>
    <x v="9"/>
    <x v="22"/>
    <n v="28"/>
    <m/>
    <x v="32"/>
    <m/>
    <m/>
    <n v="6"/>
    <s v="h"/>
    <n v="13000000"/>
    <n v="78000000"/>
    <s v="FEEDER-800"/>
    <s v="Sheet"/>
    <b v="0"/>
  </r>
  <r>
    <x v="9"/>
    <x v="1"/>
    <n v="1"/>
    <s v="آلومینیوم"/>
    <x v="0"/>
    <n v="0.76800000000000002"/>
    <n v="2"/>
    <n v="2.1503999999999999"/>
    <s v="Kg"/>
    <n v="8500000"/>
    <n v="18278400"/>
    <s v="Vertical elbow"/>
    <s v="Sheet"/>
    <b v="0"/>
  </r>
  <r>
    <x v="9"/>
    <x v="1"/>
    <n v="2"/>
    <m/>
    <x v="1"/>
    <n v="0"/>
    <n v="0"/>
    <n v="0"/>
    <s v="Kg"/>
    <n v="8500000"/>
    <n v="0"/>
    <s v="Vertical elbow"/>
    <s v="Sheet"/>
    <b v="0"/>
  </r>
  <r>
    <x v="9"/>
    <x v="1"/>
    <n v="3"/>
    <m/>
    <x v="2"/>
    <n v="0.70299999999999996"/>
    <n v="2"/>
    <n v="2.3901999999999997"/>
    <s v="Kg"/>
    <n v="8500000"/>
    <n v="20316699.999999996"/>
    <s v="Vertical elbow"/>
    <s v="Sheet"/>
    <b v="0"/>
  </r>
  <r>
    <x v="9"/>
    <x v="1"/>
    <n v="4"/>
    <m/>
    <x v="3"/>
    <n v="120"/>
    <n v="4"/>
    <n v="0.48"/>
    <s v="Kg"/>
    <n v="8500000"/>
    <n v="4080000"/>
    <s v="Vertical elbow"/>
    <s v="Sheet"/>
    <b v="0"/>
  </r>
  <r>
    <x v="9"/>
    <x v="1"/>
    <n v="5"/>
    <m/>
    <x v="4"/>
    <n v="180"/>
    <n v="4"/>
    <n v="0.95061600000000013"/>
    <s v="Kg"/>
    <n v="8500000"/>
    <n v="8080236.0000000019"/>
    <s v="Vertical elbow"/>
    <s v="Sheet"/>
    <b v="0"/>
  </r>
  <r>
    <x v="9"/>
    <x v="1"/>
    <n v="6"/>
    <m/>
    <x v="5"/>
    <n v="0.96299999999999997"/>
    <n v="4"/>
    <n v="4.68018"/>
    <s v="Kg"/>
    <n v="8500000"/>
    <n v="39781530"/>
    <s v="Vertical elbow"/>
    <s v="Sheet"/>
    <b v="0"/>
  </r>
  <r>
    <x v="9"/>
    <x v="1"/>
    <n v="7"/>
    <s v="عایق ها"/>
    <x v="6"/>
    <n v="0.13"/>
    <n v="0.70106399999999991"/>
    <n v="0.70106399999999991"/>
    <s v="M2"/>
    <n v="4275000"/>
    <n v="2997048.5999999996"/>
    <s v="Vertical elbow"/>
    <s v="Sheet"/>
    <b v="0"/>
  </r>
  <r>
    <x v="9"/>
    <x v="1"/>
    <n v="8"/>
    <m/>
    <x v="7"/>
    <n v="0.35"/>
    <n v="0"/>
    <n v="0"/>
    <s v="Kg"/>
    <n v="35750000"/>
    <n v="0"/>
    <s v="Vertical elbow"/>
    <s v="Sheet"/>
    <b v="0"/>
  </r>
  <r>
    <x v="9"/>
    <x v="1"/>
    <n v="9"/>
    <m/>
    <x v="7"/>
    <n v="0.2"/>
    <n v="0.35053199999999995"/>
    <n v="0.35053199999999995"/>
    <s v="Kg"/>
    <n v="45760000"/>
    <n v="16040344.319999998"/>
    <s v="Vertical elbow"/>
    <s v="Sheet"/>
    <b v="0"/>
  </r>
  <r>
    <x v="9"/>
    <x v="1"/>
    <n v="10"/>
    <s v="رنگ بدنه"/>
    <x v="8"/>
    <m/>
    <n v="4.5405999999999995"/>
    <n v="4.5405999999999995"/>
    <s v="PCS"/>
    <n v="1430000"/>
    <n v="6493057.9999999991"/>
    <s v="Vertical elbow"/>
    <s v="Sheet"/>
    <b v="0"/>
  </r>
  <r>
    <x v="9"/>
    <x v="1"/>
    <n v="11"/>
    <s v="قلع"/>
    <x v="9"/>
    <m/>
    <s v="8"/>
    <s v="8"/>
    <s v="Kg"/>
    <n v="1600000"/>
    <n v="12800000"/>
    <s v="Vertical elbow"/>
    <s v="Sheet"/>
    <b v="0"/>
  </r>
  <r>
    <x v="9"/>
    <x v="1"/>
    <n v="12"/>
    <m/>
    <x v="10"/>
    <m/>
    <n v="4.68018"/>
    <n v="4.68018"/>
    <s v="PCS"/>
    <n v="3600000"/>
    <n v="16848648"/>
    <s v="Vertical elbow"/>
    <s v="Sheet"/>
    <b v="0"/>
  </r>
  <r>
    <x v="9"/>
    <x v="1"/>
    <n v="13"/>
    <s v="چسب"/>
    <x v="11"/>
    <m/>
    <n v="3.8519999999999999"/>
    <n v="3.8519999999999999"/>
    <s v="PCS"/>
    <n v="3600000"/>
    <n v="13867200"/>
    <s v="Vertical elbow"/>
    <s v="Sheet"/>
    <b v="0"/>
  </r>
  <r>
    <x v="9"/>
    <x v="1"/>
    <n v="14"/>
    <m/>
    <x v="12"/>
    <m/>
    <n v="0.1"/>
    <n v="0.1"/>
    <s v="PCS"/>
    <n v="5500000"/>
    <n v="550000"/>
    <s v="Vertical elbow"/>
    <s v="Sheet"/>
    <b v="0"/>
  </r>
  <r>
    <x v="9"/>
    <x v="1"/>
    <n v="15"/>
    <s v="پیچ و مهره"/>
    <x v="13"/>
    <m/>
    <n v="20"/>
    <n v="20"/>
    <s v="PCS"/>
    <n v="200000"/>
    <n v="4000000"/>
    <s v="Vertical elbow"/>
    <s v="Sheet"/>
    <b v="0"/>
  </r>
  <r>
    <x v="9"/>
    <x v="1"/>
    <n v="16"/>
    <m/>
    <x v="14"/>
    <m/>
    <n v="8"/>
    <n v="8"/>
    <s v="PCS"/>
    <n v="200000"/>
    <n v="1600000"/>
    <s v="Vertical elbow"/>
    <s v="Sheet"/>
    <b v="0"/>
  </r>
  <r>
    <x v="9"/>
    <x v="1"/>
    <n v="17"/>
    <m/>
    <x v="15"/>
    <m/>
    <n v="28"/>
    <n v="28"/>
    <s v="PCS"/>
    <n v="200000"/>
    <n v="5600000"/>
    <s v="Vertical elbow"/>
    <s v="Sheet"/>
    <b v="0"/>
  </r>
  <r>
    <x v="9"/>
    <x v="1"/>
    <n v="18"/>
    <m/>
    <x v="16"/>
    <m/>
    <n v="16"/>
    <n v="16"/>
    <s v="PCS"/>
    <n v="400000"/>
    <n v="6400000"/>
    <s v="Vertical elbow"/>
    <s v="Sheet"/>
    <b v="0"/>
  </r>
  <r>
    <x v="9"/>
    <x v="1"/>
    <n v="19"/>
    <m/>
    <x v="17"/>
    <m/>
    <n v="16"/>
    <n v="16"/>
    <s v="PCS"/>
    <n v="120000"/>
    <n v="1920000"/>
    <s v="Vertical elbow"/>
    <s v="Sheet"/>
    <b v="0"/>
  </r>
  <r>
    <x v="9"/>
    <x v="1"/>
    <n v="20"/>
    <m/>
    <x v="18"/>
    <m/>
    <n v="24"/>
    <n v="24"/>
    <s v="PCS"/>
    <n v="400000"/>
    <n v="9600000"/>
    <s v="Vertical elbow"/>
    <s v="Sheet"/>
    <b v="0"/>
  </r>
  <r>
    <x v="9"/>
    <x v="1"/>
    <n v="21"/>
    <s v="مس"/>
    <x v="19"/>
    <n v="132"/>
    <s v="8"/>
    <n v="2.1288960000000001"/>
    <s v="Kg"/>
    <n v="35000000"/>
    <n v="74511360"/>
    <s v="Vertical elbow"/>
    <s v="Sheet"/>
    <b v="0"/>
  </r>
  <r>
    <x v="9"/>
    <x v="1"/>
    <n v="22"/>
    <s v="آهن"/>
    <x v="20"/>
    <s v="115 X 185"/>
    <n v="2"/>
    <n v="1"/>
    <s v="Kg"/>
    <n v="5200000"/>
    <n v="5200000"/>
    <s v="Vertical elbow"/>
    <s v="Sheet"/>
    <b v="0"/>
  </r>
  <r>
    <x v="9"/>
    <x v="1"/>
    <n v="23"/>
    <m/>
    <x v="21"/>
    <s v="425 X 265"/>
    <n v="2"/>
    <n v="1.2"/>
    <s v="Kg"/>
    <n v="5200000"/>
    <n v="6240000"/>
    <s v="Vertical elbow"/>
    <s v="Sheet"/>
    <b v="0"/>
  </r>
  <r>
    <x v="9"/>
    <x v="1"/>
    <n v="24"/>
    <s v="الومینیوم"/>
    <x v="22"/>
    <s v="163*157"/>
    <n v="2"/>
    <n v="0.57587900000000003"/>
    <s v="Kg"/>
    <n v="8500000"/>
    <n v="4894971.5"/>
    <s v="Vertical elbow"/>
    <s v="Sheet"/>
    <b v="0"/>
  </r>
  <r>
    <x v="9"/>
    <x v="1"/>
    <n v="25"/>
    <s v="پلی امید"/>
    <x v="23"/>
    <n v="0.18"/>
    <n v="2"/>
    <n v="2"/>
    <s v="PCS"/>
    <n v="715000"/>
    <n v="1430000"/>
    <s v="Vertical elbow"/>
    <s v="Sheet"/>
    <b v="0"/>
  </r>
  <r>
    <x v="9"/>
    <x v="1"/>
    <n v="26"/>
    <m/>
    <x v="24"/>
    <n v="0.2"/>
    <n v="3"/>
    <n v="3"/>
    <s v="PCS"/>
    <n v="715000"/>
    <n v="2145000"/>
    <s v="Vertical elbow"/>
    <s v="Sheet"/>
    <b v="0"/>
  </r>
  <r>
    <x v="9"/>
    <x v="1"/>
    <n v="27"/>
    <s v="ABS"/>
    <x v="25"/>
    <s v="80 mm"/>
    <n v="1"/>
    <n v="1"/>
    <s v="PCS"/>
    <n v="100000"/>
    <n v="100000"/>
    <s v="Vertical elbow"/>
    <s v="Sheet"/>
    <b v="0"/>
  </r>
  <r>
    <x v="9"/>
    <x v="1"/>
    <n v="28"/>
    <s v="پیچ و مهره"/>
    <x v="26"/>
    <m/>
    <n v="2"/>
    <n v="2"/>
    <s v="PCS"/>
    <n v="2400000"/>
    <n v="4800000"/>
    <s v="Vertical elbow"/>
    <s v="Sheet"/>
    <b v="0"/>
  </r>
  <r>
    <x v="9"/>
    <x v="1"/>
    <n v="29"/>
    <m/>
    <x v="27"/>
    <m/>
    <n v="2"/>
    <n v="2"/>
    <s v="PCS"/>
    <n v="2400000"/>
    <n v="4800000"/>
    <s v="Vertical elbow"/>
    <s v="Sheet"/>
    <b v="0"/>
  </r>
  <r>
    <x v="9"/>
    <x v="1"/>
    <n v="30"/>
    <m/>
    <x v="28"/>
    <m/>
    <n v="2"/>
    <n v="2"/>
    <s v="PCS"/>
    <n v="3000000"/>
    <n v="6000000"/>
    <s v="Vertical elbow"/>
    <s v="Sheet"/>
    <b v="0"/>
  </r>
  <r>
    <x v="9"/>
    <x v="1"/>
    <n v="31"/>
    <s v="جوش"/>
    <x v="33"/>
    <m/>
    <n v="1"/>
    <n v="2"/>
    <s v="PCS"/>
    <n v="30000000"/>
    <n v="60000000"/>
    <s v="Vertical elbow"/>
    <s v="Sheet"/>
    <b v="0"/>
  </r>
  <r>
    <x v="9"/>
    <x v="1"/>
    <n v="32"/>
    <m/>
    <x v="34"/>
    <m/>
    <n v="1"/>
    <n v="4"/>
    <m/>
    <n v="14000000"/>
    <n v="56000000"/>
    <s v="Vertical elbow"/>
    <s v="Sheet"/>
    <b v="0"/>
  </r>
  <r>
    <x v="9"/>
    <x v="1"/>
    <n v="33"/>
    <s v="نوار IP"/>
    <x v="29"/>
    <m/>
    <n v="2"/>
    <n v="2"/>
    <s v="PCS"/>
    <n v="1300000"/>
    <n v="2600000"/>
    <s v="Vertical elbow"/>
    <s v="Sheet"/>
    <b v="0"/>
  </r>
  <r>
    <x v="9"/>
    <x v="1"/>
    <n v="34"/>
    <s v="نوار IP"/>
    <x v="30"/>
    <m/>
    <n v="4"/>
    <n v="2.8119999999999998"/>
    <s v="m"/>
    <n v="460000"/>
    <n v="1293520"/>
    <s v="Vertical elbow"/>
    <s v="Sheet"/>
    <b v="0"/>
  </r>
  <r>
    <x v="9"/>
    <x v="1"/>
    <n v="35"/>
    <s v="ترموفیت"/>
    <x v="31"/>
    <n v="50"/>
    <n v="8"/>
    <n v="0.8"/>
    <s v="m "/>
    <n v="4840000"/>
    <n v="3872000"/>
    <s v="Vertical elbow"/>
    <s v="Sheet"/>
    <b v="0"/>
  </r>
  <r>
    <x v="9"/>
    <x v="1"/>
    <n v="28"/>
    <m/>
    <x v="32"/>
    <m/>
    <m/>
    <n v="10"/>
    <s v="h"/>
    <n v="13000000"/>
    <n v="130000000"/>
    <s v="Vertical elbow"/>
    <s v="Sheet"/>
    <b v="0"/>
  </r>
  <r>
    <x v="9"/>
    <x v="1"/>
    <n v="29"/>
    <m/>
    <x v="35"/>
    <m/>
    <m/>
    <n v="0"/>
    <s v="%"/>
    <m/>
    <n v="0"/>
    <s v="Vertical elbow"/>
    <s v="Sheet"/>
    <b v="0"/>
  </r>
  <r>
    <x v="9"/>
    <x v="2"/>
    <n v="1"/>
    <s v="آلومینیوم"/>
    <x v="0"/>
    <n v="0.33500000000000002"/>
    <n v="2"/>
    <n v="0.93799999999999994"/>
    <s v="Kg"/>
    <n v="8500000"/>
    <n v="7972999.9999999981"/>
    <s v="Horizontal elbow"/>
    <s v="Sheet"/>
    <b v="0"/>
  </r>
  <r>
    <x v="9"/>
    <x v="2"/>
    <n v="2"/>
    <m/>
    <x v="1"/>
    <n v="0"/>
    <n v="0"/>
    <n v="0"/>
    <s v="Kg"/>
    <n v="8500000"/>
    <n v="0"/>
    <s v="Horizontal elbow"/>
    <s v="Sheet"/>
    <b v="0"/>
  </r>
  <r>
    <x v="9"/>
    <x v="2"/>
    <n v="3"/>
    <m/>
    <x v="2"/>
    <n v="0.33500000000000002"/>
    <n v="2"/>
    <n v="1.139"/>
    <s v="Kg"/>
    <n v="8500000"/>
    <n v="9681500"/>
    <s v="Horizontal elbow"/>
    <s v="Sheet"/>
    <b v="0"/>
  </r>
  <r>
    <x v="9"/>
    <x v="2"/>
    <n v="4"/>
    <m/>
    <x v="3"/>
    <n v="120"/>
    <n v="4"/>
    <n v="0.48"/>
    <s v="Kg"/>
    <n v="8500000"/>
    <n v="4080000"/>
    <s v="Horizontal elbow"/>
    <s v="Sheet"/>
    <b v="0"/>
  </r>
  <r>
    <x v="9"/>
    <x v="2"/>
    <n v="5"/>
    <m/>
    <x v="4"/>
    <n v="180"/>
    <n v="4"/>
    <n v="0.95061600000000013"/>
    <s v="Kg"/>
    <n v="8500000"/>
    <n v="8080236.0000000019"/>
    <s v="Horizontal elbow"/>
    <s v="Sheet"/>
    <b v="0"/>
  </r>
  <r>
    <x v="9"/>
    <x v="2"/>
    <n v="6"/>
    <m/>
    <x v="5"/>
    <n v="0.55800000000000005"/>
    <n v="4"/>
    <n v="2.7118800000000003"/>
    <s v="Kg"/>
    <n v="8500000"/>
    <n v="23050980.000000004"/>
    <s v="Horizontal elbow"/>
    <s v="Sheet"/>
    <b v="0"/>
  </r>
  <r>
    <x v="9"/>
    <x v="2"/>
    <n v="7"/>
    <s v="عایق ها"/>
    <x v="6"/>
    <n v="0.13"/>
    <n v="0.40622399999999997"/>
    <n v="0.40622399999999997"/>
    <s v="M2"/>
    <n v="4275000"/>
    <n v="1736607.6"/>
    <s v="Horizontal elbow"/>
    <s v="Sheet"/>
    <b v="0"/>
  </r>
  <r>
    <x v="9"/>
    <x v="2"/>
    <n v="8"/>
    <m/>
    <x v="7"/>
    <n v="0.35"/>
    <n v="0"/>
    <n v="0"/>
    <s v="Kg"/>
    <n v="35750000"/>
    <n v="0"/>
    <s v="Horizontal elbow"/>
    <s v="Sheet"/>
    <b v="0"/>
  </r>
  <r>
    <x v="9"/>
    <x v="2"/>
    <n v="9"/>
    <m/>
    <x v="7"/>
    <n v="0.2"/>
    <n v="0.20311199999999999"/>
    <n v="0.20311199999999999"/>
    <s v="Kg"/>
    <n v="45760000"/>
    <n v="9294405.1199999992"/>
    <s v="Horizontal elbow"/>
    <s v="Sheet"/>
    <b v="0"/>
  </r>
  <r>
    <x v="9"/>
    <x v="2"/>
    <n v="10"/>
    <s v="رنگ بدنه"/>
    <x v="8"/>
    <m/>
    <n v="2.077"/>
    <n v="2.077"/>
    <s v="PCS"/>
    <n v="1430000"/>
    <n v="2970110"/>
    <s v="Horizontal elbow"/>
    <s v="Sheet"/>
    <b v="0"/>
  </r>
  <r>
    <x v="9"/>
    <x v="2"/>
    <n v="11"/>
    <s v="قلع"/>
    <x v="9"/>
    <m/>
    <s v="8"/>
    <s v="8"/>
    <s v="Kg"/>
    <n v="1600000"/>
    <n v="12800000"/>
    <s v="Horizontal elbow"/>
    <s v="Sheet"/>
    <b v="0"/>
  </r>
  <r>
    <x v="9"/>
    <x v="2"/>
    <n v="12"/>
    <m/>
    <x v="10"/>
    <m/>
    <n v="2.7118800000000003"/>
    <n v="2.7118800000000003"/>
    <s v="PCS"/>
    <n v="3600000"/>
    <n v="9762768.0000000019"/>
    <s v="Horizontal elbow"/>
    <s v="Sheet"/>
    <b v="0"/>
  </r>
  <r>
    <x v="9"/>
    <x v="2"/>
    <n v="13"/>
    <s v="چسب"/>
    <x v="11"/>
    <m/>
    <n v="2.2320000000000002"/>
    <n v="2.2320000000000002"/>
    <s v="PCS"/>
    <n v="3600000"/>
    <n v="8035200.0000000019"/>
    <s v="Horizontal elbow"/>
    <s v="Sheet"/>
    <b v="0"/>
  </r>
  <r>
    <x v="9"/>
    <x v="2"/>
    <n v="14"/>
    <m/>
    <x v="12"/>
    <m/>
    <n v="0.1"/>
    <n v="0.1"/>
    <s v="PCS"/>
    <n v="5500000"/>
    <n v="550000"/>
    <s v="Horizontal elbow"/>
    <s v="Sheet"/>
    <b v="0"/>
  </r>
  <r>
    <x v="9"/>
    <x v="2"/>
    <n v="15"/>
    <s v="پیچ و مهره"/>
    <x v="13"/>
    <m/>
    <n v="20"/>
    <n v="20"/>
    <s v="PCS"/>
    <n v="200000"/>
    <n v="4000000"/>
    <s v="Horizontal elbow"/>
    <s v="Sheet"/>
    <b v="0"/>
  </r>
  <r>
    <x v="9"/>
    <x v="2"/>
    <n v="16"/>
    <m/>
    <x v="14"/>
    <m/>
    <n v="8"/>
    <n v="8"/>
    <s v="PCS"/>
    <n v="200000"/>
    <n v="1600000"/>
    <s v="Horizontal elbow"/>
    <s v="Sheet"/>
    <b v="0"/>
  </r>
  <r>
    <x v="9"/>
    <x v="2"/>
    <n v="17"/>
    <m/>
    <x v="15"/>
    <m/>
    <n v="16"/>
    <n v="16"/>
    <s v="PCS"/>
    <n v="200000"/>
    <n v="3200000"/>
    <s v="Horizontal elbow"/>
    <s v="Sheet"/>
    <b v="0"/>
  </r>
  <r>
    <x v="9"/>
    <x v="2"/>
    <n v="18"/>
    <m/>
    <x v="16"/>
    <m/>
    <n v="16"/>
    <n v="16"/>
    <s v="PCS"/>
    <n v="400000"/>
    <n v="6400000"/>
    <s v="Horizontal elbow"/>
    <s v="Sheet"/>
    <b v="0"/>
  </r>
  <r>
    <x v="9"/>
    <x v="2"/>
    <n v="19"/>
    <m/>
    <x v="17"/>
    <m/>
    <n v="16"/>
    <n v="16"/>
    <s v="PCS"/>
    <n v="120000"/>
    <n v="1920000"/>
    <s v="Horizontal elbow"/>
    <s v="Sheet"/>
    <b v="0"/>
  </r>
  <r>
    <x v="9"/>
    <x v="2"/>
    <n v="20"/>
    <m/>
    <x v="18"/>
    <m/>
    <n v="24"/>
    <n v="24"/>
    <s v="PCS"/>
    <n v="400000"/>
    <n v="9600000"/>
    <s v="Horizontal elbow"/>
    <s v="Sheet"/>
    <b v="0"/>
  </r>
  <r>
    <x v="9"/>
    <x v="2"/>
    <n v="21"/>
    <s v="مس"/>
    <x v="19"/>
    <n v="132"/>
    <s v="8"/>
    <n v="2.1288960000000001"/>
    <s v="Kg"/>
    <n v="35000000"/>
    <n v="74511360"/>
    <s v="Horizontal elbow"/>
    <s v="Sheet"/>
    <b v="0"/>
  </r>
  <r>
    <x v="9"/>
    <x v="2"/>
    <n v="22"/>
    <s v="آهن"/>
    <x v="20"/>
    <s v="115 X 185"/>
    <n v="2"/>
    <n v="1"/>
    <s v="Kg"/>
    <n v="5200000"/>
    <n v="5200000"/>
    <s v="Horizontal elbow"/>
    <s v="Sheet"/>
    <b v="0"/>
  </r>
  <r>
    <x v="9"/>
    <x v="2"/>
    <n v="23"/>
    <m/>
    <x v="21"/>
    <s v="425 X 265"/>
    <n v="2"/>
    <n v="1.2"/>
    <s v="Kg"/>
    <n v="5200000"/>
    <n v="6240000"/>
    <s v="Horizontal elbow"/>
    <s v="Sheet"/>
    <b v="0"/>
  </r>
  <r>
    <x v="9"/>
    <x v="2"/>
    <n v="24"/>
    <s v="الومینیوم"/>
    <x v="22"/>
    <s v="163*157"/>
    <n v="2"/>
    <n v="0.57587900000000003"/>
    <s v="Kg"/>
    <n v="8500000"/>
    <n v="4894971.5"/>
    <s v="Horizontal elbow"/>
    <s v="Sheet"/>
    <b v="0"/>
  </r>
  <r>
    <x v="9"/>
    <x v="2"/>
    <n v="25"/>
    <s v="پلی امید"/>
    <x v="23"/>
    <n v="0.18"/>
    <n v="2"/>
    <n v="2"/>
    <s v="PCS"/>
    <n v="715000"/>
    <n v="1430000"/>
    <s v="Horizontal elbow"/>
    <s v="Sheet"/>
    <b v="0"/>
  </r>
  <r>
    <x v="9"/>
    <x v="2"/>
    <n v="26"/>
    <m/>
    <x v="24"/>
    <n v="0.2"/>
    <n v="3"/>
    <n v="3"/>
    <s v="PCS"/>
    <n v="715000"/>
    <n v="2145000"/>
    <s v="Horizontal elbow"/>
    <s v="Sheet"/>
    <b v="0"/>
  </r>
  <r>
    <x v="9"/>
    <x v="2"/>
    <n v="27"/>
    <s v="ABS"/>
    <x v="25"/>
    <s v="80 mm"/>
    <n v="1"/>
    <n v="1"/>
    <s v="PCS"/>
    <n v="100000"/>
    <n v="100000"/>
    <s v="Horizontal elbow"/>
    <s v="Sheet"/>
    <b v="0"/>
  </r>
  <r>
    <x v="9"/>
    <x v="2"/>
    <n v="28"/>
    <s v="پیچ و مهره"/>
    <x v="26"/>
    <m/>
    <n v="2"/>
    <n v="2"/>
    <s v="PCS"/>
    <n v="2400000"/>
    <n v="4800000"/>
    <s v="Horizontal elbow"/>
    <s v="Sheet"/>
    <b v="0"/>
  </r>
  <r>
    <x v="9"/>
    <x v="2"/>
    <n v="29"/>
    <m/>
    <x v="27"/>
    <m/>
    <n v="2"/>
    <n v="2"/>
    <s v="PCS"/>
    <n v="2400000"/>
    <n v="4800000"/>
    <s v="Horizontal elbow"/>
    <s v="Sheet"/>
    <b v="0"/>
  </r>
  <r>
    <x v="9"/>
    <x v="2"/>
    <n v="30"/>
    <m/>
    <x v="28"/>
    <m/>
    <n v="2"/>
    <n v="2"/>
    <s v="PCS"/>
    <n v="3000000"/>
    <n v="6000000"/>
    <s v="Horizontal elbow"/>
    <s v="Sheet"/>
    <b v="0"/>
  </r>
  <r>
    <x v="9"/>
    <x v="2"/>
    <n v="31"/>
    <s v="جوش"/>
    <x v="33"/>
    <m/>
    <n v="1"/>
    <n v="2"/>
    <s v="PCS"/>
    <n v="30000000"/>
    <n v="60000000"/>
    <s v="Horizontal elbow"/>
    <s v="Sheet"/>
    <b v="0"/>
  </r>
  <r>
    <x v="9"/>
    <x v="2"/>
    <n v="32"/>
    <m/>
    <x v="34"/>
    <m/>
    <n v="1"/>
    <n v="0"/>
    <s v="PCS"/>
    <n v="14000000"/>
    <n v="0"/>
    <s v="Horizontal elbow"/>
    <s v="Sheet"/>
    <b v="0"/>
  </r>
  <r>
    <x v="9"/>
    <x v="2"/>
    <n v="33"/>
    <s v="نوار IP"/>
    <x v="29"/>
    <m/>
    <n v="2"/>
    <n v="2"/>
    <s v="PCS"/>
    <n v="1300000"/>
    <n v="2600000"/>
    <s v="Horizontal elbow"/>
    <s v="Sheet"/>
    <b v="0"/>
  </r>
  <r>
    <x v="9"/>
    <x v="2"/>
    <n v="34"/>
    <s v="نوار IP"/>
    <x v="30"/>
    <m/>
    <n v="4"/>
    <n v="1.34"/>
    <s v="m"/>
    <n v="460000"/>
    <n v="616400"/>
    <s v="Horizontal elbow"/>
    <s v="Sheet"/>
    <b v="0"/>
  </r>
  <r>
    <x v="9"/>
    <x v="2"/>
    <n v="35"/>
    <s v="ترموفیت"/>
    <x v="31"/>
    <n v="50"/>
    <n v="8"/>
    <n v="0.8"/>
    <s v="m "/>
    <n v="4840000"/>
    <n v="3872000"/>
    <s v="Horizontal elbow"/>
    <s v="Sheet"/>
    <b v="0"/>
  </r>
  <r>
    <x v="9"/>
    <x v="2"/>
    <n v="28"/>
    <m/>
    <x v="32"/>
    <m/>
    <m/>
    <n v="8"/>
    <s v="h"/>
    <n v="13000000"/>
    <n v="104000000"/>
    <s v="Horizontal elbow"/>
    <s v="Sheet"/>
    <b v="0"/>
  </r>
  <r>
    <x v="9"/>
    <x v="2"/>
    <n v="29"/>
    <m/>
    <x v="35"/>
    <m/>
    <m/>
    <n v="0"/>
    <s v="%"/>
    <m/>
    <n v="0"/>
    <s v="Horizontal elbow"/>
    <s v="Sheet"/>
    <b v="0"/>
  </r>
  <r>
    <x v="9"/>
    <x v="3"/>
    <n v="1"/>
    <s v="آلومینیوم"/>
    <x v="0"/>
    <n v="168"/>
    <n v="2"/>
    <n v="0.47039999999999998"/>
    <s v="Kg"/>
    <n v="8500000"/>
    <n v="3998400"/>
    <s v="Flange end "/>
    <s v="Sheet"/>
    <b v="0"/>
  </r>
  <r>
    <x v="9"/>
    <x v="3"/>
    <n v="2"/>
    <m/>
    <x v="1"/>
    <n v="0"/>
    <n v="0"/>
    <n v="0"/>
    <s v="Kg"/>
    <n v="8500000"/>
    <n v="0"/>
    <s v="Flange end "/>
    <s v="Sheet"/>
    <b v="0"/>
  </r>
  <r>
    <x v="9"/>
    <x v="3"/>
    <n v="3"/>
    <m/>
    <x v="2"/>
    <n v="168"/>
    <n v="2"/>
    <n v="0.57119999999999993"/>
    <s v="Kg"/>
    <n v="8500000"/>
    <n v="4855199.9999999991"/>
    <s v="Flange end "/>
    <s v="Sheet"/>
    <b v="0"/>
  </r>
  <r>
    <x v="9"/>
    <x v="3"/>
    <n v="4"/>
    <m/>
    <x v="3"/>
    <n v="120"/>
    <n v="4"/>
    <n v="0.48"/>
    <s v="Kg"/>
    <n v="8500000"/>
    <n v="4080000"/>
    <s v="Flange end "/>
    <s v="Sheet"/>
    <b v="0"/>
  </r>
  <r>
    <x v="9"/>
    <x v="3"/>
    <n v="5"/>
    <m/>
    <x v="4"/>
    <n v="180"/>
    <n v="2"/>
    <n v="0.47530800000000006"/>
    <s v="Kg"/>
    <n v="8500000"/>
    <n v="4040118.0000000009"/>
    <s v="Flange end "/>
    <s v="Sheet"/>
    <b v="0"/>
  </r>
  <r>
    <x v="9"/>
    <x v="3"/>
    <n v="6"/>
    <m/>
    <x v="5"/>
    <n v="0.58799999999999997"/>
    <n v="4"/>
    <n v="2.8576800000000002"/>
    <s v="Kg"/>
    <n v="8500000"/>
    <n v="24290280.000000004"/>
    <s v="Flange end "/>
    <s v="Sheet"/>
    <b v="0"/>
  </r>
  <r>
    <x v="9"/>
    <x v="3"/>
    <n v="7"/>
    <s v="عایق ها"/>
    <x v="6"/>
    <n v="0.13"/>
    <n v="0.42806399999999994"/>
    <n v="0.42806399999999994"/>
    <s v="M2"/>
    <n v="4275000"/>
    <n v="1829973.6"/>
    <s v="Flange end "/>
    <s v="Sheet"/>
    <b v="0"/>
  </r>
  <r>
    <x v="9"/>
    <x v="3"/>
    <n v="8"/>
    <m/>
    <x v="7"/>
    <n v="0.35"/>
    <n v="0"/>
    <n v="0"/>
    <s v="Kg"/>
    <n v="35750000"/>
    <n v="0"/>
    <s v="Flange end "/>
    <s v="Sheet"/>
    <b v="0"/>
  </r>
  <r>
    <x v="9"/>
    <x v="3"/>
    <n v="9"/>
    <m/>
    <x v="7"/>
    <n v="0.2"/>
    <n v="0.21403199999999997"/>
    <n v="0.21403199999999997"/>
    <s v="Kg"/>
    <n v="45760000"/>
    <n v="9794104.3199999984"/>
    <s v="Flange end "/>
    <s v="Sheet"/>
    <b v="0"/>
  </r>
  <r>
    <x v="9"/>
    <x v="3"/>
    <n v="10"/>
    <s v="رنگ بدنه"/>
    <x v="8"/>
    <m/>
    <n v="1.0416000000000001"/>
    <n v="1.0416000000000001"/>
    <s v="Kg"/>
    <n v="1430000"/>
    <n v="1489487.9999999998"/>
    <s v="Flange end "/>
    <s v="Sheet"/>
    <b v="0"/>
  </r>
  <r>
    <x v="9"/>
    <x v="3"/>
    <n v="11"/>
    <s v="قلع"/>
    <x v="9"/>
    <m/>
    <n v="8"/>
    <n v="8"/>
    <s v="Kg"/>
    <n v="1600000"/>
    <n v="12800000"/>
    <s v="Flange end "/>
    <s v="Sheet"/>
    <b v="0"/>
  </r>
  <r>
    <x v="9"/>
    <x v="3"/>
    <n v="12"/>
    <m/>
    <x v="10"/>
    <m/>
    <n v="2.8576800000000002"/>
    <n v="2.8576800000000002"/>
    <s v="PCS"/>
    <n v="3600000"/>
    <n v="10287648"/>
    <s v="Flange end "/>
    <s v="Sheet"/>
    <b v="0"/>
  </r>
  <r>
    <x v="9"/>
    <x v="3"/>
    <n v="13"/>
    <s v="چسب"/>
    <x v="11"/>
    <m/>
    <n v="2.3519999999999999"/>
    <n v="2.3519999999999999"/>
    <s v="PCS"/>
    <n v="3600000"/>
    <n v="8467200"/>
    <s v="Flange end "/>
    <s v="Sheet"/>
    <b v="0"/>
  </r>
  <r>
    <x v="9"/>
    <x v="3"/>
    <n v="14"/>
    <m/>
    <x v="12"/>
    <m/>
    <n v="0.1"/>
    <n v="0.1"/>
    <s v="PCS"/>
    <n v="5500000"/>
    <n v="550000"/>
    <s v="Flange end "/>
    <s v="Sheet"/>
    <b v="0"/>
  </r>
  <r>
    <x v="9"/>
    <x v="3"/>
    <n v="15"/>
    <s v="پیچ و مهره"/>
    <x v="13"/>
    <m/>
    <s v="80"/>
    <n v="8"/>
    <s v="PCS"/>
    <n v="200000"/>
    <n v="1600000"/>
    <s v="Flange end "/>
    <s v="Sheet"/>
    <b v="0"/>
  </r>
  <r>
    <x v="9"/>
    <x v="3"/>
    <n v="16"/>
    <m/>
    <x v="14"/>
    <m/>
    <n v="8"/>
    <n v="8"/>
    <s v="PCS"/>
    <n v="200000"/>
    <n v="1600000"/>
    <s v="Flange end "/>
    <s v="Sheet"/>
    <b v="0"/>
  </r>
  <r>
    <x v="9"/>
    <x v="3"/>
    <n v="17"/>
    <m/>
    <x v="15"/>
    <m/>
    <n v="88"/>
    <n v="16"/>
    <s v="PCS"/>
    <n v="200000"/>
    <n v="3200000"/>
    <s v="Flange end "/>
    <s v="Sheet"/>
    <b v="0"/>
  </r>
  <r>
    <x v="9"/>
    <x v="3"/>
    <n v="18"/>
    <m/>
    <x v="16"/>
    <m/>
    <n v="16"/>
    <n v="16"/>
    <s v="PCS"/>
    <n v="400000"/>
    <n v="6400000"/>
    <s v="Flange end "/>
    <s v="Sheet"/>
    <b v="0"/>
  </r>
  <r>
    <x v="9"/>
    <x v="3"/>
    <n v="19"/>
    <m/>
    <x v="17"/>
    <m/>
    <n v="16"/>
    <n v="16"/>
    <s v="PCS"/>
    <n v="120000"/>
    <n v="1920000"/>
    <s v="Flange end "/>
    <s v="Sheet"/>
    <b v="0"/>
  </r>
  <r>
    <x v="9"/>
    <x v="3"/>
    <n v="20"/>
    <m/>
    <x v="18"/>
    <m/>
    <n v="24"/>
    <n v="24"/>
    <s v="PCS"/>
    <n v="400000"/>
    <n v="9600000"/>
    <s v="Flange end "/>
    <s v="Sheet"/>
    <b v="0"/>
  </r>
  <r>
    <x v="9"/>
    <x v="3"/>
    <n v="21"/>
    <s v="مس"/>
    <x v="19"/>
    <n v="132"/>
    <n v="8"/>
    <n v="2.1288960000000001"/>
    <s v="Kg"/>
    <n v="35000000"/>
    <n v="74511360"/>
    <s v="Flange end "/>
    <s v="Sheet"/>
    <b v="0"/>
  </r>
  <r>
    <x v="9"/>
    <x v="3"/>
    <n v="22"/>
    <s v="آهن"/>
    <x v="20"/>
    <s v="115 X 185"/>
    <n v="2"/>
    <n v="1"/>
    <s v="Kg"/>
    <n v="5200000"/>
    <n v="5200000"/>
    <s v="Flange end "/>
    <s v="Sheet"/>
    <b v="0"/>
  </r>
  <r>
    <x v="9"/>
    <x v="3"/>
    <n v="23"/>
    <m/>
    <x v="21"/>
    <s v="425 X 265"/>
    <n v="2"/>
    <n v="1.2"/>
    <s v="Kg"/>
    <n v="5200000"/>
    <n v="6240000"/>
    <s v="Flange end "/>
    <s v="Sheet"/>
    <b v="0"/>
  </r>
  <r>
    <x v="9"/>
    <x v="3"/>
    <n v="24"/>
    <s v="الومینیوم"/>
    <x v="22"/>
    <s v="163*157"/>
    <n v="2"/>
    <n v="0.57587900000000003"/>
    <s v="Kg"/>
    <n v="8500000"/>
    <n v="4894971.5"/>
    <s v="Flange end "/>
    <s v="Sheet"/>
    <b v="0"/>
  </r>
  <r>
    <x v="9"/>
    <x v="3"/>
    <n v="25"/>
    <s v="پلی امید"/>
    <x v="23"/>
    <n v="0.18"/>
    <s v="2"/>
    <s v="2"/>
    <s v="PCS"/>
    <n v="715000"/>
    <n v="1430000"/>
    <s v="Flange end "/>
    <s v="Sheet"/>
    <b v="0"/>
  </r>
  <r>
    <x v="9"/>
    <x v="3"/>
    <n v="26"/>
    <m/>
    <x v="24"/>
    <n v="0.2"/>
    <s v="3"/>
    <s v="3"/>
    <s v="PCS"/>
    <n v="715000"/>
    <n v="2145000"/>
    <s v="Flange end "/>
    <s v="Sheet"/>
    <b v="0"/>
  </r>
  <r>
    <x v="9"/>
    <x v="3"/>
    <n v="27"/>
    <s v="ABS"/>
    <x v="25"/>
    <s v="80 mm"/>
    <n v="1"/>
    <n v="1"/>
    <s v="PCS"/>
    <n v="100000"/>
    <n v="100000"/>
    <s v="Flange end "/>
    <s v="Sheet"/>
    <b v="0"/>
  </r>
  <r>
    <x v="9"/>
    <x v="3"/>
    <n v="28"/>
    <s v="پیچ و مهره"/>
    <x v="26"/>
    <m/>
    <n v="2"/>
    <n v="2"/>
    <s v="PCS"/>
    <n v="2400000"/>
    <n v="4800000"/>
    <s v="Flange end "/>
    <s v="Sheet"/>
    <b v="0"/>
  </r>
  <r>
    <x v="9"/>
    <x v="3"/>
    <n v="29"/>
    <m/>
    <x v="27"/>
    <m/>
    <n v="2"/>
    <n v="2"/>
    <s v="PCS"/>
    <n v="2400000"/>
    <n v="4800000"/>
    <s v="Flange end "/>
    <s v="Sheet"/>
    <b v="0"/>
  </r>
  <r>
    <x v="9"/>
    <x v="3"/>
    <n v="30"/>
    <m/>
    <x v="28"/>
    <m/>
    <n v="2"/>
    <n v="2"/>
    <s v="PCS"/>
    <n v="3000000"/>
    <n v="6000000"/>
    <s v="Flange end "/>
    <s v="Sheet"/>
    <b v="0"/>
  </r>
  <r>
    <x v="9"/>
    <x v="3"/>
    <n v="31"/>
    <s v="نوار IP"/>
    <x v="29"/>
    <m/>
    <n v="2"/>
    <n v="2"/>
    <s v="PCS"/>
    <n v="1300000"/>
    <n v="2600000"/>
    <s v="Flange end "/>
    <s v="Sheet"/>
    <b v="0"/>
  </r>
  <r>
    <x v="9"/>
    <x v="3"/>
    <n v="32"/>
    <s v="نوار IP"/>
    <x v="30"/>
    <m/>
    <n v="4"/>
    <n v="0.67200000000000004"/>
    <s v="m"/>
    <n v="460000"/>
    <n v="309120"/>
    <s v="Flange end "/>
    <s v="Sheet"/>
    <b v="0"/>
  </r>
  <r>
    <x v="9"/>
    <x v="3"/>
    <n v="33"/>
    <s v="ترموفیت"/>
    <x v="31"/>
    <n v="50"/>
    <n v="8"/>
    <n v="0.8"/>
    <s v="m "/>
    <n v="4840000"/>
    <n v="3872000"/>
    <s v="Flange end "/>
    <s v="Sheet"/>
    <b v="0"/>
  </r>
  <r>
    <x v="9"/>
    <x v="3"/>
    <n v="28"/>
    <m/>
    <x v="32"/>
    <m/>
    <m/>
    <n v="8"/>
    <s v="h"/>
    <n v="13000000"/>
    <n v="104000000"/>
    <s v="Flange end "/>
    <s v="Sheet"/>
    <b v="0"/>
  </r>
  <r>
    <x v="9"/>
    <x v="3"/>
    <n v="29"/>
    <m/>
    <x v="35"/>
    <m/>
    <m/>
    <n v="0"/>
    <s v="%"/>
    <m/>
    <n v="0"/>
    <s v="Flange end "/>
    <s v="Sheet"/>
    <b v="0"/>
  </r>
  <r>
    <x v="9"/>
    <x v="4"/>
    <n v="1"/>
    <s v="آهن"/>
    <x v="36"/>
    <m/>
    <n v="1"/>
    <n v="9"/>
    <s v="Kg"/>
    <n v="5200000"/>
    <n v="46800000"/>
    <s v="TOP OFF BOX 250"/>
    <s v="Sheet"/>
    <b v="0"/>
  </r>
  <r>
    <x v="9"/>
    <x v="4"/>
    <n v="4"/>
    <s v="مسی"/>
    <x v="37"/>
    <m/>
    <n v="4"/>
    <n v="0.5"/>
    <s v="Kg"/>
    <n v="22000000"/>
    <n v="11000000"/>
    <s v="TOP OFF BOX 250"/>
    <s v="Sheet"/>
    <b v="0"/>
  </r>
  <r>
    <x v="9"/>
    <x v="4"/>
    <n v="5"/>
    <m/>
    <x v="38"/>
    <m/>
    <n v="20"/>
    <n v="20"/>
    <s v="PCS"/>
    <n v="26000"/>
    <n v="520000"/>
    <s v="TOP OFF BOX 250"/>
    <s v="Sheet"/>
    <b v="0"/>
  </r>
  <r>
    <x v="9"/>
    <x v="4"/>
    <n v="6"/>
    <m/>
    <x v="39"/>
    <m/>
    <n v="6"/>
    <n v="6"/>
    <s v="PCS"/>
    <n v="195000"/>
    <n v="1170000"/>
    <s v="TOP OFF BOX 250"/>
    <s v="Sheet"/>
    <b v="0"/>
  </r>
  <r>
    <x v="9"/>
    <x v="4"/>
    <n v="7"/>
    <m/>
    <x v="40"/>
    <m/>
    <n v="20"/>
    <n v="20"/>
    <s v="PCS"/>
    <n v="13000"/>
    <n v="260000"/>
    <s v="TOP OFF BOX 250"/>
    <s v="Sheet"/>
    <b v="0"/>
  </r>
  <r>
    <x v="9"/>
    <x v="4"/>
    <n v="8"/>
    <m/>
    <x v="41"/>
    <m/>
    <n v="20"/>
    <n v="20"/>
    <s v="PCS"/>
    <n v="75000"/>
    <n v="1500000"/>
    <s v="TOP OFF BOX 250"/>
    <s v="Sheet"/>
    <b v="0"/>
  </r>
  <r>
    <x v="9"/>
    <x v="4"/>
    <n v="9"/>
    <m/>
    <x v="42"/>
    <m/>
    <n v="1"/>
    <n v="1"/>
    <s v="PCS"/>
    <n v="11250000"/>
    <n v="11250000"/>
    <s v="TOP OFF BOX 250"/>
    <s v="Sheet"/>
    <b v="0"/>
  </r>
  <r>
    <x v="9"/>
    <x v="4"/>
    <n v="10"/>
    <m/>
    <x v="43"/>
    <m/>
    <n v="1"/>
    <n v="1"/>
    <s v="PCS"/>
    <n v="7500000"/>
    <n v="7500000"/>
    <s v="TOP OFF BOX 250"/>
    <s v="Sheet"/>
    <b v="0"/>
  </r>
  <r>
    <x v="9"/>
    <x v="4"/>
    <n v="11"/>
    <m/>
    <x v="44"/>
    <m/>
    <n v="2"/>
    <n v="2"/>
    <s v="PCS"/>
    <n v="150000"/>
    <n v="300000"/>
    <s v="TOP OFF BOX 250"/>
    <s v="Sheet"/>
    <b v="0"/>
  </r>
  <r>
    <x v="9"/>
    <x v="4"/>
    <n v="12"/>
    <m/>
    <x v="45"/>
    <m/>
    <n v="2"/>
    <n v="2"/>
    <s v="PCS"/>
    <n v="100000"/>
    <n v="200000"/>
    <s v="TOP OFF BOX 250"/>
    <s v="Sheet"/>
    <b v="0"/>
  </r>
  <r>
    <x v="9"/>
    <x v="4"/>
    <n v="13"/>
    <m/>
    <x v="46"/>
    <m/>
    <n v="4"/>
    <n v="4"/>
    <s v="PCS"/>
    <n v="50000"/>
    <n v="200000"/>
    <s v="TOP OFF BOX 250"/>
    <s v="Sheet"/>
    <b v="0"/>
  </r>
  <r>
    <x v="9"/>
    <x v="4"/>
    <n v="14"/>
    <m/>
    <x v="47"/>
    <m/>
    <n v="2"/>
    <n v="2"/>
    <s v="PCS"/>
    <n v="100000"/>
    <n v="200000"/>
    <s v="TOP OFF BOX 250"/>
    <s v="Sheet"/>
    <b v="0"/>
  </r>
  <r>
    <x v="9"/>
    <x v="4"/>
    <n v="15"/>
    <m/>
    <x v="48"/>
    <m/>
    <n v="1"/>
    <n v="0.1"/>
    <s v="Kg"/>
    <n v="4200000"/>
    <n v="420000"/>
    <s v="TOP OFF BOX 250"/>
    <s v="Sheet"/>
    <b v="0"/>
  </r>
  <r>
    <x v="9"/>
    <x v="4"/>
    <n v="16"/>
    <m/>
    <x v="49"/>
    <m/>
    <n v="1"/>
    <n v="0.3"/>
    <s v="m"/>
    <m/>
    <n v="0"/>
    <s v="TOP OFF BOX 250"/>
    <s v="Sheet"/>
    <b v="0"/>
  </r>
  <r>
    <x v="9"/>
    <x v="4"/>
    <n v="17"/>
    <m/>
    <x v="50"/>
    <m/>
    <n v="1"/>
    <n v="0.15"/>
    <s v="m"/>
    <m/>
    <n v="0"/>
    <s v="TOP OFF BOX 250"/>
    <s v="Sheet"/>
    <b v="0"/>
  </r>
  <r>
    <x v="9"/>
    <x v="4"/>
    <n v="18"/>
    <m/>
    <x v="51"/>
    <m/>
    <n v="1"/>
    <m/>
    <s v="PCS"/>
    <m/>
    <n v="0"/>
    <s v="TOP OFF BOX 250"/>
    <s v="Sheet"/>
    <b v="0"/>
  </r>
  <r>
    <x v="9"/>
    <x v="4"/>
    <n v="19"/>
    <m/>
    <x v="52"/>
    <m/>
    <n v="1"/>
    <m/>
    <s v="PCS"/>
    <m/>
    <n v="0"/>
    <s v="TOP OFF BOX 250"/>
    <s v="Sheet"/>
    <b v="0"/>
  </r>
  <r>
    <x v="9"/>
    <x v="4"/>
    <n v="20"/>
    <m/>
    <x v="53"/>
    <m/>
    <n v="1"/>
    <m/>
    <s v="PCS"/>
    <m/>
    <n v="0"/>
    <s v="TOP OFF BOX 250"/>
    <s v="Sheet"/>
    <b v="0"/>
  </r>
  <r>
    <x v="9"/>
    <x v="4"/>
    <n v="21"/>
    <m/>
    <x v="54"/>
    <m/>
    <n v="1"/>
    <n v="1"/>
    <s v="PCS"/>
    <n v="74000000"/>
    <n v="74000000"/>
    <s v="TOP OFF BOX 250"/>
    <s v="Sheet"/>
    <b v="0"/>
  </r>
  <r>
    <x v="9"/>
    <x v="4"/>
    <n v="7"/>
    <m/>
    <x v="32"/>
    <m/>
    <m/>
    <n v="5"/>
    <s v="h"/>
    <n v="13000000"/>
    <n v="65000000"/>
    <s v="TOP OFF BOX 250"/>
    <s v="Sheet"/>
    <b v="0"/>
  </r>
  <r>
    <x v="9"/>
    <x v="4"/>
    <n v="8"/>
    <m/>
    <x v="35"/>
    <m/>
    <m/>
    <n v="0"/>
    <s v="%"/>
    <m/>
    <n v="0"/>
    <s v="TOP OFF BOX 250"/>
    <s v="Sheet"/>
    <b v="0"/>
  </r>
  <r>
    <x v="9"/>
    <x v="5"/>
    <n v="1"/>
    <s v="مس بافته شده"/>
    <x v="55"/>
    <m/>
    <n v="1"/>
    <n v="4"/>
    <s v="SET"/>
    <n v="17250000"/>
    <n v="69000000"/>
    <s v="Flexible connection"/>
    <s v="Sheet"/>
    <b v="0"/>
  </r>
  <r>
    <x v="9"/>
    <x v="5"/>
    <m/>
    <s v="قلع"/>
    <x v="10"/>
    <m/>
    <n v="0"/>
    <n v="4"/>
    <s v="Kg"/>
    <n v="3600000"/>
    <n v="14400000"/>
    <s v="Flexible connection"/>
    <s v="Sheet"/>
    <b v="0"/>
  </r>
  <r>
    <x v="9"/>
    <x v="5"/>
    <n v="3"/>
    <m/>
    <x v="56"/>
    <m/>
    <n v="16"/>
    <m/>
    <s v="PCS"/>
    <n v="50000"/>
    <n v="800000"/>
    <s v="Flexible connection"/>
    <s v="Sheet"/>
    <b v="0"/>
  </r>
  <r>
    <x v="9"/>
    <x v="5"/>
    <n v="4"/>
    <m/>
    <x v="57"/>
    <m/>
    <n v="16"/>
    <m/>
    <s v="PCS"/>
    <n v="15000"/>
    <n v="240000"/>
    <s v="Flexible connection"/>
    <s v="Sheet"/>
    <b v="0"/>
  </r>
  <r>
    <x v="9"/>
    <x v="5"/>
    <n v="5"/>
    <m/>
    <x v="58"/>
    <m/>
    <n v="32"/>
    <m/>
    <s v="PCS"/>
    <n v="5000"/>
    <n v="160000"/>
    <s v="Flexible connection"/>
    <s v="Sheet"/>
    <b v="0"/>
  </r>
  <r>
    <x v="9"/>
    <x v="5"/>
    <n v="6"/>
    <m/>
    <x v="59"/>
    <m/>
    <n v="16"/>
    <m/>
    <s v="PCS"/>
    <n v="5000"/>
    <n v="80000"/>
    <s v="Flexible connection"/>
    <s v="Sheet"/>
    <b v="0"/>
  </r>
  <r>
    <x v="9"/>
    <x v="5"/>
    <n v="7"/>
    <m/>
    <x v="32"/>
    <m/>
    <m/>
    <n v="1"/>
    <s v="h"/>
    <n v="13000000"/>
    <n v="13000000"/>
    <s v="Flexible connection"/>
    <s v="Sheet"/>
    <b v="0"/>
  </r>
  <r>
    <x v="9"/>
    <x v="5"/>
    <n v="8"/>
    <m/>
    <x v="35"/>
    <m/>
    <m/>
    <n v="0"/>
    <s v="%"/>
    <m/>
    <n v="0"/>
    <s v="Flexible connection"/>
    <s v="Sheet"/>
    <b v="0"/>
  </r>
  <r>
    <x v="9"/>
    <x v="6"/>
    <n v="1"/>
    <s v="مس"/>
    <x v="60"/>
    <m/>
    <n v="1"/>
    <n v="4"/>
    <s v="Kg"/>
    <n v="8500000"/>
    <n v="34000000"/>
    <s v="DISTRIBUTION BOARD"/>
    <s v="Sheet"/>
    <b v="0"/>
  </r>
  <r>
    <x v="9"/>
    <x v="6"/>
    <m/>
    <s v="قلع"/>
    <x v="10"/>
    <m/>
    <n v="0"/>
    <n v="4"/>
    <s v="Kg"/>
    <n v="3600000"/>
    <n v="14400000"/>
    <s v="DISTRIBUTION BOARD"/>
    <s v="Sheet"/>
    <b v="0"/>
  </r>
  <r>
    <x v="9"/>
    <x v="6"/>
    <n v="3"/>
    <m/>
    <x v="56"/>
    <m/>
    <n v="4"/>
    <m/>
    <s v="PCS"/>
    <n v="50000"/>
    <n v="200000"/>
    <s v="DISTRIBUTION BOARD"/>
    <s v="Sheet"/>
    <b v="0"/>
  </r>
  <r>
    <x v="9"/>
    <x v="6"/>
    <n v="4"/>
    <m/>
    <x v="57"/>
    <m/>
    <n v="4"/>
    <m/>
    <s v="PCS"/>
    <n v="15000"/>
    <n v="60000"/>
    <s v="DISTRIBUTION BOARD"/>
    <s v="Sheet"/>
    <b v="0"/>
  </r>
  <r>
    <x v="9"/>
    <x v="6"/>
    <n v="5"/>
    <m/>
    <x v="58"/>
    <m/>
    <n v="8"/>
    <m/>
    <s v="PCS"/>
    <n v="5000"/>
    <n v="40000"/>
    <s v="DISTRIBUTION BOARD"/>
    <s v="Sheet"/>
    <b v="0"/>
  </r>
  <r>
    <x v="9"/>
    <x v="6"/>
    <n v="6"/>
    <m/>
    <x v="59"/>
    <m/>
    <n v="4"/>
    <m/>
    <s v="PCS"/>
    <n v="5000"/>
    <n v="20000"/>
    <s v="DISTRIBUTION BOARD"/>
    <s v="Sheet"/>
    <b v="0"/>
  </r>
  <r>
    <x v="9"/>
    <x v="6"/>
    <n v="7"/>
    <m/>
    <x v="32"/>
    <m/>
    <m/>
    <n v="5"/>
    <s v="h"/>
    <n v="13000000"/>
    <n v="65000000"/>
    <s v="DISTRIBUTION BOARD"/>
    <s v="Sheet"/>
    <b v="0"/>
  </r>
  <r>
    <x v="9"/>
    <x v="6"/>
    <n v="8"/>
    <m/>
    <x v="35"/>
    <m/>
    <m/>
    <n v="0"/>
    <s v="%"/>
    <m/>
    <n v="0"/>
    <s v="DISTRIBUTION BOARD"/>
    <s v="Sheet"/>
    <b v="0"/>
  </r>
  <r>
    <x v="9"/>
    <x v="7"/>
    <n v="1"/>
    <s v="مس"/>
    <x v="61"/>
    <m/>
    <n v="1"/>
    <n v="4"/>
    <s v="Kg"/>
    <n v="8500000"/>
    <n v="34000000"/>
    <s v="Transformer connection"/>
    <s v="Sheet"/>
    <b v="0"/>
  </r>
  <r>
    <x v="9"/>
    <x v="7"/>
    <m/>
    <s v="قلع"/>
    <x v="10"/>
    <m/>
    <n v="0"/>
    <n v="4"/>
    <s v="Kg"/>
    <n v="3600000"/>
    <n v="14400000"/>
    <s v="Transformer connection"/>
    <s v="Sheet"/>
    <b v="0"/>
  </r>
  <r>
    <x v="9"/>
    <x v="7"/>
    <n v="3"/>
    <m/>
    <x v="56"/>
    <m/>
    <n v="16"/>
    <m/>
    <s v="PCS"/>
    <n v="50000"/>
    <n v="800000"/>
    <s v="Transformer connection"/>
    <s v="Sheet"/>
    <b v="0"/>
  </r>
  <r>
    <x v="9"/>
    <x v="7"/>
    <n v="4"/>
    <m/>
    <x v="57"/>
    <m/>
    <n v="16"/>
    <m/>
    <s v="PCS"/>
    <n v="15000"/>
    <n v="240000"/>
    <s v="Transformer connection"/>
    <s v="Sheet"/>
    <b v="0"/>
  </r>
  <r>
    <x v="9"/>
    <x v="7"/>
    <n v="5"/>
    <m/>
    <x v="58"/>
    <m/>
    <n v="32"/>
    <m/>
    <s v="PCS"/>
    <n v="5000"/>
    <n v="160000"/>
    <s v="Transformer connection"/>
    <s v="Sheet"/>
    <b v="0"/>
  </r>
  <r>
    <x v="9"/>
    <x v="7"/>
    <n v="6"/>
    <m/>
    <x v="59"/>
    <m/>
    <n v="16"/>
    <m/>
    <s v="PCS"/>
    <n v="5000"/>
    <n v="80000"/>
    <s v="Transformer connection"/>
    <s v="Sheet"/>
    <b v="0"/>
  </r>
  <r>
    <x v="9"/>
    <x v="7"/>
    <n v="7"/>
    <m/>
    <x v="32"/>
    <m/>
    <m/>
    <n v="5"/>
    <s v="h"/>
    <n v="13000000"/>
    <n v="65000000"/>
    <s v="Transformer connection"/>
    <s v="Sheet"/>
    <b v="0"/>
  </r>
  <r>
    <x v="9"/>
    <x v="7"/>
    <n v="8"/>
    <m/>
    <x v="35"/>
    <m/>
    <m/>
    <n v="0"/>
    <s v="%"/>
    <m/>
    <n v="0"/>
    <s v="Transformer connection"/>
    <s v="Sheet"/>
    <b v="0"/>
  </r>
  <r>
    <x v="9"/>
    <x v="8"/>
    <n v="1"/>
    <s v="آهن"/>
    <x v="62"/>
    <m/>
    <n v="1"/>
    <n v="25"/>
    <s v="Kg"/>
    <n v="5200000"/>
    <n v="130000000"/>
    <s v="Connection protection unit"/>
    <s v="Sheet"/>
    <b v="0"/>
  </r>
  <r>
    <x v="9"/>
    <x v="8"/>
    <m/>
    <s v="آهن"/>
    <x v="63"/>
    <m/>
    <n v="1"/>
    <m/>
    <s v="Kg"/>
    <m/>
    <n v="0"/>
    <s v="Connection protection unit"/>
    <s v="Sheet"/>
    <b v="0"/>
  </r>
  <r>
    <x v="9"/>
    <x v="8"/>
    <n v="3"/>
    <m/>
    <x v="38"/>
    <m/>
    <n v="32"/>
    <m/>
    <s v="PCS"/>
    <n v="10000"/>
    <n v="320000"/>
    <s v="Connection protection unit"/>
    <s v="Sheet"/>
    <b v="0"/>
  </r>
  <r>
    <x v="9"/>
    <x v="8"/>
    <n v="4"/>
    <m/>
    <x v="15"/>
    <m/>
    <n v="32"/>
    <m/>
    <s v="PCS"/>
    <n v="60000"/>
    <n v="1920000"/>
    <s v="Connection protection unit"/>
    <s v="Sheet"/>
    <b v="0"/>
  </r>
  <r>
    <x v="9"/>
    <x v="8"/>
    <n v="5"/>
    <m/>
    <x v="64"/>
    <m/>
    <n v="32"/>
    <m/>
    <s v="PCS"/>
    <n v="60000"/>
    <n v="1920000"/>
    <s v="Connection protection unit"/>
    <s v="Sheet"/>
    <b v="0"/>
  </r>
  <r>
    <x v="9"/>
    <x v="8"/>
    <n v="6"/>
    <m/>
    <x v="38"/>
    <m/>
    <n v="12"/>
    <m/>
    <s v="PCS"/>
    <n v="10000"/>
    <n v="120000"/>
    <s v="Connection protection unit"/>
    <s v="Sheet"/>
    <b v="0"/>
  </r>
  <r>
    <x v="9"/>
    <x v="8"/>
    <n v="7"/>
    <m/>
    <x v="65"/>
    <m/>
    <n v="12"/>
    <m/>
    <s v="PCS"/>
    <n v="10000"/>
    <n v="120000"/>
    <s v="Connection protection unit"/>
    <s v="Sheet"/>
    <b v="0"/>
  </r>
  <r>
    <x v="9"/>
    <x v="8"/>
    <n v="8"/>
    <m/>
    <x v="40"/>
    <m/>
    <n v="12"/>
    <m/>
    <s v="PCS"/>
    <n v="60000"/>
    <n v="720000"/>
    <s v="Connection protection unit"/>
    <s v="Sheet"/>
    <b v="0"/>
  </r>
  <r>
    <x v="9"/>
    <x v="8"/>
    <n v="9"/>
    <m/>
    <x v="66"/>
    <m/>
    <n v="32"/>
    <m/>
    <s v="PCS"/>
    <n v="10000"/>
    <n v="320000"/>
    <s v="Connection protection unit"/>
    <s v="Sheet"/>
    <b v="0"/>
  </r>
  <r>
    <x v="9"/>
    <x v="8"/>
    <n v="10"/>
    <m/>
    <x v="8"/>
    <m/>
    <n v="25"/>
    <m/>
    <s v="Kg"/>
    <n v="1430000"/>
    <n v="35750000"/>
    <s v="Connection protection unit"/>
    <s v="Sheet"/>
    <b v="0"/>
  </r>
  <r>
    <x v="9"/>
    <x v="8"/>
    <m/>
    <m/>
    <x v="30"/>
    <m/>
    <n v="1"/>
    <n v="6"/>
    <s v="m"/>
    <n v="460000"/>
    <n v="2760000"/>
    <s v="Connection protection unit"/>
    <s v="Sheet"/>
    <b v="0"/>
  </r>
  <r>
    <x v="9"/>
    <x v="8"/>
    <n v="11"/>
    <m/>
    <x v="32"/>
    <m/>
    <m/>
    <n v="5"/>
    <s v="h"/>
    <n v="13000000"/>
    <n v="65000000"/>
    <s v="Connection protection unit"/>
    <s v="Sheet"/>
    <b v="0"/>
  </r>
  <r>
    <x v="9"/>
    <x v="8"/>
    <n v="12"/>
    <m/>
    <x v="35"/>
    <m/>
    <m/>
    <n v="0"/>
    <s v="%"/>
    <m/>
    <n v="0"/>
    <s v="Connection protection unit"/>
    <s v="Sheet"/>
    <b v="0"/>
  </r>
  <r>
    <x v="9"/>
    <x v="9"/>
    <n v="1"/>
    <s v="گالوانیزه"/>
    <x v="67"/>
    <s v="300 X 200 X 3"/>
    <n v="2"/>
    <n v="2.8296000000000001"/>
    <s v="Kg"/>
    <n v="800000"/>
    <n v="2263680"/>
    <s v="SPRINH HANGER"/>
    <s v="Sheet"/>
    <b v="0"/>
  </r>
  <r>
    <x v="9"/>
    <x v="9"/>
    <m/>
    <m/>
    <x v="68"/>
    <s v="200 X 100 X 3"/>
    <n v="2"/>
    <n v="0.94320000000000004"/>
    <s v="Kg"/>
    <n v="800000"/>
    <n v="754560"/>
    <s v="SPRINH HANGER"/>
    <s v="Sheet"/>
    <b v="0"/>
  </r>
  <r>
    <x v="9"/>
    <x v="9"/>
    <m/>
    <m/>
    <x v="69"/>
    <m/>
    <n v="2"/>
    <m/>
    <s v="PCS"/>
    <n v="5000000"/>
    <n v="10000000"/>
    <s v="SPRINH HANGER"/>
    <s v="Sheet"/>
    <b v="0"/>
  </r>
  <r>
    <x v="9"/>
    <x v="9"/>
    <n v="2"/>
    <m/>
    <x v="70"/>
    <n v="260"/>
    <n v="2"/>
    <n v="0.52"/>
    <s v="m"/>
    <n v="2000000"/>
    <n v="1040000"/>
    <s v="SPRINH HANGER"/>
    <s v="Sheet"/>
    <b v="0"/>
  </r>
  <r>
    <x v="9"/>
    <x v="9"/>
    <m/>
    <m/>
    <x v="71"/>
    <m/>
    <n v="10"/>
    <m/>
    <s v="PCS"/>
    <n v="200000"/>
    <n v="2000000"/>
    <s v="SPRINH HANGER"/>
    <s v="Sheet"/>
    <b v="0"/>
  </r>
  <r>
    <x v="9"/>
    <x v="9"/>
    <n v="7"/>
    <m/>
    <x v="72"/>
    <m/>
    <n v="4"/>
    <n v="4"/>
    <s v="PCS"/>
    <n v="300000"/>
    <n v="1200000"/>
    <s v="SPRINH HANGER"/>
    <s v="Sheet"/>
    <b v="0"/>
  </r>
  <r>
    <x v="9"/>
    <x v="9"/>
    <n v="8"/>
    <m/>
    <x v="58"/>
    <m/>
    <n v="10"/>
    <n v="10"/>
    <s v="PCS"/>
    <n v="30000"/>
    <n v="300000"/>
    <s v="SPRINH HANGER"/>
    <s v="Sheet"/>
    <b v="0"/>
  </r>
  <r>
    <x v="9"/>
    <x v="9"/>
    <n v="9"/>
    <m/>
    <x v="73"/>
    <m/>
    <n v="4"/>
    <n v="4"/>
    <s v="PCS"/>
    <n v="30000"/>
    <n v="120000"/>
    <s v="SPRINH HANGER"/>
    <s v="Sheet"/>
    <b v="0"/>
  </r>
  <r>
    <x v="9"/>
    <x v="9"/>
    <n v="12"/>
    <m/>
    <x v="46"/>
    <m/>
    <n v="4"/>
    <n v="4"/>
    <s v="PCS"/>
    <n v="30000"/>
    <n v="120000"/>
    <s v="SPRINH HANGER"/>
    <s v="Sheet"/>
    <b v="0"/>
  </r>
  <r>
    <x v="9"/>
    <x v="9"/>
    <n v="13"/>
    <m/>
    <x v="32"/>
    <m/>
    <m/>
    <n v="1"/>
    <s v="h"/>
    <n v="13000000"/>
    <n v="13000000"/>
    <s v="SPRINH HANGER"/>
    <s v="Sheet"/>
    <b v="0"/>
  </r>
  <r>
    <x v="9"/>
    <x v="9"/>
    <n v="14"/>
    <m/>
    <x v="35"/>
    <m/>
    <m/>
    <n v="0"/>
    <s v="%"/>
    <m/>
    <n v="0"/>
    <s v="SPRINH HANGER"/>
    <s v="Sheet"/>
    <b v="0"/>
  </r>
  <r>
    <x v="9"/>
    <x v="9"/>
    <m/>
    <m/>
    <x v="74"/>
    <n v="300"/>
    <n v="200"/>
    <n v="3"/>
    <n v="7.86"/>
    <m/>
    <n v="1.4148000000000001"/>
    <s v="SPRINH HANGER"/>
    <s v="Sheet"/>
    <b v="0"/>
  </r>
  <r>
    <x v="9"/>
    <x v="9"/>
    <m/>
    <m/>
    <x v="75"/>
    <n v="200"/>
    <n v="100"/>
    <n v="3"/>
    <n v="7.86"/>
    <m/>
    <n v="0.47160000000000002"/>
    <s v="SPRINH HANGER"/>
    <s v="Sheet"/>
    <b v="0"/>
  </r>
  <r>
    <x v="9"/>
    <x v="10"/>
    <n v="1"/>
    <s v="آهن"/>
    <x v="76"/>
    <m/>
    <n v="1"/>
    <n v="1.6485000000000001"/>
    <s v="Kg"/>
    <n v="700000"/>
    <n v="1153950"/>
    <s v="Suspension unit ceiling"/>
    <s v="Sheet"/>
    <b v="0"/>
  </r>
  <r>
    <x v="9"/>
    <x v="10"/>
    <n v="2"/>
    <s v="آهن"/>
    <x v="77"/>
    <m/>
    <n v="2"/>
    <m/>
    <s v="m"/>
    <n v="1200000"/>
    <n v="2400000"/>
    <s v="Suspension unit ceiling"/>
    <s v="Sheet"/>
    <b v="0"/>
  </r>
  <r>
    <x v="9"/>
    <x v="10"/>
    <n v="3"/>
    <m/>
    <x v="78"/>
    <m/>
    <n v="2"/>
    <m/>
    <s v="PCS"/>
    <n v="100000"/>
    <n v="200000"/>
    <s v="Suspension unit ceiling"/>
    <s v="Sheet"/>
    <b v="0"/>
  </r>
  <r>
    <x v="9"/>
    <x v="10"/>
    <n v="4"/>
    <m/>
    <x v="57"/>
    <m/>
    <n v="6"/>
    <m/>
    <s v="PCS"/>
    <n v="10000"/>
    <n v="60000"/>
    <s v="Suspension unit ceiling"/>
    <s v="Sheet"/>
    <b v="0"/>
  </r>
  <r>
    <x v="9"/>
    <x v="10"/>
    <n v="5"/>
    <m/>
    <x v="58"/>
    <m/>
    <n v="6"/>
    <m/>
    <s v="PCS"/>
    <n v="5000"/>
    <n v="30000"/>
    <s v="Suspension unit ceiling"/>
    <s v="Sheet"/>
    <b v="0"/>
  </r>
  <r>
    <x v="9"/>
    <x v="10"/>
    <n v="6"/>
    <m/>
    <x v="79"/>
    <m/>
    <n v="2"/>
    <m/>
    <s v="PCS"/>
    <n v="500000"/>
    <n v="1000000"/>
    <s v="Suspension unit ceiling"/>
    <s v="Sheet"/>
    <b v="0"/>
  </r>
  <r>
    <x v="9"/>
    <x v="10"/>
    <n v="7"/>
    <m/>
    <x v="80"/>
    <m/>
    <n v="2"/>
    <m/>
    <s v="PCS"/>
    <n v="10000"/>
    <n v="20000"/>
    <s v="Suspension unit ceiling"/>
    <s v="Sheet"/>
    <b v="0"/>
  </r>
  <r>
    <x v="9"/>
    <x v="10"/>
    <n v="8"/>
    <m/>
    <x v="65"/>
    <m/>
    <n v="2"/>
    <m/>
    <s v="PCS"/>
    <n v="5000"/>
    <n v="10000"/>
    <s v="Suspension unit ceiling"/>
    <s v="Sheet"/>
    <b v="0"/>
  </r>
  <r>
    <x v="9"/>
    <x v="10"/>
    <n v="9"/>
    <m/>
    <x v="40"/>
    <m/>
    <n v="2"/>
    <m/>
    <s v="PCS"/>
    <n v="60000"/>
    <n v="120000"/>
    <s v="Suspension unit ceiling"/>
    <s v="Sheet"/>
    <b v="0"/>
  </r>
  <r>
    <x v="9"/>
    <x v="10"/>
    <n v="10"/>
    <m/>
    <x v="32"/>
    <m/>
    <m/>
    <n v="3"/>
    <s v="h"/>
    <n v="13000000"/>
    <n v="39000000"/>
    <s v="Suspension unit ceiling"/>
    <s v="Sheet"/>
    <b v="0"/>
  </r>
  <r>
    <x v="9"/>
    <x v="10"/>
    <n v="11"/>
    <m/>
    <x v="35"/>
    <m/>
    <m/>
    <n v="0"/>
    <s v="%"/>
    <m/>
    <n v="0"/>
    <s v="Suspension unit ceiling"/>
    <s v="Sheet"/>
    <b v="0"/>
  </r>
  <r>
    <x v="9"/>
    <x v="11"/>
    <n v="1"/>
    <s v="گالوانیزه"/>
    <x v="67"/>
    <s v="300 X 100 X 2.5"/>
    <n v="1"/>
    <n v="0.58950000000000002"/>
    <s v="Kg"/>
    <n v="800000"/>
    <n v="471600"/>
    <s v="Universal fixing unit"/>
    <s v="Sheet"/>
    <b v="0"/>
  </r>
  <r>
    <x v="9"/>
    <x v="11"/>
    <n v="2"/>
    <s v="مس"/>
    <x v="81"/>
    <s v="50 X 60"/>
    <n v="2"/>
    <n v="1.2631449600000002"/>
    <s v="Kg"/>
    <n v="1500000"/>
    <n v="3000000"/>
    <s v="Universal fixing unit"/>
    <s v="Sheet"/>
    <b v="0"/>
  </r>
  <r>
    <x v="9"/>
    <x v="11"/>
    <n v="7"/>
    <m/>
    <x v="13"/>
    <m/>
    <n v="2"/>
    <n v="2"/>
    <s v="PCS"/>
    <n v="50000"/>
    <n v="100000"/>
    <s v="Universal fixing unit"/>
    <s v="Sheet"/>
    <b v="0"/>
  </r>
  <r>
    <x v="9"/>
    <x v="11"/>
    <n v="8"/>
    <m/>
    <x v="64"/>
    <m/>
    <n v="4"/>
    <n v="4"/>
    <s v="PCS"/>
    <n v="30000"/>
    <n v="120000"/>
    <s v="Universal fixing unit"/>
    <s v="Sheet"/>
    <b v="0"/>
  </r>
  <r>
    <x v="9"/>
    <x v="11"/>
    <n v="9"/>
    <m/>
    <x v="82"/>
    <m/>
    <n v="1"/>
    <n v="1"/>
    <s v="PCS"/>
    <n v="30000"/>
    <n v="30000"/>
    <s v="Universal fixing unit"/>
    <s v="Sheet"/>
    <b v="0"/>
  </r>
  <r>
    <x v="9"/>
    <x v="11"/>
    <n v="13"/>
    <m/>
    <x v="32"/>
    <m/>
    <m/>
    <n v="1"/>
    <s v="h"/>
    <n v="13000000"/>
    <n v="13000000"/>
    <s v="Universal fixing unit"/>
    <s v="Sheet"/>
    <b v="0"/>
  </r>
  <r>
    <x v="9"/>
    <x v="11"/>
    <n v="14"/>
    <m/>
    <x v="35"/>
    <m/>
    <m/>
    <n v="0"/>
    <s v="%"/>
    <m/>
    <n v="0"/>
    <s v="Universal fixing unit"/>
    <s v="Sheet"/>
    <b v="0"/>
  </r>
  <r>
    <x v="9"/>
    <x v="11"/>
    <m/>
    <m/>
    <x v="74"/>
    <n v="300"/>
    <n v="100"/>
    <n v="2.5"/>
    <n v="7.86"/>
    <m/>
    <n v="0.58950000000000002"/>
    <s v="Universal fixing unit"/>
    <s v="Sheet"/>
    <b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1"/>
    <n v="802700038.30000007"/>
    <n v="802700038.30000007"/>
  </r>
  <r>
    <x v="0"/>
    <x v="0"/>
    <x v="1"/>
    <n v="1"/>
    <n v="125880000"/>
    <n v="125880000"/>
  </r>
  <r>
    <x v="0"/>
    <x v="0"/>
    <x v="2"/>
    <n v="2"/>
    <n v="220320000"/>
    <n v="440640000"/>
  </r>
  <r>
    <x v="0"/>
    <x v="0"/>
    <x v="3"/>
    <n v="1"/>
    <n v="138880000"/>
    <n v="138880000"/>
  </r>
  <r>
    <x v="0"/>
    <x v="1"/>
    <x v="0"/>
    <n v="1"/>
    <n v="802700038.30000007"/>
    <n v="802700038.30000007"/>
  </r>
  <r>
    <x v="0"/>
    <x v="1"/>
    <x v="1"/>
    <n v="1"/>
    <n v="125880000"/>
    <n v="125880000"/>
  </r>
  <r>
    <x v="0"/>
    <x v="1"/>
    <x v="2"/>
    <n v="2"/>
    <n v="220320000"/>
    <n v="440640000"/>
  </r>
  <r>
    <x v="0"/>
    <x v="1"/>
    <x v="4"/>
    <n v="1"/>
    <n v="446336536.22000003"/>
    <n v="446336536.22000003"/>
  </r>
  <r>
    <x v="1"/>
    <x v="0"/>
    <x v="5"/>
    <n v="1"/>
    <n v="1192956814"/>
    <n v="1192956814"/>
  </r>
  <r>
    <x v="1"/>
    <x v="0"/>
    <x v="1"/>
    <n v="1"/>
    <n v="195180000"/>
    <n v="195180000"/>
  </r>
  <r>
    <x v="1"/>
    <x v="0"/>
    <x v="2"/>
    <n v="2"/>
    <n v="220320000"/>
    <n v="440640000"/>
  </r>
  <r>
    <x v="1"/>
    <x v="0"/>
    <x v="3"/>
    <n v="1"/>
    <n v="187280000"/>
    <n v="187280000"/>
  </r>
  <r>
    <x v="1"/>
    <x v="1"/>
    <x v="5"/>
    <n v="1"/>
    <n v="1192956814"/>
    <n v="1192956814"/>
  </r>
  <r>
    <x v="1"/>
    <x v="1"/>
    <x v="1"/>
    <n v="1"/>
    <n v="195180000"/>
    <n v="195180000"/>
  </r>
  <r>
    <x v="1"/>
    <x v="1"/>
    <x v="2"/>
    <n v="2"/>
    <n v="220320000"/>
    <n v="440640000"/>
  </r>
  <r>
    <x v="1"/>
    <x v="1"/>
    <x v="4"/>
    <n v="1"/>
    <n v="597624892.08000004"/>
    <n v="597624892.08000004"/>
  </r>
  <r>
    <x v="2"/>
    <x v="2"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183C4-20AB-4EAC-AF02-C8BFCCF4CC52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axis="axisRow" showAll="0">
      <items count="11">
        <item sd="0" x="0"/>
        <item sd="0" x="1"/>
        <item sd="0" x="2"/>
        <item sd="0" x="3"/>
        <item sd="0" x="4"/>
        <item sd="0" x="5"/>
        <item sd="0" x="7"/>
        <item sd="0" x="9"/>
        <item sd="0" x="6"/>
        <item sd="0" x="8"/>
        <item t="default"/>
      </items>
    </pivotField>
    <pivotField axis="axisRow" showAll="0" sortType="descending">
      <items count="24">
        <item sd="0" x="8"/>
        <item sd="0" x="6"/>
        <item sd="0" x="0"/>
        <item sd="0" x="12"/>
        <item sd="0" x="13"/>
        <item sd="0" x="14"/>
        <item sd="0" x="15"/>
        <item sd="0" x="16"/>
        <item sd="0" x="17"/>
        <item sd="0" x="18"/>
        <item sd="0" x="19"/>
        <item sd="0" x="21"/>
        <item sd="0" x="20"/>
        <item sd="0" x="22"/>
        <item sd="0" x="3"/>
        <item sd="0" x="5"/>
        <item sd="0" x="2"/>
        <item sd="0" x="9"/>
        <item sd="0" x="10"/>
        <item sd="0" x="4"/>
        <item sd="0" x="7"/>
        <item sd="0" x="11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91">
        <item sd="0" x="62"/>
        <item sd="0" x="63"/>
        <item sd="0" x="74"/>
        <item sd="0" x="75"/>
        <item sd="0" x="9"/>
        <item sd="0" x="10"/>
        <item sd="0" x="42"/>
        <item sd="0" x="36"/>
        <item sd="0" x="79"/>
        <item sd="0" x="78"/>
        <item sd="0" x="1"/>
        <item sd="0" x="0"/>
        <item sd="0" x="19"/>
        <item sd="0" x="72"/>
        <item sd="0" x="56"/>
        <item sd="0" x="16"/>
        <item sd="0" x="18"/>
        <item sd="0" x="38"/>
        <item sd="0" x="13"/>
        <item sd="0" x="14"/>
        <item sd="0" x="26"/>
        <item sd="0" x="80"/>
        <item sd="0" x="45"/>
        <item sd="0" x="70"/>
        <item sd="0" x="77"/>
        <item sd="0" x="31"/>
        <item sd="0" x="34"/>
        <item sd="0" x="33"/>
        <item sd="0" x="12"/>
        <item sd="0" x="11"/>
        <item sd="0" x="3"/>
        <item sd="0" x="52"/>
        <item sd="0" x="54"/>
        <item sd="0" x="8"/>
        <item sd="0" x="32"/>
        <item sd="0" x="50"/>
        <item sd="0" x="5"/>
        <item sd="0" x="60"/>
        <item sd="0" x="61"/>
        <item sd="0" x="37"/>
        <item sd="0" x="43"/>
        <item sd="0" x="35"/>
        <item sd="0" x="49"/>
        <item sd="0" x="24"/>
        <item sd="0" x="6"/>
        <item sd="0" x="7"/>
        <item sd="0" x="23"/>
        <item sd="0" x="55"/>
        <item sd="0" x="69"/>
        <item sd="0" x="44"/>
        <item sd="0" x="25"/>
        <item sd="0" x="53"/>
        <item sd="0" x="21"/>
        <item sd="0" x="20"/>
        <item sd="0" x="4"/>
        <item sd="0" x="81"/>
        <item sd="0" x="51"/>
        <item sd="0" x="57"/>
        <item sd="0" x="39"/>
        <item sd="0" x="71"/>
        <item sd="0" x="66"/>
        <item sd="0" x="17"/>
        <item sd="0" x="65"/>
        <item sd="0" x="15"/>
        <item sd="0" x="41"/>
        <item sd="0" x="27"/>
        <item sd="0" x="82"/>
        <item sd="0" x="73"/>
        <item sd="0" x="76"/>
        <item sd="0" x="67"/>
        <item sd="0" x="68"/>
        <item sd="0" x="30"/>
        <item sd="0" x="29"/>
        <item sd="0" x="48"/>
        <item sd="0" x="22"/>
        <item sd="0" x="87"/>
        <item sd="0" x="2"/>
        <item sd="0" x="83"/>
        <item sd="0" x="84"/>
        <item sd="0" x="85"/>
        <item sd="0" x="86"/>
        <item sd="0" x="46"/>
        <item sd="0" x="58"/>
        <item sd="0" x="40"/>
        <item sd="0" x="64"/>
        <item sd="0" x="47"/>
        <item sd="0" x="59"/>
        <item sd="0" x="28"/>
        <item sd="0" x="88"/>
        <item sd="0" x="89"/>
        <item t="default" sd="0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0"/>
    <field x="1"/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PRICE" fld="10" baseField="0" baseItem="0" numFmtId="164"/>
  </dataFields>
  <formats count="2">
    <format dxfId="127">
      <pivotArea outline="0" collapsedLevelsAreSubtotals="1" fieldPosition="0"/>
    </format>
    <format dxfId="1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8D5E6-25DC-4CE5-AB5B-BFD7399C7571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6">
    <pivotField axis="axisRow" showAll="0">
      <items count="4">
        <item x="0"/>
        <item h="1" sd="0" x="2"/>
        <item x="1"/>
        <item t="default"/>
      </items>
    </pivotField>
    <pivotField axis="axisRow" showAll="0">
      <items count="4">
        <item sd="0" x="0"/>
        <item sd="0" x="1"/>
        <item x="2"/>
        <item t="default"/>
      </items>
    </pivotField>
    <pivotField axis="axisRow" showAll="0">
      <items count="8">
        <item x="0"/>
        <item x="1"/>
        <item x="4"/>
        <item x="2"/>
        <item x="3"/>
        <item x="6"/>
        <item x="5"/>
        <item t="default"/>
      </items>
    </pivotField>
    <pivotField dataField="1" showAll="0"/>
    <pivotField showAll="0"/>
    <pivotField dataField="1" showAll="0"/>
  </pivotFields>
  <rowFields count="3">
    <field x="0"/>
    <field x="1"/>
    <field x="2"/>
  </rowFields>
  <rowItems count="7">
    <i>
      <x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Price" fld="5" baseField="0" baseItem="0"/>
  </dataFields>
  <formats count="5">
    <format dxfId="105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10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101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0"/>
          </reference>
          <reference field="2" count="4">
            <x v="0"/>
            <x v="1"/>
            <x v="3"/>
            <x v="4"/>
          </reference>
        </references>
      </pivotArea>
    </format>
    <format dxfId="9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97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1"/>
          </reference>
          <reference field="2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5370DF-B652-4068-A4DE-62E32306B7A9}" autoFormatId="16" applyNumberFormats="0" applyBorderFormats="0" applyFontFormats="0" applyPatternFormats="0" applyAlignmentFormats="0" applyWidthHeightFormats="0">
  <queryTableRefresh nextId="25">
    <queryTableFields count="14">
      <queryTableField id="1" name="Source.Name" tableColumnId="1"/>
      <queryTableField id="2" name="Name" tableColumnId="2"/>
      <queryTableField id="7" name="ردیف" tableColumnId="7"/>
      <queryTableField id="8" name="دسته" tableColumnId="8"/>
      <queryTableField id="9" name="متریال" tableColumnId="9"/>
      <queryTableField id="10" name="DIMENTION" tableColumnId="10"/>
      <queryTableField id="11" name="QTY" tableColumnId="11"/>
      <queryTableField id="12" name="VALUE" tableColumnId="12"/>
      <queryTableField id="13" name="UNIT" tableColumnId="13"/>
      <queryTableField id="14" name="UNIT PRICE" tableColumnId="14"/>
      <queryTableField id="15" name="TOTAL PRICE" tableColumnId="15"/>
      <queryTableField id="4" name="Item" tableColumnId="4"/>
      <queryTableField id="5" name="Kind" tableColumnId="5"/>
      <queryTableField id="6" name="Hidde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567FC-498A-4B47-8FF6-B8E74AFFFC33}" name="Al_update_MTO___05_1_30" displayName="Al_update_MTO___05_1_30" ref="A1:N2399" tableType="queryTable" totalsRowShown="0" headerRowDxfId="125">
  <autoFilter ref="A1:N2399" xr:uid="{1DD567FC-498A-4B47-8FF6-B8E74AFFFC33}"/>
  <tableColumns count="14">
    <tableColumn id="1" xr3:uid="{0F69A659-C020-4B6E-B450-B8150D69BE13}" uniqueName="1" name="Source.Name" queryTableFieldId="1" dataDxfId="124"/>
    <tableColumn id="2" xr3:uid="{11C26EF0-B9B8-4E0F-A5D1-EEBEB2C02B79}" uniqueName="2" name="Name" queryTableFieldId="2" dataDxfId="123"/>
    <tableColumn id="7" xr3:uid="{F86A40CA-6863-482B-B7C6-1FC8C9DA9FF8}" uniqueName="7" name="ردیف" queryTableFieldId="7"/>
    <tableColumn id="8" xr3:uid="{074D9698-ADFE-4539-B74D-632DB4A1BC59}" uniqueName="8" name="دسته" queryTableFieldId="8"/>
    <tableColumn id="9" xr3:uid="{D866DC92-0527-4EF4-A8B4-99E12E099037}" uniqueName="9" name="متریال" queryTableFieldId="9"/>
    <tableColumn id="10" xr3:uid="{07245C8D-983A-47DA-9791-E34327897A40}" uniqueName="10" name="DIMENTION" queryTableFieldId="10"/>
    <tableColumn id="11" xr3:uid="{76FA00DC-350E-45E1-95C7-E35CCC235BF6}" uniqueName="11" name="QTY" queryTableFieldId="11"/>
    <tableColumn id="12" xr3:uid="{081C6818-D8D2-49C7-A990-476A46450714}" uniqueName="12" name="VALUE" queryTableFieldId="12"/>
    <tableColumn id="13" xr3:uid="{6A7D8493-5B57-41FC-ADA7-2005AF965056}" uniqueName="13" name="UNIT" queryTableFieldId="13"/>
    <tableColumn id="14" xr3:uid="{07247D31-6D72-4BE6-BA06-B4D6F0190E5D}" uniqueName="14" name="UNIT PRICE" queryTableFieldId="14"/>
    <tableColumn id="15" xr3:uid="{2AE35703-A941-485F-A07E-EF9EC9E0C4FC}" uniqueName="15" name="TOTAL PRICE" queryTableFieldId="15"/>
    <tableColumn id="4" xr3:uid="{04FE59C4-BB47-40C4-93C4-C29C89C7DE3F}" uniqueName="4" name="Item" queryTableFieldId="4" dataDxfId="122"/>
    <tableColumn id="5" xr3:uid="{7BF441A3-6643-4D09-BCC1-40D56B681FFE}" uniqueName="5" name="Kind" queryTableFieldId="5" dataDxfId="121"/>
    <tableColumn id="6" xr3:uid="{5044773C-2FEC-4692-A106-850BEC8F5820}" uniqueName="6" name="Hidden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5BCA-0137-439F-8AA4-7A52E9EC840F}">
  <dimension ref="A3:B926"/>
  <sheetViews>
    <sheetView workbookViewId="0">
      <selection activeCell="A4" sqref="A4"/>
    </sheetView>
  </sheetViews>
  <sheetFormatPr defaultRowHeight="14.4" x14ac:dyDescent="0.3"/>
  <cols>
    <col min="1" max="1" width="40" bestFit="1" customWidth="1"/>
    <col min="2" max="2" width="19.77734375" style="6" bestFit="1" customWidth="1"/>
    <col min="3" max="3" width="17.21875" bestFit="1" customWidth="1"/>
  </cols>
  <sheetData>
    <row r="3" spans="1:2" x14ac:dyDescent="0.3">
      <c r="A3" s="4" t="s">
        <v>176</v>
      </c>
      <c r="B3" s="7" t="s">
        <v>185</v>
      </c>
    </row>
    <row r="4" spans="1:2" x14ac:dyDescent="0.3">
      <c r="A4" s="5" t="s">
        <v>5</v>
      </c>
      <c r="B4" s="7">
        <v>3179018597.8358998</v>
      </c>
    </row>
    <row r="5" spans="1:2" x14ac:dyDescent="0.3">
      <c r="A5" s="5" t="s">
        <v>19</v>
      </c>
      <c r="B5" s="7">
        <v>3767662531.0358996</v>
      </c>
    </row>
    <row r="6" spans="1:2" x14ac:dyDescent="0.3">
      <c r="A6" s="5" t="s">
        <v>21</v>
      </c>
      <c r="B6" s="7">
        <v>5634084348.3158998</v>
      </c>
    </row>
    <row r="7" spans="1:2" x14ac:dyDescent="0.3">
      <c r="A7" s="5" t="s">
        <v>25</v>
      </c>
      <c r="B7" s="7">
        <v>4940723794.2358999</v>
      </c>
    </row>
    <row r="8" spans="1:2" x14ac:dyDescent="0.3">
      <c r="A8" s="5" t="s">
        <v>27</v>
      </c>
      <c r="B8" s="7">
        <v>6284902217.5958986</v>
      </c>
    </row>
    <row r="9" spans="1:2" x14ac:dyDescent="0.3">
      <c r="A9" s="5" t="s">
        <v>29</v>
      </c>
      <c r="B9" s="7">
        <v>7071140500.155901</v>
      </c>
    </row>
    <row r="10" spans="1:2" x14ac:dyDescent="0.3">
      <c r="A10" s="5" t="s">
        <v>31</v>
      </c>
      <c r="B10" s="7">
        <v>2629918921.2359004</v>
      </c>
    </row>
    <row r="11" spans="1:2" x14ac:dyDescent="0.3">
      <c r="A11" s="5" t="s">
        <v>33</v>
      </c>
      <c r="B11" s="7">
        <v>2873828754.8358998</v>
      </c>
    </row>
    <row r="12" spans="1:2" x14ac:dyDescent="0.3">
      <c r="A12" s="5" t="s">
        <v>179</v>
      </c>
      <c r="B12" s="7">
        <v>8450089975.9958992</v>
      </c>
    </row>
    <row r="13" spans="1:2" x14ac:dyDescent="0.3">
      <c r="A13" s="5" t="s">
        <v>182</v>
      </c>
      <c r="B13" s="7">
        <v>9967508187.9959011</v>
      </c>
    </row>
    <row r="14" spans="1:2" x14ac:dyDescent="0.3">
      <c r="A14" s="5" t="s">
        <v>177</v>
      </c>
      <c r="B14" s="7">
        <v>54798877829.239006</v>
      </c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8F1F-5C25-4689-A0F1-67499F17BB75}">
  <dimension ref="A1:N2399"/>
  <sheetViews>
    <sheetView tabSelected="1" workbookViewId="0">
      <selection activeCell="A2" sqref="A2"/>
    </sheetView>
  </sheetViews>
  <sheetFormatPr defaultRowHeight="14.4" x14ac:dyDescent="0.3"/>
  <cols>
    <col min="1" max="1" width="37" bestFit="1" customWidth="1"/>
    <col min="2" max="2" width="23.21875" bestFit="1" customWidth="1"/>
    <col min="3" max="3" width="9.44140625" bestFit="1" customWidth="1"/>
    <col min="4" max="4" width="10.44140625" bestFit="1" customWidth="1"/>
    <col min="5" max="5" width="35.21875" bestFit="1" customWidth="1"/>
    <col min="6" max="6" width="15.5546875" bestFit="1" customWidth="1"/>
    <col min="7" max="7" width="11" bestFit="1" customWidth="1"/>
    <col min="8" max="8" width="12" bestFit="1" customWidth="1"/>
    <col min="9" max="9" width="9.6640625" bestFit="1" customWidth="1"/>
    <col min="10" max="10" width="15" bestFit="1" customWidth="1"/>
    <col min="11" max="11" width="16.21875" bestFit="1" customWidth="1"/>
    <col min="12" max="12" width="23.21875" bestFit="1" customWidth="1"/>
    <col min="13" max="13" width="9.21875" bestFit="1" customWidth="1"/>
    <col min="14" max="14" width="11.44140625" bestFit="1" customWidth="1"/>
    <col min="15" max="15" width="9.21875" bestFit="1" customWidth="1"/>
  </cols>
  <sheetData>
    <row r="1" spans="1:14" s="3" customFormat="1" x14ac:dyDescent="0.3">
      <c r="A1" s="3" t="s">
        <v>0</v>
      </c>
      <c r="B1" s="3" t="s">
        <v>1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2</v>
      </c>
      <c r="M1" s="3" t="s">
        <v>3</v>
      </c>
      <c r="N1" s="3" t="s">
        <v>4</v>
      </c>
    </row>
    <row r="2" spans="1:14" x14ac:dyDescent="0.3">
      <c r="A2" t="s">
        <v>5</v>
      </c>
      <c r="B2" t="s">
        <v>6</v>
      </c>
      <c r="C2">
        <v>1</v>
      </c>
      <c r="D2" t="s">
        <v>44</v>
      </c>
      <c r="E2" t="s">
        <v>45</v>
      </c>
      <c r="F2">
        <v>2735</v>
      </c>
      <c r="G2">
        <v>2</v>
      </c>
      <c r="H2">
        <v>7.6580000000000004</v>
      </c>
      <c r="I2" t="s">
        <v>46</v>
      </c>
      <c r="J2">
        <v>8500000</v>
      </c>
      <c r="K2">
        <v>65092999.999999993</v>
      </c>
      <c r="L2" t="s">
        <v>6</v>
      </c>
      <c r="M2" t="s">
        <v>7</v>
      </c>
      <c r="N2" t="b">
        <v>0</v>
      </c>
    </row>
    <row r="3" spans="1:14" x14ac:dyDescent="0.3">
      <c r="A3" t="s">
        <v>5</v>
      </c>
      <c r="B3" t="s">
        <v>6</v>
      </c>
      <c r="C3">
        <v>2</v>
      </c>
      <c r="E3" t="s">
        <v>47</v>
      </c>
      <c r="F3">
        <v>2735</v>
      </c>
      <c r="G3">
        <v>0</v>
      </c>
      <c r="H3">
        <v>0</v>
      </c>
      <c r="I3" t="s">
        <v>46</v>
      </c>
      <c r="J3">
        <v>8500000</v>
      </c>
      <c r="K3">
        <v>0</v>
      </c>
      <c r="L3" t="s">
        <v>6</v>
      </c>
      <c r="M3" t="s">
        <v>7</v>
      </c>
      <c r="N3" t="b">
        <v>0</v>
      </c>
    </row>
    <row r="4" spans="1:14" x14ac:dyDescent="0.3">
      <c r="A4" t="s">
        <v>5</v>
      </c>
      <c r="B4" t="s">
        <v>6</v>
      </c>
      <c r="C4">
        <v>3</v>
      </c>
      <c r="E4" t="s">
        <v>48</v>
      </c>
      <c r="F4">
        <v>2703</v>
      </c>
      <c r="G4">
        <v>2</v>
      </c>
      <c r="H4">
        <v>9.1902000000000008</v>
      </c>
      <c r="I4" t="s">
        <v>46</v>
      </c>
      <c r="J4">
        <v>8500000</v>
      </c>
      <c r="K4">
        <v>78116699.999999985</v>
      </c>
      <c r="L4" t="s">
        <v>6</v>
      </c>
      <c r="M4" t="s">
        <v>7</v>
      </c>
      <c r="N4" t="b">
        <v>0</v>
      </c>
    </row>
    <row r="5" spans="1:14" x14ac:dyDescent="0.3">
      <c r="A5" t="s">
        <v>5</v>
      </c>
      <c r="B5" t="s">
        <v>6</v>
      </c>
      <c r="C5">
        <v>4</v>
      </c>
      <c r="E5" t="s">
        <v>49</v>
      </c>
      <c r="F5">
        <v>120</v>
      </c>
      <c r="G5">
        <v>4</v>
      </c>
      <c r="H5">
        <v>0.48</v>
      </c>
      <c r="I5" t="s">
        <v>46</v>
      </c>
      <c r="J5">
        <v>8500000</v>
      </c>
      <c r="K5">
        <v>4080000</v>
      </c>
      <c r="L5" t="s">
        <v>6</v>
      </c>
      <c r="M5" t="s">
        <v>7</v>
      </c>
      <c r="N5" t="b">
        <v>0</v>
      </c>
    </row>
    <row r="6" spans="1:14" x14ac:dyDescent="0.3">
      <c r="A6" t="s">
        <v>5</v>
      </c>
      <c r="B6" t="s">
        <v>6</v>
      </c>
      <c r="C6">
        <v>5</v>
      </c>
      <c r="E6" t="s">
        <v>50</v>
      </c>
      <c r="F6">
        <v>180</v>
      </c>
      <c r="G6">
        <v>4</v>
      </c>
      <c r="H6">
        <v>0.95061600000000013</v>
      </c>
      <c r="I6" t="s">
        <v>46</v>
      </c>
      <c r="J6">
        <v>8500000</v>
      </c>
      <c r="K6">
        <v>8080236.0000000019</v>
      </c>
      <c r="L6" t="s">
        <v>6</v>
      </c>
      <c r="M6" t="s">
        <v>7</v>
      </c>
      <c r="N6" t="b">
        <v>0</v>
      </c>
    </row>
    <row r="7" spans="1:14" x14ac:dyDescent="0.3">
      <c r="A7" t="s">
        <v>5</v>
      </c>
      <c r="B7" t="s">
        <v>6</v>
      </c>
      <c r="C7">
        <v>6</v>
      </c>
      <c r="E7" t="s">
        <v>51</v>
      </c>
      <c r="F7">
        <v>2970</v>
      </c>
      <c r="G7">
        <v>4</v>
      </c>
      <c r="H7">
        <v>19.245600000000007</v>
      </c>
      <c r="I7" t="s">
        <v>46</v>
      </c>
      <c r="J7">
        <v>8500000</v>
      </c>
      <c r="K7">
        <v>163587600.00000006</v>
      </c>
      <c r="L7" t="s">
        <v>6</v>
      </c>
      <c r="M7" t="s">
        <v>7</v>
      </c>
      <c r="N7" t="b">
        <v>0</v>
      </c>
    </row>
    <row r="8" spans="1:14" x14ac:dyDescent="0.3">
      <c r="A8" t="s">
        <v>5</v>
      </c>
      <c r="B8" t="s">
        <v>6</v>
      </c>
      <c r="C8">
        <v>7</v>
      </c>
      <c r="D8" t="s">
        <v>52</v>
      </c>
      <c r="E8" t="s">
        <v>53</v>
      </c>
      <c r="F8">
        <v>0.13</v>
      </c>
      <c r="G8">
        <v>2.7561600000000004</v>
      </c>
      <c r="H8">
        <v>2.7561600000000004</v>
      </c>
      <c r="I8" t="s">
        <v>54</v>
      </c>
      <c r="J8">
        <v>4275000</v>
      </c>
      <c r="K8">
        <v>11782584.000000002</v>
      </c>
      <c r="L8" t="s">
        <v>6</v>
      </c>
      <c r="M8" t="s">
        <v>7</v>
      </c>
      <c r="N8" t="b">
        <v>0</v>
      </c>
    </row>
    <row r="9" spans="1:14" x14ac:dyDescent="0.3">
      <c r="A9" t="s">
        <v>5</v>
      </c>
      <c r="B9" t="s">
        <v>6</v>
      </c>
      <c r="C9">
        <v>8</v>
      </c>
      <c r="E9" t="s">
        <v>55</v>
      </c>
      <c r="F9">
        <v>0.35</v>
      </c>
      <c r="G9">
        <v>1.2127104000000002</v>
      </c>
      <c r="H9">
        <v>1.2127104000000002</v>
      </c>
      <c r="I9" t="s">
        <v>46</v>
      </c>
      <c r="J9">
        <v>35750000</v>
      </c>
      <c r="K9">
        <v>43354396.799999997</v>
      </c>
      <c r="L9" t="s">
        <v>6</v>
      </c>
      <c r="M9" t="s">
        <v>7</v>
      </c>
      <c r="N9" t="b">
        <v>0</v>
      </c>
    </row>
    <row r="10" spans="1:14" x14ac:dyDescent="0.3">
      <c r="A10" t="s">
        <v>5</v>
      </c>
      <c r="B10" t="s">
        <v>6</v>
      </c>
      <c r="C10">
        <v>9</v>
      </c>
      <c r="E10" t="s">
        <v>55</v>
      </c>
      <c r="F10">
        <v>0.2</v>
      </c>
      <c r="G10">
        <v>0</v>
      </c>
      <c r="H10">
        <v>0</v>
      </c>
      <c r="I10" t="s">
        <v>46</v>
      </c>
      <c r="J10">
        <v>45760000</v>
      </c>
      <c r="K10">
        <v>0</v>
      </c>
      <c r="L10" t="s">
        <v>6</v>
      </c>
      <c r="M10" t="s">
        <v>7</v>
      </c>
      <c r="N10" t="b">
        <v>0</v>
      </c>
    </row>
    <row r="11" spans="1:14" x14ac:dyDescent="0.3">
      <c r="A11" t="s">
        <v>5</v>
      </c>
      <c r="B11" t="s">
        <v>6</v>
      </c>
      <c r="C11">
        <v>10</v>
      </c>
      <c r="D11" t="s">
        <v>56</v>
      </c>
      <c r="E11" t="s">
        <v>57</v>
      </c>
      <c r="G11">
        <v>16.848199999999999</v>
      </c>
      <c r="H11">
        <v>16.848199999999999</v>
      </c>
      <c r="I11" t="s">
        <v>46</v>
      </c>
      <c r="J11">
        <v>1430000</v>
      </c>
      <c r="K11">
        <v>24092925.999999996</v>
      </c>
      <c r="L11" t="s">
        <v>6</v>
      </c>
      <c r="M11" t="s">
        <v>7</v>
      </c>
      <c r="N11" t="b">
        <v>0</v>
      </c>
    </row>
    <row r="12" spans="1:14" x14ac:dyDescent="0.3">
      <c r="A12" t="s">
        <v>5</v>
      </c>
      <c r="B12" t="s">
        <v>6</v>
      </c>
      <c r="C12">
        <v>11</v>
      </c>
      <c r="D12" t="s">
        <v>58</v>
      </c>
      <c r="E12" t="s">
        <v>59</v>
      </c>
      <c r="G12">
        <v>8</v>
      </c>
      <c r="H12">
        <v>8</v>
      </c>
      <c r="I12" t="s">
        <v>46</v>
      </c>
      <c r="J12">
        <v>1600000</v>
      </c>
      <c r="K12">
        <v>12800000</v>
      </c>
      <c r="L12" t="s">
        <v>6</v>
      </c>
      <c r="M12" t="s">
        <v>7</v>
      </c>
      <c r="N12" t="b">
        <v>0</v>
      </c>
    </row>
    <row r="13" spans="1:14" x14ac:dyDescent="0.3">
      <c r="A13" t="s">
        <v>5</v>
      </c>
      <c r="B13" t="s">
        <v>6</v>
      </c>
      <c r="C13">
        <v>12</v>
      </c>
      <c r="E13" t="s">
        <v>60</v>
      </c>
      <c r="G13">
        <v>19.245600000000007</v>
      </c>
      <c r="H13">
        <v>19.245600000000007</v>
      </c>
      <c r="I13" t="s">
        <v>61</v>
      </c>
      <c r="J13">
        <v>3600000</v>
      </c>
      <c r="K13">
        <v>69284160.00000003</v>
      </c>
      <c r="L13" t="s">
        <v>6</v>
      </c>
      <c r="M13" t="s">
        <v>7</v>
      </c>
      <c r="N13" t="b">
        <v>0</v>
      </c>
    </row>
    <row r="14" spans="1:14" x14ac:dyDescent="0.3">
      <c r="A14" t="s">
        <v>5</v>
      </c>
      <c r="B14" t="s">
        <v>6</v>
      </c>
      <c r="C14">
        <v>13</v>
      </c>
      <c r="D14" t="s">
        <v>62</v>
      </c>
      <c r="E14" t="s">
        <v>63</v>
      </c>
      <c r="G14">
        <v>11.88</v>
      </c>
      <c r="H14">
        <v>11.88</v>
      </c>
      <c r="I14" t="s">
        <v>61</v>
      </c>
      <c r="J14">
        <v>3600000</v>
      </c>
      <c r="K14">
        <v>42768000</v>
      </c>
      <c r="L14" t="s">
        <v>6</v>
      </c>
      <c r="M14" t="s">
        <v>7</v>
      </c>
      <c r="N14" t="b">
        <v>0</v>
      </c>
    </row>
    <row r="15" spans="1:14" x14ac:dyDescent="0.3">
      <c r="A15" t="s">
        <v>5</v>
      </c>
      <c r="B15" t="s">
        <v>6</v>
      </c>
      <c r="C15">
        <v>14</v>
      </c>
      <c r="E15" t="s">
        <v>64</v>
      </c>
      <c r="G15">
        <v>0.1</v>
      </c>
      <c r="H15">
        <v>0.1</v>
      </c>
      <c r="I15" t="s">
        <v>61</v>
      </c>
      <c r="J15">
        <v>5500000</v>
      </c>
      <c r="K15">
        <v>550000</v>
      </c>
      <c r="L15" t="s">
        <v>6</v>
      </c>
      <c r="M15" t="s">
        <v>7</v>
      </c>
      <c r="N15" t="b">
        <v>0</v>
      </c>
    </row>
    <row r="16" spans="1:14" x14ac:dyDescent="0.3">
      <c r="A16" t="s">
        <v>5</v>
      </c>
      <c r="B16" t="s">
        <v>6</v>
      </c>
      <c r="C16">
        <v>15</v>
      </c>
      <c r="D16" t="s">
        <v>65</v>
      </c>
      <c r="E16" t="s">
        <v>66</v>
      </c>
      <c r="G16" t="s">
        <v>67</v>
      </c>
      <c r="H16" t="s">
        <v>67</v>
      </c>
      <c r="I16" t="s">
        <v>61</v>
      </c>
      <c r="J16">
        <v>200000</v>
      </c>
      <c r="K16">
        <v>16000000</v>
      </c>
      <c r="L16" t="s">
        <v>6</v>
      </c>
      <c r="M16" t="s">
        <v>7</v>
      </c>
      <c r="N16" t="b">
        <v>0</v>
      </c>
    </row>
    <row r="17" spans="1:14" x14ac:dyDescent="0.3">
      <c r="A17" t="s">
        <v>5</v>
      </c>
      <c r="B17" t="s">
        <v>6</v>
      </c>
      <c r="C17">
        <v>16</v>
      </c>
      <c r="E17" t="s">
        <v>68</v>
      </c>
      <c r="G17">
        <v>8</v>
      </c>
      <c r="H17">
        <v>8</v>
      </c>
      <c r="I17" t="s">
        <v>61</v>
      </c>
      <c r="J17">
        <v>200000</v>
      </c>
      <c r="K17">
        <v>1600000</v>
      </c>
      <c r="L17" t="s">
        <v>6</v>
      </c>
      <c r="M17" t="s">
        <v>7</v>
      </c>
      <c r="N17" t="b">
        <v>0</v>
      </c>
    </row>
    <row r="18" spans="1:14" x14ac:dyDescent="0.3">
      <c r="A18" t="s">
        <v>5</v>
      </c>
      <c r="B18" t="s">
        <v>6</v>
      </c>
      <c r="C18">
        <v>17</v>
      </c>
      <c r="E18" t="s">
        <v>69</v>
      </c>
      <c r="G18">
        <v>88</v>
      </c>
      <c r="H18">
        <v>88</v>
      </c>
      <c r="I18" t="s">
        <v>61</v>
      </c>
      <c r="J18">
        <v>200000</v>
      </c>
      <c r="K18">
        <v>17600000</v>
      </c>
      <c r="L18" t="s">
        <v>6</v>
      </c>
      <c r="M18" t="s">
        <v>7</v>
      </c>
      <c r="N18" t="b">
        <v>0</v>
      </c>
    </row>
    <row r="19" spans="1:14" x14ac:dyDescent="0.3">
      <c r="A19" t="s">
        <v>5</v>
      </c>
      <c r="B19" t="s">
        <v>6</v>
      </c>
      <c r="C19">
        <v>18</v>
      </c>
      <c r="E19" t="s">
        <v>70</v>
      </c>
      <c r="G19">
        <v>16</v>
      </c>
      <c r="H19">
        <v>16</v>
      </c>
      <c r="I19" t="s">
        <v>61</v>
      </c>
      <c r="J19">
        <v>400000</v>
      </c>
      <c r="K19">
        <v>6400000</v>
      </c>
      <c r="L19" t="s">
        <v>6</v>
      </c>
      <c r="M19" t="s">
        <v>7</v>
      </c>
      <c r="N19" t="b">
        <v>0</v>
      </c>
    </row>
    <row r="20" spans="1:14" x14ac:dyDescent="0.3">
      <c r="A20" t="s">
        <v>5</v>
      </c>
      <c r="B20" t="s">
        <v>6</v>
      </c>
      <c r="C20">
        <v>19</v>
      </c>
      <c r="E20" t="s">
        <v>71</v>
      </c>
      <c r="G20">
        <v>16</v>
      </c>
      <c r="H20">
        <v>16</v>
      </c>
      <c r="I20" t="s">
        <v>61</v>
      </c>
      <c r="J20">
        <v>120000</v>
      </c>
      <c r="K20">
        <v>1920000</v>
      </c>
      <c r="L20" t="s">
        <v>6</v>
      </c>
      <c r="M20" t="s">
        <v>7</v>
      </c>
      <c r="N20" t="b">
        <v>0</v>
      </c>
    </row>
    <row r="21" spans="1:14" x14ac:dyDescent="0.3">
      <c r="A21" t="s">
        <v>5</v>
      </c>
      <c r="B21" t="s">
        <v>6</v>
      </c>
      <c r="C21">
        <v>20</v>
      </c>
      <c r="E21" t="s">
        <v>72</v>
      </c>
      <c r="G21">
        <v>24</v>
      </c>
      <c r="H21">
        <v>24</v>
      </c>
      <c r="I21" t="s">
        <v>61</v>
      </c>
      <c r="J21">
        <v>400000</v>
      </c>
      <c r="K21">
        <v>9600000</v>
      </c>
      <c r="L21" t="s">
        <v>6</v>
      </c>
      <c r="M21" t="s">
        <v>7</v>
      </c>
      <c r="N21" t="b">
        <v>0</v>
      </c>
    </row>
    <row r="22" spans="1:14" x14ac:dyDescent="0.3">
      <c r="A22" t="s">
        <v>5</v>
      </c>
      <c r="B22" t="s">
        <v>6</v>
      </c>
      <c r="C22">
        <v>21</v>
      </c>
      <c r="D22" t="s">
        <v>73</v>
      </c>
      <c r="E22" t="s">
        <v>74</v>
      </c>
      <c r="F22">
        <v>132</v>
      </c>
      <c r="G22">
        <v>8</v>
      </c>
      <c r="H22">
        <v>2.8385280000000006</v>
      </c>
      <c r="I22" t="s">
        <v>46</v>
      </c>
      <c r="J22">
        <v>35000000</v>
      </c>
      <c r="K22">
        <v>99348480.000000015</v>
      </c>
      <c r="L22" t="s">
        <v>6</v>
      </c>
      <c r="M22" t="s">
        <v>7</v>
      </c>
      <c r="N22" t="b">
        <v>0</v>
      </c>
    </row>
    <row r="23" spans="1:14" x14ac:dyDescent="0.3">
      <c r="A23" t="s">
        <v>5</v>
      </c>
      <c r="B23" t="s">
        <v>6</v>
      </c>
      <c r="C23">
        <v>22</v>
      </c>
      <c r="D23" t="s">
        <v>75</v>
      </c>
      <c r="E23" t="s">
        <v>76</v>
      </c>
      <c r="F23" t="s">
        <v>77</v>
      </c>
      <c r="G23">
        <v>2</v>
      </c>
      <c r="H23">
        <v>1</v>
      </c>
      <c r="I23" t="s">
        <v>46</v>
      </c>
      <c r="J23">
        <v>5200000</v>
      </c>
      <c r="K23">
        <v>5200000</v>
      </c>
      <c r="L23" t="s">
        <v>6</v>
      </c>
      <c r="M23" t="s">
        <v>7</v>
      </c>
      <c r="N23" t="b">
        <v>0</v>
      </c>
    </row>
    <row r="24" spans="1:14" x14ac:dyDescent="0.3">
      <c r="A24" t="s">
        <v>5</v>
      </c>
      <c r="B24" t="s">
        <v>6</v>
      </c>
      <c r="C24">
        <v>23</v>
      </c>
      <c r="E24" t="s">
        <v>78</v>
      </c>
      <c r="F24" t="s">
        <v>79</v>
      </c>
      <c r="G24">
        <v>2</v>
      </c>
      <c r="H24">
        <v>1.2</v>
      </c>
      <c r="I24" t="s">
        <v>46</v>
      </c>
      <c r="J24">
        <v>5200000</v>
      </c>
      <c r="K24">
        <v>6240000</v>
      </c>
      <c r="L24" t="s">
        <v>6</v>
      </c>
      <c r="M24" t="s">
        <v>7</v>
      </c>
      <c r="N24" t="b">
        <v>0</v>
      </c>
    </row>
    <row r="25" spans="1:14" x14ac:dyDescent="0.3">
      <c r="A25" t="s">
        <v>5</v>
      </c>
      <c r="B25" t="s">
        <v>6</v>
      </c>
      <c r="C25">
        <v>24</v>
      </c>
      <c r="D25" t="s">
        <v>80</v>
      </c>
      <c r="E25" t="s">
        <v>81</v>
      </c>
      <c r="F25" t="s">
        <v>82</v>
      </c>
      <c r="G25">
        <v>2</v>
      </c>
      <c r="H25">
        <v>0.57587900000000003</v>
      </c>
      <c r="I25" t="s">
        <v>46</v>
      </c>
      <c r="J25">
        <v>8500000</v>
      </c>
      <c r="K25">
        <v>4894971.5</v>
      </c>
      <c r="L25" t="s">
        <v>6</v>
      </c>
      <c r="M25" t="s">
        <v>7</v>
      </c>
      <c r="N25" t="b">
        <v>0</v>
      </c>
    </row>
    <row r="26" spans="1:14" x14ac:dyDescent="0.3">
      <c r="A26" t="s">
        <v>5</v>
      </c>
      <c r="B26" t="s">
        <v>6</v>
      </c>
      <c r="C26">
        <v>25</v>
      </c>
      <c r="D26" t="s">
        <v>83</v>
      </c>
      <c r="E26" t="s">
        <v>84</v>
      </c>
      <c r="F26">
        <v>0.18</v>
      </c>
      <c r="G26" t="s">
        <v>85</v>
      </c>
      <c r="H26" t="s">
        <v>85</v>
      </c>
      <c r="I26" t="s">
        <v>61</v>
      </c>
      <c r="J26">
        <v>715000</v>
      </c>
      <c r="K26">
        <v>1430000</v>
      </c>
      <c r="L26" t="s">
        <v>6</v>
      </c>
      <c r="M26" t="s">
        <v>7</v>
      </c>
      <c r="N26" t="b">
        <v>0</v>
      </c>
    </row>
    <row r="27" spans="1:14" x14ac:dyDescent="0.3">
      <c r="A27" t="s">
        <v>5</v>
      </c>
      <c r="B27" t="s">
        <v>6</v>
      </c>
      <c r="C27">
        <v>26</v>
      </c>
      <c r="E27" t="s">
        <v>86</v>
      </c>
      <c r="F27">
        <v>0.2</v>
      </c>
      <c r="G27" t="s">
        <v>87</v>
      </c>
      <c r="H27" t="s">
        <v>87</v>
      </c>
      <c r="I27" t="s">
        <v>61</v>
      </c>
      <c r="J27">
        <v>715000</v>
      </c>
      <c r="K27">
        <v>2145000</v>
      </c>
      <c r="L27" t="s">
        <v>6</v>
      </c>
      <c r="M27" t="s">
        <v>7</v>
      </c>
      <c r="N27" t="b">
        <v>0</v>
      </c>
    </row>
    <row r="28" spans="1:14" x14ac:dyDescent="0.3">
      <c r="A28" t="s">
        <v>5</v>
      </c>
      <c r="B28" t="s">
        <v>6</v>
      </c>
      <c r="C28">
        <v>27</v>
      </c>
      <c r="D28" t="s">
        <v>88</v>
      </c>
      <c r="E28" t="s">
        <v>89</v>
      </c>
      <c r="F28" t="s">
        <v>90</v>
      </c>
      <c r="G28">
        <v>1</v>
      </c>
      <c r="H28">
        <v>1</v>
      </c>
      <c r="I28" t="s">
        <v>61</v>
      </c>
      <c r="J28">
        <v>100000</v>
      </c>
      <c r="K28">
        <v>100000</v>
      </c>
      <c r="L28" t="s">
        <v>6</v>
      </c>
      <c r="M28" t="s">
        <v>7</v>
      </c>
      <c r="N28" t="b">
        <v>0</v>
      </c>
    </row>
    <row r="29" spans="1:14" x14ac:dyDescent="0.3">
      <c r="A29" t="s">
        <v>5</v>
      </c>
      <c r="B29" t="s">
        <v>6</v>
      </c>
      <c r="C29">
        <v>28</v>
      </c>
      <c r="D29" t="s">
        <v>65</v>
      </c>
      <c r="E29" t="s">
        <v>91</v>
      </c>
      <c r="G29">
        <v>2</v>
      </c>
      <c r="H29">
        <v>2</v>
      </c>
      <c r="I29" t="s">
        <v>61</v>
      </c>
      <c r="J29">
        <v>2400000</v>
      </c>
      <c r="K29">
        <v>4800000</v>
      </c>
      <c r="L29" t="s">
        <v>6</v>
      </c>
      <c r="M29" t="s">
        <v>7</v>
      </c>
      <c r="N29" t="b">
        <v>0</v>
      </c>
    </row>
    <row r="30" spans="1:14" x14ac:dyDescent="0.3">
      <c r="A30" t="s">
        <v>5</v>
      </c>
      <c r="B30" t="s">
        <v>6</v>
      </c>
      <c r="C30">
        <v>29</v>
      </c>
      <c r="E30" t="s">
        <v>92</v>
      </c>
      <c r="G30">
        <v>2</v>
      </c>
      <c r="H30">
        <v>2</v>
      </c>
      <c r="I30" t="s">
        <v>61</v>
      </c>
      <c r="J30">
        <v>2400000</v>
      </c>
      <c r="K30">
        <v>4800000</v>
      </c>
      <c r="L30" t="s">
        <v>6</v>
      </c>
      <c r="M30" t="s">
        <v>7</v>
      </c>
      <c r="N30" t="b">
        <v>0</v>
      </c>
    </row>
    <row r="31" spans="1:14" x14ac:dyDescent="0.3">
      <c r="A31" t="s">
        <v>5</v>
      </c>
      <c r="B31" t="s">
        <v>6</v>
      </c>
      <c r="C31">
        <v>30</v>
      </c>
      <c r="E31" t="s">
        <v>93</v>
      </c>
      <c r="G31">
        <v>2</v>
      </c>
      <c r="H31">
        <v>2</v>
      </c>
      <c r="I31" t="s">
        <v>61</v>
      </c>
      <c r="J31">
        <v>3000000</v>
      </c>
      <c r="K31">
        <v>6000000</v>
      </c>
      <c r="L31" t="s">
        <v>6</v>
      </c>
      <c r="M31" t="s">
        <v>7</v>
      </c>
      <c r="N31" t="b">
        <v>0</v>
      </c>
    </row>
    <row r="32" spans="1:14" x14ac:dyDescent="0.3">
      <c r="A32" t="s">
        <v>5</v>
      </c>
      <c r="B32" t="s">
        <v>6</v>
      </c>
      <c r="C32">
        <v>31</v>
      </c>
      <c r="D32" t="s">
        <v>94</v>
      </c>
      <c r="E32" t="s">
        <v>95</v>
      </c>
      <c r="G32">
        <v>2</v>
      </c>
      <c r="H32">
        <v>2</v>
      </c>
      <c r="I32" t="s">
        <v>61</v>
      </c>
      <c r="J32">
        <v>1300000</v>
      </c>
      <c r="K32">
        <v>2600000</v>
      </c>
      <c r="L32" t="s">
        <v>6</v>
      </c>
      <c r="M32" t="s">
        <v>7</v>
      </c>
      <c r="N32" t="b">
        <v>0</v>
      </c>
    </row>
    <row r="33" spans="1:14" x14ac:dyDescent="0.3">
      <c r="A33" t="s">
        <v>5</v>
      </c>
      <c r="B33" t="s">
        <v>6</v>
      </c>
      <c r="C33">
        <v>32</v>
      </c>
      <c r="D33" t="s">
        <v>94</v>
      </c>
      <c r="E33" t="s">
        <v>96</v>
      </c>
      <c r="G33">
        <v>4</v>
      </c>
      <c r="H33">
        <v>10.811999999999999</v>
      </c>
      <c r="I33" t="s">
        <v>97</v>
      </c>
      <c r="J33">
        <v>460000</v>
      </c>
      <c r="K33">
        <v>4973520</v>
      </c>
      <c r="L33" t="s">
        <v>6</v>
      </c>
      <c r="M33" t="s">
        <v>7</v>
      </c>
      <c r="N33" t="b">
        <v>0</v>
      </c>
    </row>
    <row r="34" spans="1:14" x14ac:dyDescent="0.3">
      <c r="A34" t="s">
        <v>5</v>
      </c>
      <c r="B34" t="s">
        <v>6</v>
      </c>
      <c r="C34">
        <v>33</v>
      </c>
      <c r="D34" t="s">
        <v>98</v>
      </c>
      <c r="E34" t="s">
        <v>99</v>
      </c>
      <c r="F34">
        <v>50</v>
      </c>
      <c r="G34">
        <v>8</v>
      </c>
      <c r="H34">
        <v>0.8</v>
      </c>
      <c r="I34" t="s">
        <v>100</v>
      </c>
      <c r="J34">
        <v>6823080.0000000009</v>
      </c>
      <c r="K34">
        <v>5458464.0000000009</v>
      </c>
      <c r="L34" t="s">
        <v>6</v>
      </c>
      <c r="M34" t="s">
        <v>7</v>
      </c>
      <c r="N34" t="b">
        <v>0</v>
      </c>
    </row>
    <row r="35" spans="1:14" x14ac:dyDescent="0.3">
      <c r="A35" t="s">
        <v>5</v>
      </c>
      <c r="B35" t="s">
        <v>6</v>
      </c>
      <c r="C35">
        <v>28</v>
      </c>
      <c r="E35" t="s">
        <v>101</v>
      </c>
      <c r="H35">
        <v>6</v>
      </c>
      <c r="I35" t="s">
        <v>102</v>
      </c>
      <c r="J35">
        <v>13000000</v>
      </c>
      <c r="K35">
        <v>78000000</v>
      </c>
      <c r="L35" t="s">
        <v>6</v>
      </c>
      <c r="M35" t="s">
        <v>7</v>
      </c>
      <c r="N35" t="b">
        <v>0</v>
      </c>
    </row>
    <row r="36" spans="1:14" x14ac:dyDescent="0.3">
      <c r="A36" t="s">
        <v>5</v>
      </c>
      <c r="B36" t="s">
        <v>8</v>
      </c>
      <c r="C36">
        <v>1</v>
      </c>
      <c r="D36" t="s">
        <v>44</v>
      </c>
      <c r="E36" t="s">
        <v>45</v>
      </c>
      <c r="F36">
        <v>0.76800000000000002</v>
      </c>
      <c r="G36">
        <v>2</v>
      </c>
      <c r="H36">
        <v>2.1503999999999999</v>
      </c>
      <c r="I36" t="s">
        <v>46</v>
      </c>
      <c r="J36">
        <v>8500000</v>
      </c>
      <c r="K36">
        <v>18278400</v>
      </c>
      <c r="L36" t="s">
        <v>8</v>
      </c>
      <c r="M36" t="s">
        <v>7</v>
      </c>
      <c r="N36" t="b">
        <v>0</v>
      </c>
    </row>
    <row r="37" spans="1:14" x14ac:dyDescent="0.3">
      <c r="A37" t="s">
        <v>5</v>
      </c>
      <c r="B37" t="s">
        <v>8</v>
      </c>
      <c r="C37">
        <v>2</v>
      </c>
      <c r="E37" t="s">
        <v>47</v>
      </c>
      <c r="F37">
        <v>0</v>
      </c>
      <c r="G37">
        <v>0</v>
      </c>
      <c r="H37">
        <v>0</v>
      </c>
      <c r="I37" t="s">
        <v>46</v>
      </c>
      <c r="J37">
        <v>8500000</v>
      </c>
      <c r="K37">
        <v>0</v>
      </c>
      <c r="L37" t="s">
        <v>8</v>
      </c>
      <c r="M37" t="s">
        <v>7</v>
      </c>
      <c r="N37" t="b">
        <v>0</v>
      </c>
    </row>
    <row r="38" spans="1:14" x14ac:dyDescent="0.3">
      <c r="A38" t="s">
        <v>5</v>
      </c>
      <c r="B38" t="s">
        <v>8</v>
      </c>
      <c r="C38">
        <v>3</v>
      </c>
      <c r="E38" t="s">
        <v>48</v>
      </c>
      <c r="F38">
        <v>0.70299999999999996</v>
      </c>
      <c r="G38">
        <v>2</v>
      </c>
      <c r="H38">
        <v>2.3901999999999997</v>
      </c>
      <c r="I38" t="s">
        <v>46</v>
      </c>
      <c r="J38">
        <v>8500000</v>
      </c>
      <c r="K38">
        <v>20316699.999999996</v>
      </c>
      <c r="L38" t="s">
        <v>8</v>
      </c>
      <c r="M38" t="s">
        <v>7</v>
      </c>
      <c r="N38" t="b">
        <v>0</v>
      </c>
    </row>
    <row r="39" spans="1:14" x14ac:dyDescent="0.3">
      <c r="A39" t="s">
        <v>5</v>
      </c>
      <c r="B39" t="s">
        <v>8</v>
      </c>
      <c r="C39">
        <v>4</v>
      </c>
      <c r="E39" t="s">
        <v>49</v>
      </c>
      <c r="F39">
        <v>120</v>
      </c>
      <c r="G39">
        <v>4</v>
      </c>
      <c r="H39">
        <v>0.48</v>
      </c>
      <c r="I39" t="s">
        <v>46</v>
      </c>
      <c r="J39">
        <v>8500000</v>
      </c>
      <c r="K39">
        <v>4080000</v>
      </c>
      <c r="L39" t="s">
        <v>8</v>
      </c>
      <c r="M39" t="s">
        <v>7</v>
      </c>
      <c r="N39" t="b">
        <v>0</v>
      </c>
    </row>
    <row r="40" spans="1:14" x14ac:dyDescent="0.3">
      <c r="A40" t="s">
        <v>5</v>
      </c>
      <c r="B40" t="s">
        <v>8</v>
      </c>
      <c r="C40">
        <v>5</v>
      </c>
      <c r="E40" t="s">
        <v>50</v>
      </c>
      <c r="F40">
        <v>180</v>
      </c>
      <c r="G40">
        <v>4</v>
      </c>
      <c r="H40">
        <v>0.95061600000000013</v>
      </c>
      <c r="I40" t="s">
        <v>46</v>
      </c>
      <c r="J40">
        <v>8500000</v>
      </c>
      <c r="K40">
        <v>8080236.0000000019</v>
      </c>
      <c r="L40" t="s">
        <v>8</v>
      </c>
      <c r="M40" t="s">
        <v>7</v>
      </c>
      <c r="N40" t="b">
        <v>0</v>
      </c>
    </row>
    <row r="41" spans="1:14" x14ac:dyDescent="0.3">
      <c r="A41" t="s">
        <v>5</v>
      </c>
      <c r="B41" t="s">
        <v>8</v>
      </c>
      <c r="C41">
        <v>6</v>
      </c>
      <c r="E41" t="s">
        <v>51</v>
      </c>
      <c r="F41">
        <v>0.96299999999999997</v>
      </c>
      <c r="G41">
        <v>4</v>
      </c>
      <c r="H41">
        <v>6.2402400000000009</v>
      </c>
      <c r="I41" t="s">
        <v>46</v>
      </c>
      <c r="J41">
        <v>8500000</v>
      </c>
      <c r="K41">
        <v>53042040.000000007</v>
      </c>
      <c r="L41" t="s">
        <v>8</v>
      </c>
      <c r="M41" t="s">
        <v>7</v>
      </c>
      <c r="N41" t="b">
        <v>0</v>
      </c>
    </row>
    <row r="42" spans="1:14" x14ac:dyDescent="0.3">
      <c r="A42" t="s">
        <v>5</v>
      </c>
      <c r="B42" t="s">
        <v>8</v>
      </c>
      <c r="C42">
        <v>7</v>
      </c>
      <c r="D42" t="s">
        <v>52</v>
      </c>
      <c r="E42" t="s">
        <v>53</v>
      </c>
      <c r="F42">
        <v>0.13</v>
      </c>
      <c r="G42">
        <v>0.89366400000000001</v>
      </c>
      <c r="H42">
        <v>0.89366400000000001</v>
      </c>
      <c r="I42" t="s">
        <v>54</v>
      </c>
      <c r="J42">
        <v>4275000</v>
      </c>
      <c r="K42">
        <v>3820413.6</v>
      </c>
      <c r="L42" t="s">
        <v>8</v>
      </c>
      <c r="M42" t="s">
        <v>7</v>
      </c>
      <c r="N42" t="b">
        <v>0</v>
      </c>
    </row>
    <row r="43" spans="1:14" x14ac:dyDescent="0.3">
      <c r="A43" t="s">
        <v>5</v>
      </c>
      <c r="B43" t="s">
        <v>8</v>
      </c>
      <c r="C43">
        <v>8</v>
      </c>
      <c r="E43" t="s">
        <v>55</v>
      </c>
      <c r="F43">
        <v>0.35</v>
      </c>
      <c r="G43">
        <v>0</v>
      </c>
      <c r="H43">
        <v>0</v>
      </c>
      <c r="I43" t="s">
        <v>46</v>
      </c>
      <c r="J43">
        <v>35750000</v>
      </c>
      <c r="K43">
        <v>0</v>
      </c>
      <c r="L43" t="s">
        <v>8</v>
      </c>
      <c r="M43" t="s">
        <v>7</v>
      </c>
      <c r="N43" t="b">
        <v>0</v>
      </c>
    </row>
    <row r="44" spans="1:14" x14ac:dyDescent="0.3">
      <c r="A44" t="s">
        <v>5</v>
      </c>
      <c r="B44" t="s">
        <v>8</v>
      </c>
      <c r="C44">
        <v>9</v>
      </c>
      <c r="E44" t="s">
        <v>55</v>
      </c>
      <c r="F44">
        <v>0.2</v>
      </c>
      <c r="G44">
        <v>0.44683200000000001</v>
      </c>
      <c r="H44">
        <v>0.44683200000000001</v>
      </c>
      <c r="I44" t="s">
        <v>46</v>
      </c>
      <c r="J44">
        <v>45760000</v>
      </c>
      <c r="K44">
        <v>20447032.32</v>
      </c>
      <c r="L44" t="s">
        <v>8</v>
      </c>
      <c r="M44" t="s">
        <v>7</v>
      </c>
      <c r="N44" t="b">
        <v>0</v>
      </c>
    </row>
    <row r="45" spans="1:14" x14ac:dyDescent="0.3">
      <c r="A45" t="s">
        <v>5</v>
      </c>
      <c r="B45" t="s">
        <v>8</v>
      </c>
      <c r="C45">
        <v>10</v>
      </c>
      <c r="D45" t="s">
        <v>56</v>
      </c>
      <c r="E45" t="s">
        <v>57</v>
      </c>
      <c r="G45">
        <v>4.5405999999999995</v>
      </c>
      <c r="H45">
        <v>4.5405999999999995</v>
      </c>
      <c r="I45" t="s">
        <v>61</v>
      </c>
      <c r="J45">
        <v>1430000</v>
      </c>
      <c r="K45">
        <v>6493057.9999999991</v>
      </c>
      <c r="L45" t="s">
        <v>8</v>
      </c>
      <c r="M45" t="s">
        <v>7</v>
      </c>
      <c r="N45" t="b">
        <v>0</v>
      </c>
    </row>
    <row r="46" spans="1:14" x14ac:dyDescent="0.3">
      <c r="A46" t="s">
        <v>5</v>
      </c>
      <c r="B46" t="s">
        <v>8</v>
      </c>
      <c r="C46">
        <v>11</v>
      </c>
      <c r="D46" t="s">
        <v>58</v>
      </c>
      <c r="E46" t="s">
        <v>59</v>
      </c>
      <c r="G46" t="s">
        <v>103</v>
      </c>
      <c r="H46" t="s">
        <v>103</v>
      </c>
      <c r="I46" t="s">
        <v>46</v>
      </c>
      <c r="J46">
        <v>1600000</v>
      </c>
      <c r="K46">
        <v>12800000</v>
      </c>
      <c r="L46" t="s">
        <v>8</v>
      </c>
      <c r="M46" t="s">
        <v>7</v>
      </c>
      <c r="N46" t="b">
        <v>0</v>
      </c>
    </row>
    <row r="47" spans="1:14" x14ac:dyDescent="0.3">
      <c r="A47" t="s">
        <v>5</v>
      </c>
      <c r="B47" t="s">
        <v>8</v>
      </c>
      <c r="C47">
        <v>12</v>
      </c>
      <c r="E47" t="s">
        <v>60</v>
      </c>
      <c r="G47">
        <v>6.2402400000000009</v>
      </c>
      <c r="H47">
        <v>6.2402400000000009</v>
      </c>
      <c r="I47" t="s">
        <v>61</v>
      </c>
      <c r="J47">
        <v>3600000</v>
      </c>
      <c r="K47">
        <v>22464864.000000004</v>
      </c>
      <c r="L47" t="s">
        <v>8</v>
      </c>
      <c r="M47" t="s">
        <v>7</v>
      </c>
      <c r="N47" t="b">
        <v>0</v>
      </c>
    </row>
    <row r="48" spans="1:14" x14ac:dyDescent="0.3">
      <c r="A48" t="s">
        <v>5</v>
      </c>
      <c r="B48" t="s">
        <v>8</v>
      </c>
      <c r="C48">
        <v>13</v>
      </c>
      <c r="D48" t="s">
        <v>62</v>
      </c>
      <c r="E48" t="s">
        <v>63</v>
      </c>
      <c r="G48">
        <v>3.8519999999999999</v>
      </c>
      <c r="H48">
        <v>3.8519999999999999</v>
      </c>
      <c r="I48" t="s">
        <v>61</v>
      </c>
      <c r="J48">
        <v>3600000</v>
      </c>
      <c r="K48">
        <v>13867200</v>
      </c>
      <c r="L48" t="s">
        <v>8</v>
      </c>
      <c r="M48" t="s">
        <v>7</v>
      </c>
      <c r="N48" t="b">
        <v>0</v>
      </c>
    </row>
    <row r="49" spans="1:14" x14ac:dyDescent="0.3">
      <c r="A49" t="s">
        <v>5</v>
      </c>
      <c r="B49" t="s">
        <v>8</v>
      </c>
      <c r="C49">
        <v>14</v>
      </c>
      <c r="E49" t="s">
        <v>64</v>
      </c>
      <c r="G49">
        <v>0.1</v>
      </c>
      <c r="H49">
        <v>0.1</v>
      </c>
      <c r="I49" t="s">
        <v>61</v>
      </c>
      <c r="J49">
        <v>5500000</v>
      </c>
      <c r="K49">
        <v>550000</v>
      </c>
      <c r="L49" t="s">
        <v>8</v>
      </c>
      <c r="M49" t="s">
        <v>7</v>
      </c>
      <c r="N49" t="b">
        <v>0</v>
      </c>
    </row>
    <row r="50" spans="1:14" x14ac:dyDescent="0.3">
      <c r="A50" t="s">
        <v>5</v>
      </c>
      <c r="B50" t="s">
        <v>8</v>
      </c>
      <c r="C50">
        <v>15</v>
      </c>
      <c r="D50" t="s">
        <v>65</v>
      </c>
      <c r="E50" t="s">
        <v>66</v>
      </c>
      <c r="G50">
        <v>20</v>
      </c>
      <c r="H50">
        <v>20</v>
      </c>
      <c r="I50" t="s">
        <v>61</v>
      </c>
      <c r="J50">
        <v>200000</v>
      </c>
      <c r="K50">
        <v>4000000</v>
      </c>
      <c r="L50" t="s">
        <v>8</v>
      </c>
      <c r="M50" t="s">
        <v>7</v>
      </c>
      <c r="N50" t="b">
        <v>0</v>
      </c>
    </row>
    <row r="51" spans="1:14" x14ac:dyDescent="0.3">
      <c r="A51" t="s">
        <v>5</v>
      </c>
      <c r="B51" t="s">
        <v>8</v>
      </c>
      <c r="C51">
        <v>16</v>
      </c>
      <c r="E51" t="s">
        <v>68</v>
      </c>
      <c r="G51">
        <v>8</v>
      </c>
      <c r="H51">
        <v>8</v>
      </c>
      <c r="I51" t="s">
        <v>61</v>
      </c>
      <c r="J51">
        <v>200000</v>
      </c>
      <c r="K51">
        <v>1600000</v>
      </c>
      <c r="L51" t="s">
        <v>8</v>
      </c>
      <c r="M51" t="s">
        <v>7</v>
      </c>
      <c r="N51" t="b">
        <v>0</v>
      </c>
    </row>
    <row r="52" spans="1:14" x14ac:dyDescent="0.3">
      <c r="A52" t="s">
        <v>5</v>
      </c>
      <c r="B52" t="s">
        <v>8</v>
      </c>
      <c r="C52">
        <v>17</v>
      </c>
      <c r="E52" t="s">
        <v>69</v>
      </c>
      <c r="G52">
        <v>28</v>
      </c>
      <c r="H52">
        <v>28</v>
      </c>
      <c r="I52" t="s">
        <v>61</v>
      </c>
      <c r="J52">
        <v>200000</v>
      </c>
      <c r="K52">
        <v>5600000</v>
      </c>
      <c r="L52" t="s">
        <v>8</v>
      </c>
      <c r="M52" t="s">
        <v>7</v>
      </c>
      <c r="N52" t="b">
        <v>0</v>
      </c>
    </row>
    <row r="53" spans="1:14" x14ac:dyDescent="0.3">
      <c r="A53" t="s">
        <v>5</v>
      </c>
      <c r="B53" t="s">
        <v>8</v>
      </c>
      <c r="C53">
        <v>18</v>
      </c>
      <c r="E53" t="s">
        <v>70</v>
      </c>
      <c r="G53">
        <v>16</v>
      </c>
      <c r="H53">
        <v>16</v>
      </c>
      <c r="I53" t="s">
        <v>61</v>
      </c>
      <c r="J53">
        <v>400000</v>
      </c>
      <c r="K53">
        <v>6400000</v>
      </c>
      <c r="L53" t="s">
        <v>8</v>
      </c>
      <c r="M53" t="s">
        <v>7</v>
      </c>
      <c r="N53" t="b">
        <v>0</v>
      </c>
    </row>
    <row r="54" spans="1:14" x14ac:dyDescent="0.3">
      <c r="A54" t="s">
        <v>5</v>
      </c>
      <c r="B54" t="s">
        <v>8</v>
      </c>
      <c r="C54">
        <v>19</v>
      </c>
      <c r="E54" t="s">
        <v>71</v>
      </c>
      <c r="G54">
        <v>16</v>
      </c>
      <c r="H54">
        <v>16</v>
      </c>
      <c r="I54" t="s">
        <v>61</v>
      </c>
      <c r="J54">
        <v>120000</v>
      </c>
      <c r="K54">
        <v>1920000</v>
      </c>
      <c r="L54" t="s">
        <v>8</v>
      </c>
      <c r="M54" t="s">
        <v>7</v>
      </c>
      <c r="N54" t="b">
        <v>0</v>
      </c>
    </row>
    <row r="55" spans="1:14" x14ac:dyDescent="0.3">
      <c r="A55" t="s">
        <v>5</v>
      </c>
      <c r="B55" t="s">
        <v>8</v>
      </c>
      <c r="C55">
        <v>20</v>
      </c>
      <c r="E55" t="s">
        <v>72</v>
      </c>
      <c r="G55">
        <v>24</v>
      </c>
      <c r="H55">
        <v>24</v>
      </c>
      <c r="I55" t="s">
        <v>61</v>
      </c>
      <c r="J55">
        <v>400000</v>
      </c>
      <c r="K55">
        <v>9600000</v>
      </c>
      <c r="L55" t="s">
        <v>8</v>
      </c>
      <c r="M55" t="s">
        <v>7</v>
      </c>
      <c r="N55" t="b">
        <v>0</v>
      </c>
    </row>
    <row r="56" spans="1:14" x14ac:dyDescent="0.3">
      <c r="A56" t="s">
        <v>5</v>
      </c>
      <c r="B56" t="s">
        <v>8</v>
      </c>
      <c r="C56">
        <v>21</v>
      </c>
      <c r="D56" t="s">
        <v>73</v>
      </c>
      <c r="E56" t="s">
        <v>74</v>
      </c>
      <c r="F56">
        <v>132</v>
      </c>
      <c r="G56" t="s">
        <v>103</v>
      </c>
      <c r="H56">
        <v>2.8385280000000006</v>
      </c>
      <c r="I56" t="s">
        <v>46</v>
      </c>
      <c r="J56">
        <v>35000000</v>
      </c>
      <c r="K56">
        <v>99348480.000000015</v>
      </c>
      <c r="L56" t="s">
        <v>8</v>
      </c>
      <c r="M56" t="s">
        <v>7</v>
      </c>
      <c r="N56" t="b">
        <v>0</v>
      </c>
    </row>
    <row r="57" spans="1:14" x14ac:dyDescent="0.3">
      <c r="A57" t="s">
        <v>5</v>
      </c>
      <c r="B57" t="s">
        <v>8</v>
      </c>
      <c r="C57">
        <v>22</v>
      </c>
      <c r="D57" t="s">
        <v>75</v>
      </c>
      <c r="E57" t="s">
        <v>76</v>
      </c>
      <c r="F57" t="s">
        <v>77</v>
      </c>
      <c r="G57">
        <v>2</v>
      </c>
      <c r="H57">
        <v>1</v>
      </c>
      <c r="I57" t="s">
        <v>46</v>
      </c>
      <c r="J57">
        <v>5200000</v>
      </c>
      <c r="K57">
        <v>5200000</v>
      </c>
      <c r="L57" t="s">
        <v>8</v>
      </c>
      <c r="M57" t="s">
        <v>7</v>
      </c>
      <c r="N57" t="b">
        <v>0</v>
      </c>
    </row>
    <row r="58" spans="1:14" x14ac:dyDescent="0.3">
      <c r="A58" t="s">
        <v>5</v>
      </c>
      <c r="B58" t="s">
        <v>8</v>
      </c>
      <c r="C58">
        <v>23</v>
      </c>
      <c r="E58" t="s">
        <v>78</v>
      </c>
      <c r="F58" t="s">
        <v>79</v>
      </c>
      <c r="G58">
        <v>2</v>
      </c>
      <c r="H58">
        <v>1.2</v>
      </c>
      <c r="I58" t="s">
        <v>46</v>
      </c>
      <c r="J58">
        <v>5200000</v>
      </c>
      <c r="K58">
        <v>6240000</v>
      </c>
      <c r="L58" t="s">
        <v>8</v>
      </c>
      <c r="M58" t="s">
        <v>7</v>
      </c>
      <c r="N58" t="b">
        <v>0</v>
      </c>
    </row>
    <row r="59" spans="1:14" x14ac:dyDescent="0.3">
      <c r="A59" t="s">
        <v>5</v>
      </c>
      <c r="B59" t="s">
        <v>8</v>
      </c>
      <c r="C59">
        <v>24</v>
      </c>
      <c r="D59" t="s">
        <v>80</v>
      </c>
      <c r="E59" t="s">
        <v>81</v>
      </c>
      <c r="F59" t="s">
        <v>82</v>
      </c>
      <c r="G59">
        <v>2</v>
      </c>
      <c r="H59">
        <v>0.57587900000000003</v>
      </c>
      <c r="I59" t="s">
        <v>46</v>
      </c>
      <c r="J59">
        <v>8500000</v>
      </c>
      <c r="K59">
        <v>4894971.5</v>
      </c>
      <c r="L59" t="s">
        <v>8</v>
      </c>
      <c r="M59" t="s">
        <v>7</v>
      </c>
      <c r="N59" t="b">
        <v>0</v>
      </c>
    </row>
    <row r="60" spans="1:14" x14ac:dyDescent="0.3">
      <c r="A60" t="s">
        <v>5</v>
      </c>
      <c r="B60" t="s">
        <v>8</v>
      </c>
      <c r="C60">
        <v>25</v>
      </c>
      <c r="D60" t="s">
        <v>83</v>
      </c>
      <c r="E60" t="s">
        <v>84</v>
      </c>
      <c r="F60">
        <v>0.18</v>
      </c>
      <c r="G60">
        <v>2</v>
      </c>
      <c r="H60">
        <v>2</v>
      </c>
      <c r="I60" t="s">
        <v>61</v>
      </c>
      <c r="J60">
        <v>715000</v>
      </c>
      <c r="K60">
        <v>1430000</v>
      </c>
      <c r="L60" t="s">
        <v>8</v>
      </c>
      <c r="M60" t="s">
        <v>7</v>
      </c>
      <c r="N60" t="b">
        <v>0</v>
      </c>
    </row>
    <row r="61" spans="1:14" x14ac:dyDescent="0.3">
      <c r="A61" t="s">
        <v>5</v>
      </c>
      <c r="B61" t="s">
        <v>8</v>
      </c>
      <c r="C61">
        <v>26</v>
      </c>
      <c r="E61" t="s">
        <v>86</v>
      </c>
      <c r="F61">
        <v>0.2</v>
      </c>
      <c r="G61">
        <v>3</v>
      </c>
      <c r="H61">
        <v>3</v>
      </c>
      <c r="I61" t="s">
        <v>61</v>
      </c>
      <c r="J61">
        <v>715000</v>
      </c>
      <c r="K61">
        <v>2145000</v>
      </c>
      <c r="L61" t="s">
        <v>8</v>
      </c>
      <c r="M61" t="s">
        <v>7</v>
      </c>
      <c r="N61" t="b">
        <v>0</v>
      </c>
    </row>
    <row r="62" spans="1:14" x14ac:dyDescent="0.3">
      <c r="A62" t="s">
        <v>5</v>
      </c>
      <c r="B62" t="s">
        <v>8</v>
      </c>
      <c r="C62">
        <v>27</v>
      </c>
      <c r="D62" t="s">
        <v>88</v>
      </c>
      <c r="E62" t="s">
        <v>89</v>
      </c>
      <c r="F62" t="s">
        <v>90</v>
      </c>
      <c r="G62">
        <v>1</v>
      </c>
      <c r="H62">
        <v>1</v>
      </c>
      <c r="I62" t="s">
        <v>61</v>
      </c>
      <c r="J62">
        <v>100000</v>
      </c>
      <c r="K62">
        <v>100000</v>
      </c>
      <c r="L62" t="s">
        <v>8</v>
      </c>
      <c r="M62" t="s">
        <v>7</v>
      </c>
      <c r="N62" t="b">
        <v>0</v>
      </c>
    </row>
    <row r="63" spans="1:14" x14ac:dyDescent="0.3">
      <c r="A63" t="s">
        <v>5</v>
      </c>
      <c r="B63" t="s">
        <v>8</v>
      </c>
      <c r="C63">
        <v>28</v>
      </c>
      <c r="D63" t="s">
        <v>65</v>
      </c>
      <c r="E63" t="s">
        <v>91</v>
      </c>
      <c r="G63">
        <v>2</v>
      </c>
      <c r="H63">
        <v>2</v>
      </c>
      <c r="I63" t="s">
        <v>61</v>
      </c>
      <c r="J63">
        <v>2400000</v>
      </c>
      <c r="K63">
        <v>4800000</v>
      </c>
      <c r="L63" t="s">
        <v>8</v>
      </c>
      <c r="M63" t="s">
        <v>7</v>
      </c>
      <c r="N63" t="b">
        <v>0</v>
      </c>
    </row>
    <row r="64" spans="1:14" x14ac:dyDescent="0.3">
      <c r="A64" t="s">
        <v>5</v>
      </c>
      <c r="B64" t="s">
        <v>8</v>
      </c>
      <c r="C64">
        <v>29</v>
      </c>
      <c r="E64" t="s">
        <v>92</v>
      </c>
      <c r="G64">
        <v>2</v>
      </c>
      <c r="H64">
        <v>2</v>
      </c>
      <c r="I64" t="s">
        <v>61</v>
      </c>
      <c r="J64">
        <v>2400000</v>
      </c>
      <c r="K64">
        <v>4800000</v>
      </c>
      <c r="L64" t="s">
        <v>8</v>
      </c>
      <c r="M64" t="s">
        <v>7</v>
      </c>
      <c r="N64" t="b">
        <v>0</v>
      </c>
    </row>
    <row r="65" spans="1:14" x14ac:dyDescent="0.3">
      <c r="A65" t="s">
        <v>5</v>
      </c>
      <c r="B65" t="s">
        <v>8</v>
      </c>
      <c r="C65">
        <v>30</v>
      </c>
      <c r="E65" t="s">
        <v>93</v>
      </c>
      <c r="G65">
        <v>2</v>
      </c>
      <c r="H65">
        <v>2</v>
      </c>
      <c r="I65" t="s">
        <v>61</v>
      </c>
      <c r="J65">
        <v>3000000</v>
      </c>
      <c r="K65">
        <v>6000000</v>
      </c>
      <c r="L65" t="s">
        <v>8</v>
      </c>
      <c r="M65" t="s">
        <v>7</v>
      </c>
      <c r="N65" t="b">
        <v>0</v>
      </c>
    </row>
    <row r="66" spans="1:14" x14ac:dyDescent="0.3">
      <c r="A66" t="s">
        <v>5</v>
      </c>
      <c r="B66" t="s">
        <v>8</v>
      </c>
      <c r="C66">
        <v>31</v>
      </c>
      <c r="D66" t="s">
        <v>104</v>
      </c>
      <c r="E66" t="s">
        <v>105</v>
      </c>
      <c r="G66">
        <v>1</v>
      </c>
      <c r="H66">
        <v>2</v>
      </c>
      <c r="I66" t="s">
        <v>61</v>
      </c>
      <c r="J66">
        <v>30000000</v>
      </c>
      <c r="K66">
        <v>60000000</v>
      </c>
      <c r="L66" t="s">
        <v>8</v>
      </c>
      <c r="M66" t="s">
        <v>7</v>
      </c>
      <c r="N66" t="b">
        <v>0</v>
      </c>
    </row>
    <row r="67" spans="1:14" x14ac:dyDescent="0.3">
      <c r="A67" t="s">
        <v>5</v>
      </c>
      <c r="B67" t="s">
        <v>8</v>
      </c>
      <c r="C67">
        <v>32</v>
      </c>
      <c r="E67" t="s">
        <v>106</v>
      </c>
      <c r="G67">
        <v>1</v>
      </c>
      <c r="H67">
        <v>4</v>
      </c>
      <c r="J67">
        <v>14000000</v>
      </c>
      <c r="K67">
        <v>56000000</v>
      </c>
      <c r="L67" t="s">
        <v>8</v>
      </c>
      <c r="M67" t="s">
        <v>7</v>
      </c>
      <c r="N67" t="b">
        <v>0</v>
      </c>
    </row>
    <row r="68" spans="1:14" x14ac:dyDescent="0.3">
      <c r="A68" t="s">
        <v>5</v>
      </c>
      <c r="B68" t="s">
        <v>8</v>
      </c>
      <c r="C68">
        <v>33</v>
      </c>
      <c r="D68" t="s">
        <v>94</v>
      </c>
      <c r="E68" t="s">
        <v>95</v>
      </c>
      <c r="G68">
        <v>2</v>
      </c>
      <c r="H68">
        <v>2</v>
      </c>
      <c r="I68" t="s">
        <v>61</v>
      </c>
      <c r="J68">
        <v>1300000</v>
      </c>
      <c r="K68">
        <v>2600000</v>
      </c>
      <c r="L68" t="s">
        <v>8</v>
      </c>
      <c r="M68" t="s">
        <v>7</v>
      </c>
      <c r="N68" t="b">
        <v>0</v>
      </c>
    </row>
    <row r="69" spans="1:14" x14ac:dyDescent="0.3">
      <c r="A69" t="s">
        <v>5</v>
      </c>
      <c r="B69" t="s">
        <v>8</v>
      </c>
      <c r="C69">
        <v>34</v>
      </c>
      <c r="D69" t="s">
        <v>94</v>
      </c>
      <c r="E69" t="s">
        <v>96</v>
      </c>
      <c r="G69">
        <v>4</v>
      </c>
      <c r="H69">
        <v>2.8119999999999998</v>
      </c>
      <c r="I69" t="s">
        <v>97</v>
      </c>
      <c r="J69">
        <v>460000</v>
      </c>
      <c r="K69">
        <v>1293520</v>
      </c>
      <c r="L69" t="s">
        <v>8</v>
      </c>
      <c r="M69" t="s">
        <v>7</v>
      </c>
      <c r="N69" t="b">
        <v>0</v>
      </c>
    </row>
    <row r="70" spans="1:14" x14ac:dyDescent="0.3">
      <c r="A70" t="s">
        <v>5</v>
      </c>
      <c r="B70" t="s">
        <v>8</v>
      </c>
      <c r="C70">
        <v>35</v>
      </c>
      <c r="D70" t="s">
        <v>98</v>
      </c>
      <c r="E70" t="s">
        <v>99</v>
      </c>
      <c r="F70">
        <v>50</v>
      </c>
      <c r="G70">
        <v>8</v>
      </c>
      <c r="H70">
        <v>0.8</v>
      </c>
      <c r="I70" t="s">
        <v>100</v>
      </c>
      <c r="J70">
        <v>6823080.0000000009</v>
      </c>
      <c r="K70">
        <v>5458464.0000000009</v>
      </c>
      <c r="L70" t="s">
        <v>8</v>
      </c>
      <c r="M70" t="s">
        <v>7</v>
      </c>
      <c r="N70" t="b">
        <v>0</v>
      </c>
    </row>
    <row r="71" spans="1:14" x14ac:dyDescent="0.3">
      <c r="A71" t="s">
        <v>5</v>
      </c>
      <c r="B71" t="s">
        <v>8</v>
      </c>
      <c r="C71">
        <v>28</v>
      </c>
      <c r="E71" t="s">
        <v>101</v>
      </c>
      <c r="H71">
        <v>10</v>
      </c>
      <c r="I71" t="s">
        <v>102</v>
      </c>
      <c r="J71">
        <v>13000000</v>
      </c>
      <c r="K71">
        <v>130000000</v>
      </c>
      <c r="L71" t="s">
        <v>8</v>
      </c>
      <c r="M71" t="s">
        <v>7</v>
      </c>
      <c r="N71" t="b">
        <v>0</v>
      </c>
    </row>
    <row r="72" spans="1:14" x14ac:dyDescent="0.3">
      <c r="A72" t="s">
        <v>5</v>
      </c>
      <c r="B72" t="s">
        <v>8</v>
      </c>
      <c r="C72">
        <v>29</v>
      </c>
      <c r="E72" t="s">
        <v>107</v>
      </c>
      <c r="H72">
        <v>0</v>
      </c>
      <c r="I72" t="s">
        <v>108</v>
      </c>
      <c r="K72">
        <v>0</v>
      </c>
      <c r="L72" t="s">
        <v>8</v>
      </c>
      <c r="M72" t="s">
        <v>7</v>
      </c>
      <c r="N72" t="b">
        <v>0</v>
      </c>
    </row>
    <row r="73" spans="1:14" x14ac:dyDescent="0.3">
      <c r="A73" t="s">
        <v>5</v>
      </c>
      <c r="B73" t="s">
        <v>9</v>
      </c>
      <c r="C73">
        <v>1</v>
      </c>
      <c r="D73" t="s">
        <v>44</v>
      </c>
      <c r="E73" t="s">
        <v>45</v>
      </c>
      <c r="F73">
        <v>0.33500000000000002</v>
      </c>
      <c r="G73">
        <v>2</v>
      </c>
      <c r="H73">
        <v>0.93799999999999994</v>
      </c>
      <c r="I73" t="s">
        <v>46</v>
      </c>
      <c r="J73">
        <v>8500000</v>
      </c>
      <c r="K73">
        <v>7972999.9999999981</v>
      </c>
      <c r="L73" t="s">
        <v>9</v>
      </c>
      <c r="M73" t="s">
        <v>7</v>
      </c>
      <c r="N73" t="b">
        <v>0</v>
      </c>
    </row>
    <row r="74" spans="1:14" x14ac:dyDescent="0.3">
      <c r="A74" t="s">
        <v>5</v>
      </c>
      <c r="B74" t="s">
        <v>9</v>
      </c>
      <c r="C74">
        <v>2</v>
      </c>
      <c r="E74" t="s">
        <v>47</v>
      </c>
      <c r="F74">
        <v>0</v>
      </c>
      <c r="G74">
        <v>0</v>
      </c>
      <c r="H74">
        <v>0</v>
      </c>
      <c r="I74" t="s">
        <v>46</v>
      </c>
      <c r="J74">
        <v>8500000</v>
      </c>
      <c r="K74">
        <v>0</v>
      </c>
      <c r="L74" t="s">
        <v>9</v>
      </c>
      <c r="M74" t="s">
        <v>7</v>
      </c>
      <c r="N74" t="b">
        <v>0</v>
      </c>
    </row>
    <row r="75" spans="1:14" x14ac:dyDescent="0.3">
      <c r="A75" t="s">
        <v>5</v>
      </c>
      <c r="B75" t="s">
        <v>9</v>
      </c>
      <c r="C75">
        <v>3</v>
      </c>
      <c r="E75" t="s">
        <v>48</v>
      </c>
      <c r="F75">
        <v>0.33500000000000002</v>
      </c>
      <c r="G75">
        <v>2</v>
      </c>
      <c r="H75">
        <v>1.139</v>
      </c>
      <c r="I75" t="s">
        <v>46</v>
      </c>
      <c r="J75">
        <v>8500000</v>
      </c>
      <c r="K75">
        <v>9681500</v>
      </c>
      <c r="L75" t="s">
        <v>9</v>
      </c>
      <c r="M75" t="s">
        <v>7</v>
      </c>
      <c r="N75" t="b">
        <v>0</v>
      </c>
    </row>
    <row r="76" spans="1:14" x14ac:dyDescent="0.3">
      <c r="A76" t="s">
        <v>5</v>
      </c>
      <c r="B76" t="s">
        <v>9</v>
      </c>
      <c r="C76">
        <v>4</v>
      </c>
      <c r="E76" t="s">
        <v>49</v>
      </c>
      <c r="F76">
        <v>120</v>
      </c>
      <c r="G76">
        <v>4</v>
      </c>
      <c r="H76">
        <v>0.48</v>
      </c>
      <c r="I76" t="s">
        <v>46</v>
      </c>
      <c r="J76">
        <v>8500000</v>
      </c>
      <c r="K76">
        <v>4080000</v>
      </c>
      <c r="L76" t="s">
        <v>9</v>
      </c>
      <c r="M76" t="s">
        <v>7</v>
      </c>
      <c r="N76" t="b">
        <v>0</v>
      </c>
    </row>
    <row r="77" spans="1:14" x14ac:dyDescent="0.3">
      <c r="A77" t="s">
        <v>5</v>
      </c>
      <c r="B77" t="s">
        <v>9</v>
      </c>
      <c r="C77">
        <v>5</v>
      </c>
      <c r="E77" t="s">
        <v>50</v>
      </c>
      <c r="F77">
        <v>180</v>
      </c>
      <c r="G77">
        <v>4</v>
      </c>
      <c r="H77">
        <v>0.95061600000000013</v>
      </c>
      <c r="I77" t="s">
        <v>46</v>
      </c>
      <c r="J77">
        <v>8500000</v>
      </c>
      <c r="K77">
        <v>8080236.0000000019</v>
      </c>
      <c r="L77" t="s">
        <v>9</v>
      </c>
      <c r="M77" t="s">
        <v>7</v>
      </c>
      <c r="N77" t="b">
        <v>0</v>
      </c>
    </row>
    <row r="78" spans="1:14" x14ac:dyDescent="0.3">
      <c r="A78" t="s">
        <v>5</v>
      </c>
      <c r="B78" t="s">
        <v>9</v>
      </c>
      <c r="C78">
        <v>6</v>
      </c>
      <c r="E78" t="s">
        <v>51</v>
      </c>
      <c r="F78">
        <v>0.55800000000000005</v>
      </c>
      <c r="G78">
        <v>4</v>
      </c>
      <c r="H78">
        <v>3.6158399999999999</v>
      </c>
      <c r="I78" t="s">
        <v>46</v>
      </c>
      <c r="J78">
        <v>8500000</v>
      </c>
      <c r="K78">
        <v>30734640</v>
      </c>
      <c r="L78" t="s">
        <v>9</v>
      </c>
      <c r="M78" t="s">
        <v>7</v>
      </c>
      <c r="N78" t="b">
        <v>0</v>
      </c>
    </row>
    <row r="79" spans="1:14" x14ac:dyDescent="0.3">
      <c r="A79" t="s">
        <v>5</v>
      </c>
      <c r="B79" t="s">
        <v>9</v>
      </c>
      <c r="C79">
        <v>7</v>
      </c>
      <c r="D79" t="s">
        <v>52</v>
      </c>
      <c r="E79" t="s">
        <v>53</v>
      </c>
      <c r="F79">
        <v>0.13</v>
      </c>
      <c r="G79">
        <v>0.51782400000000006</v>
      </c>
      <c r="H79">
        <v>0.51782400000000006</v>
      </c>
      <c r="I79" t="s">
        <v>54</v>
      </c>
      <c r="J79">
        <v>4275000</v>
      </c>
      <c r="K79">
        <v>2213697.6</v>
      </c>
      <c r="L79" t="s">
        <v>9</v>
      </c>
      <c r="M79" t="s">
        <v>7</v>
      </c>
      <c r="N79" t="b">
        <v>0</v>
      </c>
    </row>
    <row r="80" spans="1:14" x14ac:dyDescent="0.3">
      <c r="A80" t="s">
        <v>5</v>
      </c>
      <c r="B80" t="s">
        <v>9</v>
      </c>
      <c r="C80">
        <v>8</v>
      </c>
      <c r="E80" t="s">
        <v>55</v>
      </c>
      <c r="F80">
        <v>0.35</v>
      </c>
      <c r="G80">
        <v>0</v>
      </c>
      <c r="H80">
        <v>0</v>
      </c>
      <c r="I80" t="s">
        <v>46</v>
      </c>
      <c r="J80">
        <v>35750000</v>
      </c>
      <c r="K80">
        <v>0</v>
      </c>
      <c r="L80" t="s">
        <v>9</v>
      </c>
      <c r="M80" t="s">
        <v>7</v>
      </c>
      <c r="N80" t="b">
        <v>0</v>
      </c>
    </row>
    <row r="81" spans="1:14" x14ac:dyDescent="0.3">
      <c r="A81" t="s">
        <v>5</v>
      </c>
      <c r="B81" t="s">
        <v>9</v>
      </c>
      <c r="C81">
        <v>9</v>
      </c>
      <c r="E81" t="s">
        <v>55</v>
      </c>
      <c r="F81">
        <v>0.2</v>
      </c>
      <c r="G81">
        <v>0.25891200000000003</v>
      </c>
      <c r="H81">
        <v>0.25891200000000003</v>
      </c>
      <c r="I81" t="s">
        <v>46</v>
      </c>
      <c r="J81">
        <v>45760000</v>
      </c>
      <c r="K81">
        <v>11847813.119999999</v>
      </c>
      <c r="L81" t="s">
        <v>9</v>
      </c>
      <c r="M81" t="s">
        <v>7</v>
      </c>
      <c r="N81" t="b">
        <v>0</v>
      </c>
    </row>
    <row r="82" spans="1:14" x14ac:dyDescent="0.3">
      <c r="A82" t="s">
        <v>5</v>
      </c>
      <c r="B82" t="s">
        <v>9</v>
      </c>
      <c r="C82">
        <v>10</v>
      </c>
      <c r="D82" t="s">
        <v>56</v>
      </c>
      <c r="E82" t="s">
        <v>57</v>
      </c>
      <c r="G82">
        <v>2.077</v>
      </c>
      <c r="H82">
        <v>2.077</v>
      </c>
      <c r="I82" t="s">
        <v>61</v>
      </c>
      <c r="J82">
        <v>1430000</v>
      </c>
      <c r="K82">
        <v>2970110</v>
      </c>
      <c r="L82" t="s">
        <v>9</v>
      </c>
      <c r="M82" t="s">
        <v>7</v>
      </c>
      <c r="N82" t="b">
        <v>0</v>
      </c>
    </row>
    <row r="83" spans="1:14" x14ac:dyDescent="0.3">
      <c r="A83" t="s">
        <v>5</v>
      </c>
      <c r="B83" t="s">
        <v>9</v>
      </c>
      <c r="C83">
        <v>11</v>
      </c>
      <c r="D83" t="s">
        <v>58</v>
      </c>
      <c r="E83" t="s">
        <v>59</v>
      </c>
      <c r="G83" t="s">
        <v>103</v>
      </c>
      <c r="H83" t="s">
        <v>103</v>
      </c>
      <c r="I83" t="s">
        <v>46</v>
      </c>
      <c r="J83">
        <v>1600000</v>
      </c>
      <c r="K83">
        <v>12800000</v>
      </c>
      <c r="L83" t="s">
        <v>9</v>
      </c>
      <c r="M83" t="s">
        <v>7</v>
      </c>
      <c r="N83" t="b">
        <v>0</v>
      </c>
    </row>
    <row r="84" spans="1:14" x14ac:dyDescent="0.3">
      <c r="A84" t="s">
        <v>5</v>
      </c>
      <c r="B84" t="s">
        <v>9</v>
      </c>
      <c r="C84">
        <v>12</v>
      </c>
      <c r="E84" t="s">
        <v>60</v>
      </c>
      <c r="G84">
        <v>3.6158399999999999</v>
      </c>
      <c r="H84">
        <v>3.6158399999999999</v>
      </c>
      <c r="I84" t="s">
        <v>61</v>
      </c>
      <c r="J84">
        <v>3600000</v>
      </c>
      <c r="K84">
        <v>13017024</v>
      </c>
      <c r="L84" t="s">
        <v>9</v>
      </c>
      <c r="M84" t="s">
        <v>7</v>
      </c>
      <c r="N84" t="b">
        <v>0</v>
      </c>
    </row>
    <row r="85" spans="1:14" x14ac:dyDescent="0.3">
      <c r="A85" t="s">
        <v>5</v>
      </c>
      <c r="B85" t="s">
        <v>9</v>
      </c>
      <c r="C85">
        <v>13</v>
      </c>
      <c r="D85" t="s">
        <v>62</v>
      </c>
      <c r="E85" t="s">
        <v>63</v>
      </c>
      <c r="G85">
        <v>2.2320000000000002</v>
      </c>
      <c r="H85">
        <v>2.2320000000000002</v>
      </c>
      <c r="I85" t="s">
        <v>61</v>
      </c>
      <c r="J85">
        <v>3600000</v>
      </c>
      <c r="K85">
        <v>8035200.0000000019</v>
      </c>
      <c r="L85" t="s">
        <v>9</v>
      </c>
      <c r="M85" t="s">
        <v>7</v>
      </c>
      <c r="N85" t="b">
        <v>0</v>
      </c>
    </row>
    <row r="86" spans="1:14" x14ac:dyDescent="0.3">
      <c r="A86" t="s">
        <v>5</v>
      </c>
      <c r="B86" t="s">
        <v>9</v>
      </c>
      <c r="C86">
        <v>14</v>
      </c>
      <c r="E86" t="s">
        <v>64</v>
      </c>
      <c r="G86">
        <v>0.1</v>
      </c>
      <c r="H86">
        <v>0.1</v>
      </c>
      <c r="I86" t="s">
        <v>61</v>
      </c>
      <c r="J86">
        <v>5500000</v>
      </c>
      <c r="K86">
        <v>550000</v>
      </c>
      <c r="L86" t="s">
        <v>9</v>
      </c>
      <c r="M86" t="s">
        <v>7</v>
      </c>
      <c r="N86" t="b">
        <v>0</v>
      </c>
    </row>
    <row r="87" spans="1:14" x14ac:dyDescent="0.3">
      <c r="A87" t="s">
        <v>5</v>
      </c>
      <c r="B87" t="s">
        <v>9</v>
      </c>
      <c r="C87">
        <v>15</v>
      </c>
      <c r="D87" t="s">
        <v>65</v>
      </c>
      <c r="E87" t="s">
        <v>66</v>
      </c>
      <c r="G87">
        <v>20</v>
      </c>
      <c r="H87">
        <v>20</v>
      </c>
      <c r="I87" t="s">
        <v>61</v>
      </c>
      <c r="J87">
        <v>200000</v>
      </c>
      <c r="K87">
        <v>4000000</v>
      </c>
      <c r="L87" t="s">
        <v>9</v>
      </c>
      <c r="M87" t="s">
        <v>7</v>
      </c>
      <c r="N87" t="b">
        <v>0</v>
      </c>
    </row>
    <row r="88" spans="1:14" x14ac:dyDescent="0.3">
      <c r="A88" t="s">
        <v>5</v>
      </c>
      <c r="B88" t="s">
        <v>9</v>
      </c>
      <c r="C88">
        <v>16</v>
      </c>
      <c r="E88" t="s">
        <v>68</v>
      </c>
      <c r="G88">
        <v>8</v>
      </c>
      <c r="H88">
        <v>8</v>
      </c>
      <c r="I88" t="s">
        <v>61</v>
      </c>
      <c r="J88">
        <v>200000</v>
      </c>
      <c r="K88">
        <v>1600000</v>
      </c>
      <c r="L88" t="s">
        <v>9</v>
      </c>
      <c r="M88" t="s">
        <v>7</v>
      </c>
      <c r="N88" t="b">
        <v>0</v>
      </c>
    </row>
    <row r="89" spans="1:14" x14ac:dyDescent="0.3">
      <c r="A89" t="s">
        <v>5</v>
      </c>
      <c r="B89" t="s">
        <v>9</v>
      </c>
      <c r="C89">
        <v>17</v>
      </c>
      <c r="E89" t="s">
        <v>69</v>
      </c>
      <c r="G89">
        <v>16</v>
      </c>
      <c r="H89">
        <v>16</v>
      </c>
      <c r="I89" t="s">
        <v>61</v>
      </c>
      <c r="J89">
        <v>200000</v>
      </c>
      <c r="K89">
        <v>3200000</v>
      </c>
      <c r="L89" t="s">
        <v>9</v>
      </c>
      <c r="M89" t="s">
        <v>7</v>
      </c>
      <c r="N89" t="b">
        <v>0</v>
      </c>
    </row>
    <row r="90" spans="1:14" x14ac:dyDescent="0.3">
      <c r="A90" t="s">
        <v>5</v>
      </c>
      <c r="B90" t="s">
        <v>9</v>
      </c>
      <c r="C90">
        <v>18</v>
      </c>
      <c r="E90" t="s">
        <v>70</v>
      </c>
      <c r="G90">
        <v>16</v>
      </c>
      <c r="H90">
        <v>16</v>
      </c>
      <c r="I90" t="s">
        <v>61</v>
      </c>
      <c r="J90">
        <v>400000</v>
      </c>
      <c r="K90">
        <v>6400000</v>
      </c>
      <c r="L90" t="s">
        <v>9</v>
      </c>
      <c r="M90" t="s">
        <v>7</v>
      </c>
      <c r="N90" t="b">
        <v>0</v>
      </c>
    </row>
    <row r="91" spans="1:14" x14ac:dyDescent="0.3">
      <c r="A91" t="s">
        <v>5</v>
      </c>
      <c r="B91" t="s">
        <v>9</v>
      </c>
      <c r="C91">
        <v>19</v>
      </c>
      <c r="E91" t="s">
        <v>71</v>
      </c>
      <c r="G91">
        <v>16</v>
      </c>
      <c r="H91">
        <v>16</v>
      </c>
      <c r="I91" t="s">
        <v>61</v>
      </c>
      <c r="J91">
        <v>120000</v>
      </c>
      <c r="K91">
        <v>1920000</v>
      </c>
      <c r="L91" t="s">
        <v>9</v>
      </c>
      <c r="M91" t="s">
        <v>7</v>
      </c>
      <c r="N91" t="b">
        <v>0</v>
      </c>
    </row>
    <row r="92" spans="1:14" x14ac:dyDescent="0.3">
      <c r="A92" t="s">
        <v>5</v>
      </c>
      <c r="B92" t="s">
        <v>9</v>
      </c>
      <c r="C92">
        <v>20</v>
      </c>
      <c r="E92" t="s">
        <v>72</v>
      </c>
      <c r="G92">
        <v>24</v>
      </c>
      <c r="H92">
        <v>24</v>
      </c>
      <c r="I92" t="s">
        <v>61</v>
      </c>
      <c r="J92">
        <v>400000</v>
      </c>
      <c r="K92">
        <v>9600000</v>
      </c>
      <c r="L92" t="s">
        <v>9</v>
      </c>
      <c r="M92" t="s">
        <v>7</v>
      </c>
      <c r="N92" t="b">
        <v>0</v>
      </c>
    </row>
    <row r="93" spans="1:14" x14ac:dyDescent="0.3">
      <c r="A93" t="s">
        <v>5</v>
      </c>
      <c r="B93" t="s">
        <v>9</v>
      </c>
      <c r="C93">
        <v>21</v>
      </c>
      <c r="D93" t="s">
        <v>73</v>
      </c>
      <c r="E93" t="s">
        <v>74</v>
      </c>
      <c r="F93">
        <v>132</v>
      </c>
      <c r="G93" t="s">
        <v>103</v>
      </c>
      <c r="H93">
        <v>2.8385280000000006</v>
      </c>
      <c r="I93" t="s">
        <v>46</v>
      </c>
      <c r="J93">
        <v>35000000</v>
      </c>
      <c r="K93">
        <v>99348480.000000015</v>
      </c>
      <c r="L93" t="s">
        <v>9</v>
      </c>
      <c r="M93" t="s">
        <v>7</v>
      </c>
      <c r="N93" t="b">
        <v>0</v>
      </c>
    </row>
    <row r="94" spans="1:14" x14ac:dyDescent="0.3">
      <c r="A94" t="s">
        <v>5</v>
      </c>
      <c r="B94" t="s">
        <v>9</v>
      </c>
      <c r="C94">
        <v>22</v>
      </c>
      <c r="D94" t="s">
        <v>75</v>
      </c>
      <c r="E94" t="s">
        <v>76</v>
      </c>
      <c r="F94" t="s">
        <v>77</v>
      </c>
      <c r="G94">
        <v>2</v>
      </c>
      <c r="H94">
        <v>1</v>
      </c>
      <c r="I94" t="s">
        <v>46</v>
      </c>
      <c r="J94">
        <v>5200000</v>
      </c>
      <c r="K94">
        <v>5200000</v>
      </c>
      <c r="L94" t="s">
        <v>9</v>
      </c>
      <c r="M94" t="s">
        <v>7</v>
      </c>
      <c r="N94" t="b">
        <v>0</v>
      </c>
    </row>
    <row r="95" spans="1:14" x14ac:dyDescent="0.3">
      <c r="A95" t="s">
        <v>5</v>
      </c>
      <c r="B95" t="s">
        <v>9</v>
      </c>
      <c r="C95">
        <v>23</v>
      </c>
      <c r="E95" t="s">
        <v>78</v>
      </c>
      <c r="F95" t="s">
        <v>79</v>
      </c>
      <c r="G95">
        <v>2</v>
      </c>
      <c r="H95">
        <v>1.2</v>
      </c>
      <c r="I95" t="s">
        <v>46</v>
      </c>
      <c r="J95">
        <v>5200000</v>
      </c>
      <c r="K95">
        <v>6240000</v>
      </c>
      <c r="L95" t="s">
        <v>9</v>
      </c>
      <c r="M95" t="s">
        <v>7</v>
      </c>
      <c r="N95" t="b">
        <v>0</v>
      </c>
    </row>
    <row r="96" spans="1:14" x14ac:dyDescent="0.3">
      <c r="A96" t="s">
        <v>5</v>
      </c>
      <c r="B96" t="s">
        <v>9</v>
      </c>
      <c r="C96">
        <v>24</v>
      </c>
      <c r="D96" t="s">
        <v>80</v>
      </c>
      <c r="E96" t="s">
        <v>81</v>
      </c>
      <c r="F96" t="s">
        <v>82</v>
      </c>
      <c r="G96">
        <v>2</v>
      </c>
      <c r="H96">
        <v>0.57587900000000003</v>
      </c>
      <c r="I96" t="s">
        <v>46</v>
      </c>
      <c r="J96">
        <v>8500000</v>
      </c>
      <c r="K96">
        <v>4894971.5</v>
      </c>
      <c r="L96" t="s">
        <v>9</v>
      </c>
      <c r="M96" t="s">
        <v>7</v>
      </c>
      <c r="N96" t="b">
        <v>0</v>
      </c>
    </row>
    <row r="97" spans="1:14" x14ac:dyDescent="0.3">
      <c r="A97" t="s">
        <v>5</v>
      </c>
      <c r="B97" t="s">
        <v>9</v>
      </c>
      <c r="C97">
        <v>25</v>
      </c>
      <c r="D97" t="s">
        <v>83</v>
      </c>
      <c r="E97" t="s">
        <v>84</v>
      </c>
      <c r="F97">
        <v>0.18</v>
      </c>
      <c r="G97">
        <v>2</v>
      </c>
      <c r="H97">
        <v>2</v>
      </c>
      <c r="I97" t="s">
        <v>61</v>
      </c>
      <c r="J97">
        <v>715000</v>
      </c>
      <c r="K97">
        <v>1430000</v>
      </c>
      <c r="L97" t="s">
        <v>9</v>
      </c>
      <c r="M97" t="s">
        <v>7</v>
      </c>
      <c r="N97" t="b">
        <v>0</v>
      </c>
    </row>
    <row r="98" spans="1:14" x14ac:dyDescent="0.3">
      <c r="A98" t="s">
        <v>5</v>
      </c>
      <c r="B98" t="s">
        <v>9</v>
      </c>
      <c r="C98">
        <v>26</v>
      </c>
      <c r="E98" t="s">
        <v>86</v>
      </c>
      <c r="F98">
        <v>0.2</v>
      </c>
      <c r="G98">
        <v>3</v>
      </c>
      <c r="H98">
        <v>3</v>
      </c>
      <c r="I98" t="s">
        <v>61</v>
      </c>
      <c r="J98">
        <v>715000</v>
      </c>
      <c r="K98">
        <v>2145000</v>
      </c>
      <c r="L98" t="s">
        <v>9</v>
      </c>
      <c r="M98" t="s">
        <v>7</v>
      </c>
      <c r="N98" t="b">
        <v>0</v>
      </c>
    </row>
    <row r="99" spans="1:14" x14ac:dyDescent="0.3">
      <c r="A99" t="s">
        <v>5</v>
      </c>
      <c r="B99" t="s">
        <v>9</v>
      </c>
      <c r="C99">
        <v>27</v>
      </c>
      <c r="D99" t="s">
        <v>88</v>
      </c>
      <c r="E99" t="s">
        <v>89</v>
      </c>
      <c r="F99" t="s">
        <v>90</v>
      </c>
      <c r="G99">
        <v>1</v>
      </c>
      <c r="H99">
        <v>1</v>
      </c>
      <c r="I99" t="s">
        <v>61</v>
      </c>
      <c r="J99">
        <v>100000</v>
      </c>
      <c r="K99">
        <v>100000</v>
      </c>
      <c r="L99" t="s">
        <v>9</v>
      </c>
      <c r="M99" t="s">
        <v>7</v>
      </c>
      <c r="N99" t="b">
        <v>0</v>
      </c>
    </row>
    <row r="100" spans="1:14" x14ac:dyDescent="0.3">
      <c r="A100" t="s">
        <v>5</v>
      </c>
      <c r="B100" t="s">
        <v>9</v>
      </c>
      <c r="C100">
        <v>28</v>
      </c>
      <c r="D100" t="s">
        <v>65</v>
      </c>
      <c r="E100" t="s">
        <v>91</v>
      </c>
      <c r="G100">
        <v>2</v>
      </c>
      <c r="H100">
        <v>2</v>
      </c>
      <c r="I100" t="s">
        <v>61</v>
      </c>
      <c r="J100">
        <v>2400000</v>
      </c>
      <c r="K100">
        <v>4800000</v>
      </c>
      <c r="L100" t="s">
        <v>9</v>
      </c>
      <c r="M100" t="s">
        <v>7</v>
      </c>
      <c r="N100" t="b">
        <v>0</v>
      </c>
    </row>
    <row r="101" spans="1:14" x14ac:dyDescent="0.3">
      <c r="A101" t="s">
        <v>5</v>
      </c>
      <c r="B101" t="s">
        <v>9</v>
      </c>
      <c r="C101">
        <v>29</v>
      </c>
      <c r="E101" t="s">
        <v>92</v>
      </c>
      <c r="G101">
        <v>2</v>
      </c>
      <c r="H101">
        <v>2</v>
      </c>
      <c r="I101" t="s">
        <v>61</v>
      </c>
      <c r="J101">
        <v>2400000</v>
      </c>
      <c r="K101">
        <v>4800000</v>
      </c>
      <c r="L101" t="s">
        <v>9</v>
      </c>
      <c r="M101" t="s">
        <v>7</v>
      </c>
      <c r="N101" t="b">
        <v>0</v>
      </c>
    </row>
    <row r="102" spans="1:14" x14ac:dyDescent="0.3">
      <c r="A102" t="s">
        <v>5</v>
      </c>
      <c r="B102" t="s">
        <v>9</v>
      </c>
      <c r="C102">
        <v>30</v>
      </c>
      <c r="E102" t="s">
        <v>93</v>
      </c>
      <c r="G102">
        <v>2</v>
      </c>
      <c r="H102">
        <v>2</v>
      </c>
      <c r="I102" t="s">
        <v>61</v>
      </c>
      <c r="J102">
        <v>3000000</v>
      </c>
      <c r="K102">
        <v>6000000</v>
      </c>
      <c r="L102" t="s">
        <v>9</v>
      </c>
      <c r="M102" t="s">
        <v>7</v>
      </c>
      <c r="N102" t="b">
        <v>0</v>
      </c>
    </row>
    <row r="103" spans="1:14" x14ac:dyDescent="0.3">
      <c r="A103" t="s">
        <v>5</v>
      </c>
      <c r="B103" t="s">
        <v>9</v>
      </c>
      <c r="C103">
        <v>31</v>
      </c>
      <c r="D103" t="s">
        <v>104</v>
      </c>
      <c r="E103" t="s">
        <v>105</v>
      </c>
      <c r="G103">
        <v>1</v>
      </c>
      <c r="H103">
        <v>2</v>
      </c>
      <c r="I103" t="s">
        <v>61</v>
      </c>
      <c r="J103">
        <v>30000000</v>
      </c>
      <c r="K103">
        <v>60000000</v>
      </c>
      <c r="L103" t="s">
        <v>9</v>
      </c>
      <c r="M103" t="s">
        <v>7</v>
      </c>
      <c r="N103" t="b">
        <v>0</v>
      </c>
    </row>
    <row r="104" spans="1:14" x14ac:dyDescent="0.3">
      <c r="A104" t="s">
        <v>5</v>
      </c>
      <c r="B104" t="s">
        <v>9</v>
      </c>
      <c r="C104">
        <v>32</v>
      </c>
      <c r="E104" t="s">
        <v>106</v>
      </c>
      <c r="G104">
        <v>1</v>
      </c>
      <c r="H104">
        <v>0</v>
      </c>
      <c r="I104" t="s">
        <v>61</v>
      </c>
      <c r="J104">
        <v>14000000</v>
      </c>
      <c r="K104">
        <v>0</v>
      </c>
      <c r="L104" t="s">
        <v>9</v>
      </c>
      <c r="M104" t="s">
        <v>7</v>
      </c>
      <c r="N104" t="b">
        <v>0</v>
      </c>
    </row>
    <row r="105" spans="1:14" x14ac:dyDescent="0.3">
      <c r="A105" t="s">
        <v>5</v>
      </c>
      <c r="B105" t="s">
        <v>9</v>
      </c>
      <c r="C105">
        <v>33</v>
      </c>
      <c r="D105" t="s">
        <v>94</v>
      </c>
      <c r="E105" t="s">
        <v>95</v>
      </c>
      <c r="G105">
        <v>2</v>
      </c>
      <c r="H105">
        <v>2</v>
      </c>
      <c r="I105" t="s">
        <v>61</v>
      </c>
      <c r="J105">
        <v>1300000</v>
      </c>
      <c r="K105">
        <v>2600000</v>
      </c>
      <c r="L105" t="s">
        <v>9</v>
      </c>
      <c r="M105" t="s">
        <v>7</v>
      </c>
      <c r="N105" t="b">
        <v>0</v>
      </c>
    </row>
    <row r="106" spans="1:14" x14ac:dyDescent="0.3">
      <c r="A106" t="s">
        <v>5</v>
      </c>
      <c r="B106" t="s">
        <v>9</v>
      </c>
      <c r="C106">
        <v>34</v>
      </c>
      <c r="D106" t="s">
        <v>94</v>
      </c>
      <c r="E106" t="s">
        <v>96</v>
      </c>
      <c r="G106">
        <v>4</v>
      </c>
      <c r="H106">
        <v>1.34</v>
      </c>
      <c r="I106" t="s">
        <v>97</v>
      </c>
      <c r="J106">
        <v>460000</v>
      </c>
      <c r="K106">
        <v>616400</v>
      </c>
      <c r="L106" t="s">
        <v>9</v>
      </c>
      <c r="M106" t="s">
        <v>7</v>
      </c>
      <c r="N106" t="b">
        <v>0</v>
      </c>
    </row>
    <row r="107" spans="1:14" x14ac:dyDescent="0.3">
      <c r="A107" t="s">
        <v>5</v>
      </c>
      <c r="B107" t="s">
        <v>9</v>
      </c>
      <c r="C107">
        <v>35</v>
      </c>
      <c r="D107" t="s">
        <v>98</v>
      </c>
      <c r="E107" t="s">
        <v>99</v>
      </c>
      <c r="F107">
        <v>50</v>
      </c>
      <c r="G107">
        <v>8</v>
      </c>
      <c r="H107">
        <v>0.8</v>
      </c>
      <c r="I107" t="s">
        <v>100</v>
      </c>
      <c r="J107">
        <v>6823080.0000000009</v>
      </c>
      <c r="K107">
        <v>5458464.0000000009</v>
      </c>
      <c r="L107" t="s">
        <v>9</v>
      </c>
      <c r="M107" t="s">
        <v>7</v>
      </c>
      <c r="N107" t="b">
        <v>0</v>
      </c>
    </row>
    <row r="108" spans="1:14" x14ac:dyDescent="0.3">
      <c r="A108" t="s">
        <v>5</v>
      </c>
      <c r="B108" t="s">
        <v>9</v>
      </c>
      <c r="C108">
        <v>28</v>
      </c>
      <c r="E108" t="s">
        <v>101</v>
      </c>
      <c r="H108">
        <v>8</v>
      </c>
      <c r="I108" t="s">
        <v>102</v>
      </c>
      <c r="J108">
        <v>13000000</v>
      </c>
      <c r="K108">
        <v>104000000</v>
      </c>
      <c r="L108" t="s">
        <v>9</v>
      </c>
      <c r="M108" t="s">
        <v>7</v>
      </c>
      <c r="N108" t="b">
        <v>0</v>
      </c>
    </row>
    <row r="109" spans="1:14" x14ac:dyDescent="0.3">
      <c r="A109" t="s">
        <v>5</v>
      </c>
      <c r="B109" t="s">
        <v>9</v>
      </c>
      <c r="C109">
        <v>29</v>
      </c>
      <c r="E109" t="s">
        <v>107</v>
      </c>
      <c r="H109">
        <v>0</v>
      </c>
      <c r="I109" t="s">
        <v>108</v>
      </c>
      <c r="K109">
        <v>0</v>
      </c>
      <c r="L109" t="s">
        <v>9</v>
      </c>
      <c r="M109" t="s">
        <v>7</v>
      </c>
      <c r="N109" t="b">
        <v>0</v>
      </c>
    </row>
    <row r="110" spans="1:14" x14ac:dyDescent="0.3">
      <c r="A110" t="s">
        <v>5</v>
      </c>
      <c r="B110" t="s">
        <v>10</v>
      </c>
      <c r="C110">
        <v>1</v>
      </c>
      <c r="D110" t="s">
        <v>44</v>
      </c>
      <c r="E110" t="s">
        <v>45</v>
      </c>
      <c r="F110">
        <v>168</v>
      </c>
      <c r="G110">
        <v>2</v>
      </c>
      <c r="H110">
        <v>0.47039999999999998</v>
      </c>
      <c r="I110" t="s">
        <v>46</v>
      </c>
      <c r="J110">
        <v>8500000</v>
      </c>
      <c r="K110">
        <v>3998400</v>
      </c>
      <c r="L110" t="s">
        <v>10</v>
      </c>
      <c r="M110" t="s">
        <v>7</v>
      </c>
      <c r="N110" t="b">
        <v>0</v>
      </c>
    </row>
    <row r="111" spans="1:14" x14ac:dyDescent="0.3">
      <c r="A111" t="s">
        <v>5</v>
      </c>
      <c r="B111" t="s">
        <v>10</v>
      </c>
      <c r="C111">
        <v>2</v>
      </c>
      <c r="E111" t="s">
        <v>47</v>
      </c>
      <c r="F111">
        <v>0</v>
      </c>
      <c r="G111">
        <v>0</v>
      </c>
      <c r="H111">
        <v>0</v>
      </c>
      <c r="I111" t="s">
        <v>46</v>
      </c>
      <c r="J111">
        <v>8500000</v>
      </c>
      <c r="K111">
        <v>0</v>
      </c>
      <c r="L111" t="s">
        <v>10</v>
      </c>
      <c r="M111" t="s">
        <v>7</v>
      </c>
      <c r="N111" t="b">
        <v>0</v>
      </c>
    </row>
    <row r="112" spans="1:14" x14ac:dyDescent="0.3">
      <c r="A112" t="s">
        <v>5</v>
      </c>
      <c r="B112" t="s">
        <v>10</v>
      </c>
      <c r="C112">
        <v>3</v>
      </c>
      <c r="E112" t="s">
        <v>48</v>
      </c>
      <c r="F112">
        <v>168</v>
      </c>
      <c r="G112">
        <v>2</v>
      </c>
      <c r="H112">
        <v>0.57119999999999993</v>
      </c>
      <c r="I112" t="s">
        <v>46</v>
      </c>
      <c r="J112">
        <v>8500000</v>
      </c>
      <c r="K112">
        <v>4855199.9999999991</v>
      </c>
      <c r="L112" t="s">
        <v>10</v>
      </c>
      <c r="M112" t="s">
        <v>7</v>
      </c>
      <c r="N112" t="b">
        <v>0</v>
      </c>
    </row>
    <row r="113" spans="1:14" x14ac:dyDescent="0.3">
      <c r="A113" t="s">
        <v>5</v>
      </c>
      <c r="B113" t="s">
        <v>10</v>
      </c>
      <c r="C113">
        <v>4</v>
      </c>
      <c r="E113" t="s">
        <v>49</v>
      </c>
      <c r="F113">
        <v>120</v>
      </c>
      <c r="G113">
        <v>4</v>
      </c>
      <c r="H113">
        <v>0.48</v>
      </c>
      <c r="I113" t="s">
        <v>46</v>
      </c>
      <c r="J113">
        <v>8500000</v>
      </c>
      <c r="K113">
        <v>4080000</v>
      </c>
      <c r="L113" t="s">
        <v>10</v>
      </c>
      <c r="M113" t="s">
        <v>7</v>
      </c>
      <c r="N113" t="b">
        <v>0</v>
      </c>
    </row>
    <row r="114" spans="1:14" x14ac:dyDescent="0.3">
      <c r="A114" t="s">
        <v>5</v>
      </c>
      <c r="B114" t="s">
        <v>10</v>
      </c>
      <c r="C114">
        <v>5</v>
      </c>
      <c r="E114" t="s">
        <v>50</v>
      </c>
      <c r="F114">
        <v>180</v>
      </c>
      <c r="G114">
        <v>2</v>
      </c>
      <c r="H114">
        <v>0.47530800000000006</v>
      </c>
      <c r="I114" t="s">
        <v>46</v>
      </c>
      <c r="J114">
        <v>8500000</v>
      </c>
      <c r="K114">
        <v>4040118.0000000009</v>
      </c>
      <c r="L114" t="s">
        <v>10</v>
      </c>
      <c r="M114" t="s">
        <v>7</v>
      </c>
      <c r="N114" t="b">
        <v>0</v>
      </c>
    </row>
    <row r="115" spans="1:14" x14ac:dyDescent="0.3">
      <c r="A115" t="s">
        <v>5</v>
      </c>
      <c r="B115" t="s">
        <v>10</v>
      </c>
      <c r="C115">
        <v>6</v>
      </c>
      <c r="E115" t="s">
        <v>51</v>
      </c>
      <c r="F115">
        <v>0.58799999999999997</v>
      </c>
      <c r="G115">
        <v>4</v>
      </c>
      <c r="H115">
        <v>3.8102399999999998</v>
      </c>
      <c r="I115" t="s">
        <v>46</v>
      </c>
      <c r="J115">
        <v>8500000</v>
      </c>
      <c r="K115">
        <v>32387040.000000004</v>
      </c>
      <c r="L115" t="s">
        <v>10</v>
      </c>
      <c r="M115" t="s">
        <v>7</v>
      </c>
      <c r="N115" t="b">
        <v>0</v>
      </c>
    </row>
    <row r="116" spans="1:14" x14ac:dyDescent="0.3">
      <c r="A116" t="s">
        <v>5</v>
      </c>
      <c r="B116" t="s">
        <v>10</v>
      </c>
      <c r="C116">
        <v>7</v>
      </c>
      <c r="D116" t="s">
        <v>52</v>
      </c>
      <c r="E116" t="s">
        <v>53</v>
      </c>
      <c r="F116">
        <v>0.13</v>
      </c>
      <c r="G116">
        <v>0.54566400000000004</v>
      </c>
      <c r="H116">
        <v>0.54566400000000004</v>
      </c>
      <c r="I116" t="s">
        <v>54</v>
      </c>
      <c r="J116">
        <v>4275000</v>
      </c>
      <c r="K116">
        <v>2332713.6</v>
      </c>
      <c r="L116" t="s">
        <v>10</v>
      </c>
      <c r="M116" t="s">
        <v>7</v>
      </c>
      <c r="N116" t="b">
        <v>0</v>
      </c>
    </row>
    <row r="117" spans="1:14" x14ac:dyDescent="0.3">
      <c r="A117" t="s">
        <v>5</v>
      </c>
      <c r="B117" t="s">
        <v>10</v>
      </c>
      <c r="C117">
        <v>8</v>
      </c>
      <c r="E117" t="s">
        <v>55</v>
      </c>
      <c r="F117">
        <v>0.35</v>
      </c>
      <c r="G117">
        <v>0</v>
      </c>
      <c r="H117">
        <v>0</v>
      </c>
      <c r="I117" t="s">
        <v>46</v>
      </c>
      <c r="J117">
        <v>35750000</v>
      </c>
      <c r="K117">
        <v>0</v>
      </c>
      <c r="L117" t="s">
        <v>10</v>
      </c>
      <c r="M117" t="s">
        <v>7</v>
      </c>
      <c r="N117" t="b">
        <v>0</v>
      </c>
    </row>
    <row r="118" spans="1:14" x14ac:dyDescent="0.3">
      <c r="A118" t="s">
        <v>5</v>
      </c>
      <c r="B118" t="s">
        <v>10</v>
      </c>
      <c r="C118">
        <v>9</v>
      </c>
      <c r="E118" t="s">
        <v>55</v>
      </c>
      <c r="F118">
        <v>0.2</v>
      </c>
      <c r="G118">
        <v>0.27283200000000002</v>
      </c>
      <c r="H118">
        <v>0.27283200000000002</v>
      </c>
      <c r="I118" t="s">
        <v>46</v>
      </c>
      <c r="J118">
        <v>45760000</v>
      </c>
      <c r="K118">
        <v>12484792.32</v>
      </c>
      <c r="L118" t="s">
        <v>10</v>
      </c>
      <c r="M118" t="s">
        <v>7</v>
      </c>
      <c r="N118" t="b">
        <v>0</v>
      </c>
    </row>
    <row r="119" spans="1:14" x14ac:dyDescent="0.3">
      <c r="A119" t="s">
        <v>5</v>
      </c>
      <c r="B119" t="s">
        <v>10</v>
      </c>
      <c r="C119">
        <v>10</v>
      </c>
      <c r="D119" t="s">
        <v>56</v>
      </c>
      <c r="E119" t="s">
        <v>57</v>
      </c>
      <c r="G119">
        <v>1.0416000000000001</v>
      </c>
      <c r="H119">
        <v>1.0416000000000001</v>
      </c>
      <c r="I119" t="s">
        <v>46</v>
      </c>
      <c r="J119">
        <v>1430000</v>
      </c>
      <c r="K119">
        <v>1489487.9999999998</v>
      </c>
      <c r="L119" t="s">
        <v>10</v>
      </c>
      <c r="M119" t="s">
        <v>7</v>
      </c>
      <c r="N119" t="b">
        <v>0</v>
      </c>
    </row>
    <row r="120" spans="1:14" x14ac:dyDescent="0.3">
      <c r="A120" t="s">
        <v>5</v>
      </c>
      <c r="B120" t="s">
        <v>10</v>
      </c>
      <c r="C120">
        <v>11</v>
      </c>
      <c r="D120" t="s">
        <v>58</v>
      </c>
      <c r="E120" t="s">
        <v>59</v>
      </c>
      <c r="G120">
        <v>8</v>
      </c>
      <c r="H120">
        <v>8</v>
      </c>
      <c r="I120" t="s">
        <v>46</v>
      </c>
      <c r="J120">
        <v>1600000</v>
      </c>
      <c r="K120">
        <v>12800000</v>
      </c>
      <c r="L120" t="s">
        <v>10</v>
      </c>
      <c r="M120" t="s">
        <v>7</v>
      </c>
      <c r="N120" t="b">
        <v>0</v>
      </c>
    </row>
    <row r="121" spans="1:14" x14ac:dyDescent="0.3">
      <c r="A121" t="s">
        <v>5</v>
      </c>
      <c r="B121" t="s">
        <v>10</v>
      </c>
      <c r="C121">
        <v>12</v>
      </c>
      <c r="E121" t="s">
        <v>60</v>
      </c>
      <c r="G121">
        <v>3.8102399999999998</v>
      </c>
      <c r="H121">
        <v>3.8102399999999998</v>
      </c>
      <c r="I121" t="s">
        <v>61</v>
      </c>
      <c r="J121">
        <v>3600000</v>
      </c>
      <c r="K121">
        <v>13716864.000000002</v>
      </c>
      <c r="L121" t="s">
        <v>10</v>
      </c>
      <c r="M121" t="s">
        <v>7</v>
      </c>
      <c r="N121" t="b">
        <v>0</v>
      </c>
    </row>
    <row r="122" spans="1:14" x14ac:dyDescent="0.3">
      <c r="A122" t="s">
        <v>5</v>
      </c>
      <c r="B122" t="s">
        <v>10</v>
      </c>
      <c r="C122">
        <v>13</v>
      </c>
      <c r="D122" t="s">
        <v>62</v>
      </c>
      <c r="E122" t="s">
        <v>63</v>
      </c>
      <c r="G122">
        <v>2.3519999999999999</v>
      </c>
      <c r="H122">
        <v>2.3519999999999999</v>
      </c>
      <c r="I122" t="s">
        <v>61</v>
      </c>
      <c r="J122">
        <v>3600000</v>
      </c>
      <c r="K122">
        <v>8467200</v>
      </c>
      <c r="L122" t="s">
        <v>10</v>
      </c>
      <c r="M122" t="s">
        <v>7</v>
      </c>
      <c r="N122" t="b">
        <v>0</v>
      </c>
    </row>
    <row r="123" spans="1:14" x14ac:dyDescent="0.3">
      <c r="A123" t="s">
        <v>5</v>
      </c>
      <c r="B123" t="s">
        <v>10</v>
      </c>
      <c r="C123">
        <v>14</v>
      </c>
      <c r="E123" t="s">
        <v>64</v>
      </c>
      <c r="G123">
        <v>0.1</v>
      </c>
      <c r="H123">
        <v>0.1</v>
      </c>
      <c r="I123" t="s">
        <v>61</v>
      </c>
      <c r="J123">
        <v>5500000</v>
      </c>
      <c r="K123">
        <v>550000</v>
      </c>
      <c r="L123" t="s">
        <v>10</v>
      </c>
      <c r="M123" t="s">
        <v>7</v>
      </c>
      <c r="N123" t="b">
        <v>0</v>
      </c>
    </row>
    <row r="124" spans="1:14" x14ac:dyDescent="0.3">
      <c r="A124" t="s">
        <v>5</v>
      </c>
      <c r="B124" t="s">
        <v>10</v>
      </c>
      <c r="C124">
        <v>15</v>
      </c>
      <c r="D124" t="s">
        <v>65</v>
      </c>
      <c r="E124" t="s">
        <v>66</v>
      </c>
      <c r="G124" t="s">
        <v>67</v>
      </c>
      <c r="H124">
        <v>8</v>
      </c>
      <c r="I124" t="s">
        <v>61</v>
      </c>
      <c r="J124">
        <v>200000</v>
      </c>
      <c r="K124">
        <v>1600000</v>
      </c>
      <c r="L124" t="s">
        <v>10</v>
      </c>
      <c r="M124" t="s">
        <v>7</v>
      </c>
      <c r="N124" t="b">
        <v>0</v>
      </c>
    </row>
    <row r="125" spans="1:14" x14ac:dyDescent="0.3">
      <c r="A125" t="s">
        <v>5</v>
      </c>
      <c r="B125" t="s">
        <v>10</v>
      </c>
      <c r="C125">
        <v>16</v>
      </c>
      <c r="E125" t="s">
        <v>68</v>
      </c>
      <c r="G125">
        <v>8</v>
      </c>
      <c r="H125">
        <v>8</v>
      </c>
      <c r="I125" t="s">
        <v>61</v>
      </c>
      <c r="J125">
        <v>200000</v>
      </c>
      <c r="K125">
        <v>1600000</v>
      </c>
      <c r="L125" t="s">
        <v>10</v>
      </c>
      <c r="M125" t="s">
        <v>7</v>
      </c>
      <c r="N125" t="b">
        <v>0</v>
      </c>
    </row>
    <row r="126" spans="1:14" x14ac:dyDescent="0.3">
      <c r="A126" t="s">
        <v>5</v>
      </c>
      <c r="B126" t="s">
        <v>10</v>
      </c>
      <c r="C126">
        <v>17</v>
      </c>
      <c r="E126" t="s">
        <v>69</v>
      </c>
      <c r="G126">
        <v>88</v>
      </c>
      <c r="H126">
        <v>16</v>
      </c>
      <c r="I126" t="s">
        <v>61</v>
      </c>
      <c r="J126">
        <v>200000</v>
      </c>
      <c r="K126">
        <v>3200000</v>
      </c>
      <c r="L126" t="s">
        <v>10</v>
      </c>
      <c r="M126" t="s">
        <v>7</v>
      </c>
      <c r="N126" t="b">
        <v>0</v>
      </c>
    </row>
    <row r="127" spans="1:14" x14ac:dyDescent="0.3">
      <c r="A127" t="s">
        <v>5</v>
      </c>
      <c r="B127" t="s">
        <v>10</v>
      </c>
      <c r="C127">
        <v>18</v>
      </c>
      <c r="E127" t="s">
        <v>70</v>
      </c>
      <c r="G127">
        <v>16</v>
      </c>
      <c r="H127">
        <v>16</v>
      </c>
      <c r="I127" t="s">
        <v>61</v>
      </c>
      <c r="J127">
        <v>400000</v>
      </c>
      <c r="K127">
        <v>6400000</v>
      </c>
      <c r="L127" t="s">
        <v>10</v>
      </c>
      <c r="M127" t="s">
        <v>7</v>
      </c>
      <c r="N127" t="b">
        <v>0</v>
      </c>
    </row>
    <row r="128" spans="1:14" x14ac:dyDescent="0.3">
      <c r="A128" t="s">
        <v>5</v>
      </c>
      <c r="B128" t="s">
        <v>10</v>
      </c>
      <c r="C128">
        <v>19</v>
      </c>
      <c r="E128" t="s">
        <v>71</v>
      </c>
      <c r="G128">
        <v>16</v>
      </c>
      <c r="H128">
        <v>16</v>
      </c>
      <c r="I128" t="s">
        <v>61</v>
      </c>
      <c r="J128">
        <v>120000</v>
      </c>
      <c r="K128">
        <v>1920000</v>
      </c>
      <c r="L128" t="s">
        <v>10</v>
      </c>
      <c r="M128" t="s">
        <v>7</v>
      </c>
      <c r="N128" t="b">
        <v>0</v>
      </c>
    </row>
    <row r="129" spans="1:14" x14ac:dyDescent="0.3">
      <c r="A129" t="s">
        <v>5</v>
      </c>
      <c r="B129" t="s">
        <v>10</v>
      </c>
      <c r="C129">
        <v>20</v>
      </c>
      <c r="E129" t="s">
        <v>72</v>
      </c>
      <c r="G129">
        <v>24</v>
      </c>
      <c r="H129">
        <v>24</v>
      </c>
      <c r="I129" t="s">
        <v>61</v>
      </c>
      <c r="J129">
        <v>400000</v>
      </c>
      <c r="K129">
        <v>9600000</v>
      </c>
      <c r="L129" t="s">
        <v>10</v>
      </c>
      <c r="M129" t="s">
        <v>7</v>
      </c>
      <c r="N129" t="b">
        <v>0</v>
      </c>
    </row>
    <row r="130" spans="1:14" x14ac:dyDescent="0.3">
      <c r="A130" t="s">
        <v>5</v>
      </c>
      <c r="B130" t="s">
        <v>10</v>
      </c>
      <c r="C130">
        <v>21</v>
      </c>
      <c r="D130" t="s">
        <v>73</v>
      </c>
      <c r="E130" t="s">
        <v>74</v>
      </c>
      <c r="F130">
        <v>132</v>
      </c>
      <c r="G130">
        <v>8</v>
      </c>
      <c r="H130">
        <v>2.8385280000000006</v>
      </c>
      <c r="I130" t="s">
        <v>46</v>
      </c>
      <c r="J130">
        <v>35000000</v>
      </c>
      <c r="K130">
        <v>99348480.000000015</v>
      </c>
      <c r="L130" t="s">
        <v>10</v>
      </c>
      <c r="M130" t="s">
        <v>7</v>
      </c>
      <c r="N130" t="b">
        <v>0</v>
      </c>
    </row>
    <row r="131" spans="1:14" x14ac:dyDescent="0.3">
      <c r="A131" t="s">
        <v>5</v>
      </c>
      <c r="B131" t="s">
        <v>10</v>
      </c>
      <c r="C131">
        <v>22</v>
      </c>
      <c r="D131" t="s">
        <v>75</v>
      </c>
      <c r="E131" t="s">
        <v>76</v>
      </c>
      <c r="F131" t="s">
        <v>77</v>
      </c>
      <c r="G131">
        <v>2</v>
      </c>
      <c r="H131">
        <v>1</v>
      </c>
      <c r="I131" t="s">
        <v>46</v>
      </c>
      <c r="J131">
        <v>5200000</v>
      </c>
      <c r="K131">
        <v>5200000</v>
      </c>
      <c r="L131" t="s">
        <v>10</v>
      </c>
      <c r="M131" t="s">
        <v>7</v>
      </c>
      <c r="N131" t="b">
        <v>0</v>
      </c>
    </row>
    <row r="132" spans="1:14" x14ac:dyDescent="0.3">
      <c r="A132" t="s">
        <v>5</v>
      </c>
      <c r="B132" t="s">
        <v>10</v>
      </c>
      <c r="C132">
        <v>23</v>
      </c>
      <c r="E132" t="s">
        <v>78</v>
      </c>
      <c r="F132" t="s">
        <v>79</v>
      </c>
      <c r="G132">
        <v>2</v>
      </c>
      <c r="H132">
        <v>1.2</v>
      </c>
      <c r="I132" t="s">
        <v>46</v>
      </c>
      <c r="J132">
        <v>5200000</v>
      </c>
      <c r="K132">
        <v>6240000</v>
      </c>
      <c r="L132" t="s">
        <v>10</v>
      </c>
      <c r="M132" t="s">
        <v>7</v>
      </c>
      <c r="N132" t="b">
        <v>0</v>
      </c>
    </row>
    <row r="133" spans="1:14" x14ac:dyDescent="0.3">
      <c r="A133" t="s">
        <v>5</v>
      </c>
      <c r="B133" t="s">
        <v>10</v>
      </c>
      <c r="C133">
        <v>24</v>
      </c>
      <c r="D133" t="s">
        <v>80</v>
      </c>
      <c r="E133" t="s">
        <v>81</v>
      </c>
      <c r="F133" t="s">
        <v>82</v>
      </c>
      <c r="G133">
        <v>2</v>
      </c>
      <c r="H133">
        <v>0.57587900000000003</v>
      </c>
      <c r="I133" t="s">
        <v>46</v>
      </c>
      <c r="J133">
        <v>8500000</v>
      </c>
      <c r="K133">
        <v>4894971.5</v>
      </c>
      <c r="L133" t="s">
        <v>10</v>
      </c>
      <c r="M133" t="s">
        <v>7</v>
      </c>
      <c r="N133" t="b">
        <v>0</v>
      </c>
    </row>
    <row r="134" spans="1:14" x14ac:dyDescent="0.3">
      <c r="A134" t="s">
        <v>5</v>
      </c>
      <c r="B134" t="s">
        <v>10</v>
      </c>
      <c r="C134">
        <v>25</v>
      </c>
      <c r="D134" t="s">
        <v>83</v>
      </c>
      <c r="E134" t="s">
        <v>84</v>
      </c>
      <c r="F134">
        <v>0.18</v>
      </c>
      <c r="G134" t="s">
        <v>85</v>
      </c>
      <c r="H134" t="s">
        <v>85</v>
      </c>
      <c r="I134" t="s">
        <v>61</v>
      </c>
      <c r="J134">
        <v>715000</v>
      </c>
      <c r="K134">
        <v>1430000</v>
      </c>
      <c r="L134" t="s">
        <v>10</v>
      </c>
      <c r="M134" t="s">
        <v>7</v>
      </c>
      <c r="N134" t="b">
        <v>0</v>
      </c>
    </row>
    <row r="135" spans="1:14" x14ac:dyDescent="0.3">
      <c r="A135" t="s">
        <v>5</v>
      </c>
      <c r="B135" t="s">
        <v>10</v>
      </c>
      <c r="C135">
        <v>26</v>
      </c>
      <c r="E135" t="s">
        <v>86</v>
      </c>
      <c r="F135">
        <v>0.2</v>
      </c>
      <c r="G135" t="s">
        <v>87</v>
      </c>
      <c r="H135" t="s">
        <v>87</v>
      </c>
      <c r="I135" t="s">
        <v>61</v>
      </c>
      <c r="J135">
        <v>715000</v>
      </c>
      <c r="K135">
        <v>2145000</v>
      </c>
      <c r="L135" t="s">
        <v>10</v>
      </c>
      <c r="M135" t="s">
        <v>7</v>
      </c>
      <c r="N135" t="b">
        <v>0</v>
      </c>
    </row>
    <row r="136" spans="1:14" x14ac:dyDescent="0.3">
      <c r="A136" t="s">
        <v>5</v>
      </c>
      <c r="B136" t="s">
        <v>10</v>
      </c>
      <c r="C136">
        <v>27</v>
      </c>
      <c r="D136" t="s">
        <v>88</v>
      </c>
      <c r="E136" t="s">
        <v>89</v>
      </c>
      <c r="F136" t="s">
        <v>90</v>
      </c>
      <c r="G136">
        <v>1</v>
      </c>
      <c r="H136">
        <v>1</v>
      </c>
      <c r="I136" t="s">
        <v>61</v>
      </c>
      <c r="J136">
        <v>100000</v>
      </c>
      <c r="K136">
        <v>100000</v>
      </c>
      <c r="L136" t="s">
        <v>10</v>
      </c>
      <c r="M136" t="s">
        <v>7</v>
      </c>
      <c r="N136" t="b">
        <v>0</v>
      </c>
    </row>
    <row r="137" spans="1:14" x14ac:dyDescent="0.3">
      <c r="A137" t="s">
        <v>5</v>
      </c>
      <c r="B137" t="s">
        <v>10</v>
      </c>
      <c r="C137">
        <v>28</v>
      </c>
      <c r="D137" t="s">
        <v>65</v>
      </c>
      <c r="E137" t="s">
        <v>91</v>
      </c>
      <c r="G137">
        <v>2</v>
      </c>
      <c r="H137">
        <v>2</v>
      </c>
      <c r="I137" t="s">
        <v>61</v>
      </c>
      <c r="J137">
        <v>2400000</v>
      </c>
      <c r="K137">
        <v>4800000</v>
      </c>
      <c r="L137" t="s">
        <v>10</v>
      </c>
      <c r="M137" t="s">
        <v>7</v>
      </c>
      <c r="N137" t="b">
        <v>0</v>
      </c>
    </row>
    <row r="138" spans="1:14" x14ac:dyDescent="0.3">
      <c r="A138" t="s">
        <v>5</v>
      </c>
      <c r="B138" t="s">
        <v>10</v>
      </c>
      <c r="C138">
        <v>29</v>
      </c>
      <c r="E138" t="s">
        <v>92</v>
      </c>
      <c r="G138">
        <v>2</v>
      </c>
      <c r="H138">
        <v>2</v>
      </c>
      <c r="I138" t="s">
        <v>61</v>
      </c>
      <c r="J138">
        <v>2400000</v>
      </c>
      <c r="K138">
        <v>4800000</v>
      </c>
      <c r="L138" t="s">
        <v>10</v>
      </c>
      <c r="M138" t="s">
        <v>7</v>
      </c>
      <c r="N138" t="b">
        <v>0</v>
      </c>
    </row>
    <row r="139" spans="1:14" x14ac:dyDescent="0.3">
      <c r="A139" t="s">
        <v>5</v>
      </c>
      <c r="B139" t="s">
        <v>10</v>
      </c>
      <c r="C139">
        <v>30</v>
      </c>
      <c r="E139" t="s">
        <v>93</v>
      </c>
      <c r="G139">
        <v>2</v>
      </c>
      <c r="H139">
        <v>2</v>
      </c>
      <c r="I139" t="s">
        <v>61</v>
      </c>
      <c r="J139">
        <v>3000000</v>
      </c>
      <c r="K139">
        <v>6000000</v>
      </c>
      <c r="L139" t="s">
        <v>10</v>
      </c>
      <c r="M139" t="s">
        <v>7</v>
      </c>
      <c r="N139" t="b">
        <v>0</v>
      </c>
    </row>
    <row r="140" spans="1:14" x14ac:dyDescent="0.3">
      <c r="A140" t="s">
        <v>5</v>
      </c>
      <c r="B140" t="s">
        <v>10</v>
      </c>
      <c r="C140">
        <v>31</v>
      </c>
      <c r="D140" t="s">
        <v>94</v>
      </c>
      <c r="E140" t="s">
        <v>95</v>
      </c>
      <c r="G140">
        <v>2</v>
      </c>
      <c r="H140">
        <v>2</v>
      </c>
      <c r="I140" t="s">
        <v>61</v>
      </c>
      <c r="J140">
        <v>1300000</v>
      </c>
      <c r="K140">
        <v>2600000</v>
      </c>
      <c r="L140" t="s">
        <v>10</v>
      </c>
      <c r="M140" t="s">
        <v>7</v>
      </c>
      <c r="N140" t="b">
        <v>0</v>
      </c>
    </row>
    <row r="141" spans="1:14" x14ac:dyDescent="0.3">
      <c r="A141" t="s">
        <v>5</v>
      </c>
      <c r="B141" t="s">
        <v>10</v>
      </c>
      <c r="C141">
        <v>32</v>
      </c>
      <c r="D141" t="s">
        <v>94</v>
      </c>
      <c r="E141" t="s">
        <v>96</v>
      </c>
      <c r="G141">
        <v>4</v>
      </c>
      <c r="H141">
        <v>0.67200000000000004</v>
      </c>
      <c r="I141" t="s">
        <v>97</v>
      </c>
      <c r="J141">
        <v>460000</v>
      </c>
      <c r="K141">
        <v>309120</v>
      </c>
      <c r="L141" t="s">
        <v>10</v>
      </c>
      <c r="M141" t="s">
        <v>7</v>
      </c>
      <c r="N141" t="b">
        <v>0</v>
      </c>
    </row>
    <row r="142" spans="1:14" x14ac:dyDescent="0.3">
      <c r="A142" t="s">
        <v>5</v>
      </c>
      <c r="B142" t="s">
        <v>10</v>
      </c>
      <c r="C142">
        <v>33</v>
      </c>
      <c r="D142" t="s">
        <v>98</v>
      </c>
      <c r="E142" t="s">
        <v>99</v>
      </c>
      <c r="F142">
        <v>50</v>
      </c>
      <c r="G142">
        <v>8</v>
      </c>
      <c r="H142">
        <v>0.8</v>
      </c>
      <c r="I142" t="s">
        <v>100</v>
      </c>
      <c r="J142">
        <v>6823080.0000000009</v>
      </c>
      <c r="K142">
        <v>5458464.0000000009</v>
      </c>
      <c r="L142" t="s">
        <v>10</v>
      </c>
      <c r="M142" t="s">
        <v>7</v>
      </c>
      <c r="N142" t="b">
        <v>0</v>
      </c>
    </row>
    <row r="143" spans="1:14" x14ac:dyDescent="0.3">
      <c r="A143" t="s">
        <v>5</v>
      </c>
      <c r="B143" t="s">
        <v>10</v>
      </c>
      <c r="C143">
        <v>28</v>
      </c>
      <c r="E143" t="s">
        <v>101</v>
      </c>
      <c r="H143">
        <v>8</v>
      </c>
      <c r="I143" t="s">
        <v>102</v>
      </c>
      <c r="J143">
        <v>13000000</v>
      </c>
      <c r="K143">
        <v>104000000</v>
      </c>
      <c r="L143" t="s">
        <v>10</v>
      </c>
      <c r="M143" t="s">
        <v>7</v>
      </c>
      <c r="N143" t="b">
        <v>0</v>
      </c>
    </row>
    <row r="144" spans="1:14" x14ac:dyDescent="0.3">
      <c r="A144" t="s">
        <v>5</v>
      </c>
      <c r="B144" t="s">
        <v>10</v>
      </c>
      <c r="C144">
        <v>29</v>
      </c>
      <c r="E144" t="s">
        <v>107</v>
      </c>
      <c r="H144">
        <v>0</v>
      </c>
      <c r="I144" t="s">
        <v>108</v>
      </c>
      <c r="K144">
        <v>0</v>
      </c>
      <c r="L144" t="s">
        <v>10</v>
      </c>
      <c r="M144" t="s">
        <v>7</v>
      </c>
      <c r="N144" t="b">
        <v>0</v>
      </c>
    </row>
    <row r="145" spans="1:14" x14ac:dyDescent="0.3">
      <c r="A145" t="s">
        <v>5</v>
      </c>
      <c r="B145" t="s">
        <v>11</v>
      </c>
      <c r="C145">
        <v>1</v>
      </c>
      <c r="D145" t="s">
        <v>75</v>
      </c>
      <c r="E145" t="s">
        <v>109</v>
      </c>
      <c r="G145">
        <v>1</v>
      </c>
      <c r="H145">
        <v>9</v>
      </c>
      <c r="I145" t="s">
        <v>46</v>
      </c>
      <c r="J145">
        <v>5200000</v>
      </c>
      <c r="K145">
        <v>46800000</v>
      </c>
      <c r="L145" t="s">
        <v>11</v>
      </c>
      <c r="M145" t="s">
        <v>7</v>
      </c>
      <c r="N145" t="b">
        <v>0</v>
      </c>
    </row>
    <row r="146" spans="1:14" x14ac:dyDescent="0.3">
      <c r="A146" t="s">
        <v>5</v>
      </c>
      <c r="B146" t="s">
        <v>11</v>
      </c>
      <c r="C146">
        <v>4</v>
      </c>
      <c r="D146" t="s">
        <v>110</v>
      </c>
      <c r="E146" t="s">
        <v>111</v>
      </c>
      <c r="G146">
        <v>4</v>
      </c>
      <c r="H146">
        <v>0.5</v>
      </c>
      <c r="I146" t="s">
        <v>46</v>
      </c>
      <c r="J146">
        <v>22000000</v>
      </c>
      <c r="K146">
        <v>11000000</v>
      </c>
      <c r="L146" t="s">
        <v>11</v>
      </c>
      <c r="M146" t="s">
        <v>7</v>
      </c>
      <c r="N146" t="b">
        <v>0</v>
      </c>
    </row>
    <row r="147" spans="1:14" x14ac:dyDescent="0.3">
      <c r="A147" t="s">
        <v>5</v>
      </c>
      <c r="B147" t="s">
        <v>11</v>
      </c>
      <c r="C147">
        <v>5</v>
      </c>
      <c r="E147" t="s">
        <v>112</v>
      </c>
      <c r="G147">
        <v>20</v>
      </c>
      <c r="H147">
        <v>20</v>
      </c>
      <c r="I147" t="s">
        <v>61</v>
      </c>
      <c r="J147">
        <v>26000</v>
      </c>
      <c r="K147">
        <v>520000</v>
      </c>
      <c r="L147" t="s">
        <v>11</v>
      </c>
      <c r="M147" t="s">
        <v>7</v>
      </c>
      <c r="N147" t="b">
        <v>0</v>
      </c>
    </row>
    <row r="148" spans="1:14" x14ac:dyDescent="0.3">
      <c r="A148" t="s">
        <v>5</v>
      </c>
      <c r="B148" t="s">
        <v>11</v>
      </c>
      <c r="C148">
        <v>6</v>
      </c>
      <c r="E148" t="s">
        <v>113</v>
      </c>
      <c r="G148">
        <v>6</v>
      </c>
      <c r="H148">
        <v>6</v>
      </c>
      <c r="I148" t="s">
        <v>61</v>
      </c>
      <c r="J148">
        <v>195000</v>
      </c>
      <c r="K148">
        <v>1170000</v>
      </c>
      <c r="L148" t="s">
        <v>11</v>
      </c>
      <c r="M148" t="s">
        <v>7</v>
      </c>
      <c r="N148" t="b">
        <v>0</v>
      </c>
    </row>
    <row r="149" spans="1:14" x14ac:dyDescent="0.3">
      <c r="A149" t="s">
        <v>5</v>
      </c>
      <c r="B149" t="s">
        <v>11</v>
      </c>
      <c r="C149">
        <v>7</v>
      </c>
      <c r="E149" t="s">
        <v>114</v>
      </c>
      <c r="G149">
        <v>20</v>
      </c>
      <c r="H149">
        <v>20</v>
      </c>
      <c r="I149" t="s">
        <v>61</v>
      </c>
      <c r="J149">
        <v>13000</v>
      </c>
      <c r="K149">
        <v>260000</v>
      </c>
      <c r="L149" t="s">
        <v>11</v>
      </c>
      <c r="M149" t="s">
        <v>7</v>
      </c>
      <c r="N149" t="b">
        <v>0</v>
      </c>
    </row>
    <row r="150" spans="1:14" x14ac:dyDescent="0.3">
      <c r="A150" t="s">
        <v>5</v>
      </c>
      <c r="B150" t="s">
        <v>11</v>
      </c>
      <c r="C150">
        <v>8</v>
      </c>
      <c r="E150" t="s">
        <v>115</v>
      </c>
      <c r="G150">
        <v>20</v>
      </c>
      <c r="H150">
        <v>20</v>
      </c>
      <c r="I150" t="s">
        <v>61</v>
      </c>
      <c r="J150">
        <v>75000</v>
      </c>
      <c r="K150">
        <v>1500000</v>
      </c>
      <c r="L150" t="s">
        <v>11</v>
      </c>
      <c r="M150" t="s">
        <v>7</v>
      </c>
      <c r="N150" t="b">
        <v>0</v>
      </c>
    </row>
    <row r="151" spans="1:14" x14ac:dyDescent="0.3">
      <c r="A151" t="s">
        <v>5</v>
      </c>
      <c r="B151" t="s">
        <v>11</v>
      </c>
      <c r="C151">
        <v>9</v>
      </c>
      <c r="E151" t="s">
        <v>116</v>
      </c>
      <c r="G151">
        <v>1</v>
      </c>
      <c r="H151">
        <v>1</v>
      </c>
      <c r="I151" t="s">
        <v>61</v>
      </c>
      <c r="J151">
        <v>11250000</v>
      </c>
      <c r="K151">
        <v>11250000</v>
      </c>
      <c r="L151" t="s">
        <v>11</v>
      </c>
      <c r="M151" t="s">
        <v>7</v>
      </c>
      <c r="N151" t="b">
        <v>0</v>
      </c>
    </row>
    <row r="152" spans="1:14" x14ac:dyDescent="0.3">
      <c r="A152" t="s">
        <v>5</v>
      </c>
      <c r="B152" t="s">
        <v>11</v>
      </c>
      <c r="C152">
        <v>10</v>
      </c>
      <c r="E152" t="s">
        <v>117</v>
      </c>
      <c r="G152">
        <v>1</v>
      </c>
      <c r="H152">
        <v>1</v>
      </c>
      <c r="I152" t="s">
        <v>61</v>
      </c>
      <c r="J152">
        <v>7500000</v>
      </c>
      <c r="K152">
        <v>7500000</v>
      </c>
      <c r="L152" t="s">
        <v>11</v>
      </c>
      <c r="M152" t="s">
        <v>7</v>
      </c>
      <c r="N152" t="b">
        <v>0</v>
      </c>
    </row>
    <row r="153" spans="1:14" x14ac:dyDescent="0.3">
      <c r="A153" t="s">
        <v>5</v>
      </c>
      <c r="B153" t="s">
        <v>11</v>
      </c>
      <c r="C153">
        <v>11</v>
      </c>
      <c r="E153" t="s">
        <v>118</v>
      </c>
      <c r="G153">
        <v>2</v>
      </c>
      <c r="H153">
        <v>2</v>
      </c>
      <c r="I153" t="s">
        <v>61</v>
      </c>
      <c r="J153">
        <v>150000</v>
      </c>
      <c r="K153">
        <v>300000</v>
      </c>
      <c r="L153" t="s">
        <v>11</v>
      </c>
      <c r="M153" t="s">
        <v>7</v>
      </c>
      <c r="N153" t="b">
        <v>0</v>
      </c>
    </row>
    <row r="154" spans="1:14" x14ac:dyDescent="0.3">
      <c r="A154" t="s">
        <v>5</v>
      </c>
      <c r="B154" t="s">
        <v>11</v>
      </c>
      <c r="C154">
        <v>12</v>
      </c>
      <c r="E154" t="s">
        <v>119</v>
      </c>
      <c r="G154">
        <v>2</v>
      </c>
      <c r="H154">
        <v>2</v>
      </c>
      <c r="I154" t="s">
        <v>61</v>
      </c>
      <c r="J154">
        <v>100000</v>
      </c>
      <c r="K154">
        <v>200000</v>
      </c>
      <c r="L154" t="s">
        <v>11</v>
      </c>
      <c r="M154" t="s">
        <v>7</v>
      </c>
      <c r="N154" t="b">
        <v>0</v>
      </c>
    </row>
    <row r="155" spans="1:14" x14ac:dyDescent="0.3">
      <c r="A155" t="s">
        <v>5</v>
      </c>
      <c r="B155" t="s">
        <v>11</v>
      </c>
      <c r="C155">
        <v>13</v>
      </c>
      <c r="E155" t="s">
        <v>120</v>
      </c>
      <c r="G155">
        <v>4</v>
      </c>
      <c r="H155">
        <v>4</v>
      </c>
      <c r="I155" t="s">
        <v>61</v>
      </c>
      <c r="J155">
        <v>50000</v>
      </c>
      <c r="K155">
        <v>200000</v>
      </c>
      <c r="L155" t="s">
        <v>11</v>
      </c>
      <c r="M155" t="s">
        <v>7</v>
      </c>
      <c r="N155" t="b">
        <v>0</v>
      </c>
    </row>
    <row r="156" spans="1:14" x14ac:dyDescent="0.3">
      <c r="A156" t="s">
        <v>5</v>
      </c>
      <c r="B156" t="s">
        <v>11</v>
      </c>
      <c r="C156">
        <v>14</v>
      </c>
      <c r="E156" t="s">
        <v>121</v>
      </c>
      <c r="G156">
        <v>2</v>
      </c>
      <c r="H156">
        <v>2</v>
      </c>
      <c r="I156" t="s">
        <v>61</v>
      </c>
      <c r="J156">
        <v>100000</v>
      </c>
      <c r="K156">
        <v>200000</v>
      </c>
      <c r="L156" t="s">
        <v>11</v>
      </c>
      <c r="M156" t="s">
        <v>7</v>
      </c>
      <c r="N156" t="b">
        <v>0</v>
      </c>
    </row>
    <row r="157" spans="1:14" x14ac:dyDescent="0.3">
      <c r="A157" t="s">
        <v>5</v>
      </c>
      <c r="B157" t="s">
        <v>11</v>
      </c>
      <c r="C157">
        <v>15</v>
      </c>
      <c r="E157" t="s">
        <v>122</v>
      </c>
      <c r="G157">
        <v>1</v>
      </c>
      <c r="H157">
        <v>0.1</v>
      </c>
      <c r="I157" t="s">
        <v>46</v>
      </c>
      <c r="J157">
        <v>4200000</v>
      </c>
      <c r="K157">
        <v>420000</v>
      </c>
      <c r="L157" t="s">
        <v>11</v>
      </c>
      <c r="M157" t="s">
        <v>7</v>
      </c>
      <c r="N157" t="b">
        <v>0</v>
      </c>
    </row>
    <row r="158" spans="1:14" x14ac:dyDescent="0.3">
      <c r="A158" t="s">
        <v>5</v>
      </c>
      <c r="B158" t="s">
        <v>11</v>
      </c>
      <c r="C158">
        <v>16</v>
      </c>
      <c r="E158" t="s">
        <v>123</v>
      </c>
      <c r="G158">
        <v>1</v>
      </c>
      <c r="H158">
        <v>0.3</v>
      </c>
      <c r="I158" t="s">
        <v>97</v>
      </c>
      <c r="K158">
        <v>0</v>
      </c>
      <c r="L158" t="s">
        <v>11</v>
      </c>
      <c r="M158" t="s">
        <v>7</v>
      </c>
      <c r="N158" t="b">
        <v>0</v>
      </c>
    </row>
    <row r="159" spans="1:14" x14ac:dyDescent="0.3">
      <c r="A159" t="s">
        <v>5</v>
      </c>
      <c r="B159" t="s">
        <v>11</v>
      </c>
      <c r="C159">
        <v>17</v>
      </c>
      <c r="E159" t="s">
        <v>124</v>
      </c>
      <c r="G159">
        <v>1</v>
      </c>
      <c r="H159">
        <v>0.15</v>
      </c>
      <c r="I159" t="s">
        <v>97</v>
      </c>
      <c r="K159">
        <v>0</v>
      </c>
      <c r="L159" t="s">
        <v>11</v>
      </c>
      <c r="M159" t="s">
        <v>7</v>
      </c>
      <c r="N159" t="b">
        <v>0</v>
      </c>
    </row>
    <row r="160" spans="1:14" x14ac:dyDescent="0.3">
      <c r="A160" t="s">
        <v>5</v>
      </c>
      <c r="B160" t="s">
        <v>11</v>
      </c>
      <c r="C160">
        <v>18</v>
      </c>
      <c r="E160" t="s">
        <v>125</v>
      </c>
      <c r="G160">
        <v>1</v>
      </c>
      <c r="I160" t="s">
        <v>61</v>
      </c>
      <c r="K160">
        <v>0</v>
      </c>
      <c r="L160" t="s">
        <v>11</v>
      </c>
      <c r="M160" t="s">
        <v>7</v>
      </c>
      <c r="N160" t="b">
        <v>0</v>
      </c>
    </row>
    <row r="161" spans="1:14" x14ac:dyDescent="0.3">
      <c r="A161" t="s">
        <v>5</v>
      </c>
      <c r="B161" t="s">
        <v>11</v>
      </c>
      <c r="C161">
        <v>19</v>
      </c>
      <c r="E161" t="s">
        <v>126</v>
      </c>
      <c r="G161">
        <v>1</v>
      </c>
      <c r="I161" t="s">
        <v>61</v>
      </c>
      <c r="K161">
        <v>0</v>
      </c>
      <c r="L161" t="s">
        <v>11</v>
      </c>
      <c r="M161" t="s">
        <v>7</v>
      </c>
      <c r="N161" t="b">
        <v>0</v>
      </c>
    </row>
    <row r="162" spans="1:14" x14ac:dyDescent="0.3">
      <c r="A162" t="s">
        <v>5</v>
      </c>
      <c r="B162" t="s">
        <v>11</v>
      </c>
      <c r="C162">
        <v>20</v>
      </c>
      <c r="E162" t="s">
        <v>127</v>
      </c>
      <c r="G162">
        <v>1</v>
      </c>
      <c r="I162" t="s">
        <v>61</v>
      </c>
      <c r="K162">
        <v>0</v>
      </c>
      <c r="L162" t="s">
        <v>11</v>
      </c>
      <c r="M162" t="s">
        <v>7</v>
      </c>
      <c r="N162" t="b">
        <v>0</v>
      </c>
    </row>
    <row r="163" spans="1:14" x14ac:dyDescent="0.3">
      <c r="A163" t="s">
        <v>5</v>
      </c>
      <c r="B163" t="s">
        <v>11</v>
      </c>
      <c r="C163">
        <v>21</v>
      </c>
      <c r="E163" t="s">
        <v>128</v>
      </c>
      <c r="G163">
        <v>1</v>
      </c>
      <c r="H163">
        <v>1</v>
      </c>
      <c r="I163" t="s">
        <v>61</v>
      </c>
      <c r="J163">
        <v>74000000</v>
      </c>
      <c r="K163">
        <v>74000000</v>
      </c>
      <c r="L163" t="s">
        <v>11</v>
      </c>
      <c r="M163" t="s">
        <v>7</v>
      </c>
      <c r="N163" t="b">
        <v>0</v>
      </c>
    </row>
    <row r="164" spans="1:14" x14ac:dyDescent="0.3">
      <c r="A164" t="s">
        <v>5</v>
      </c>
      <c r="B164" t="s">
        <v>11</v>
      </c>
      <c r="C164">
        <v>7</v>
      </c>
      <c r="E164" t="s">
        <v>101</v>
      </c>
      <c r="H164">
        <v>5</v>
      </c>
      <c r="I164" t="s">
        <v>102</v>
      </c>
      <c r="J164">
        <v>13000000</v>
      </c>
      <c r="K164">
        <v>65000000</v>
      </c>
      <c r="L164" t="s">
        <v>11</v>
      </c>
      <c r="M164" t="s">
        <v>7</v>
      </c>
      <c r="N164" t="b">
        <v>0</v>
      </c>
    </row>
    <row r="165" spans="1:14" x14ac:dyDescent="0.3">
      <c r="A165" t="s">
        <v>5</v>
      </c>
      <c r="B165" t="s">
        <v>11</v>
      </c>
      <c r="C165">
        <v>8</v>
      </c>
      <c r="E165" t="s">
        <v>107</v>
      </c>
      <c r="H165">
        <v>0</v>
      </c>
      <c r="I165" t="s">
        <v>108</v>
      </c>
      <c r="K165">
        <v>0</v>
      </c>
      <c r="L165" t="s">
        <v>11</v>
      </c>
      <c r="M165" t="s">
        <v>7</v>
      </c>
      <c r="N165" t="b">
        <v>0</v>
      </c>
    </row>
    <row r="166" spans="1:14" x14ac:dyDescent="0.3">
      <c r="A166" t="s">
        <v>5</v>
      </c>
      <c r="B166" t="s">
        <v>12</v>
      </c>
      <c r="C166">
        <v>1</v>
      </c>
      <c r="D166" t="s">
        <v>129</v>
      </c>
      <c r="E166" t="s">
        <v>130</v>
      </c>
      <c r="G166">
        <v>1</v>
      </c>
      <c r="H166">
        <v>4</v>
      </c>
      <c r="I166" t="s">
        <v>131</v>
      </c>
      <c r="J166">
        <v>22500000</v>
      </c>
      <c r="K166">
        <v>90000000</v>
      </c>
      <c r="L166" t="s">
        <v>12</v>
      </c>
      <c r="M166" t="s">
        <v>7</v>
      </c>
      <c r="N166" t="b">
        <v>0</v>
      </c>
    </row>
    <row r="167" spans="1:14" x14ac:dyDescent="0.3">
      <c r="A167" t="s">
        <v>5</v>
      </c>
      <c r="B167" t="s">
        <v>12</v>
      </c>
      <c r="D167" t="s">
        <v>58</v>
      </c>
      <c r="E167" t="s">
        <v>60</v>
      </c>
      <c r="G167">
        <v>0</v>
      </c>
      <c r="H167">
        <v>6</v>
      </c>
      <c r="I167" t="s">
        <v>46</v>
      </c>
      <c r="J167">
        <v>3600000</v>
      </c>
      <c r="K167">
        <v>21600000</v>
      </c>
      <c r="L167" t="s">
        <v>12</v>
      </c>
      <c r="M167" t="s">
        <v>7</v>
      </c>
      <c r="N167" t="b">
        <v>0</v>
      </c>
    </row>
    <row r="168" spans="1:14" x14ac:dyDescent="0.3">
      <c r="A168" t="s">
        <v>5</v>
      </c>
      <c r="B168" t="s">
        <v>12</v>
      </c>
      <c r="C168">
        <v>3</v>
      </c>
      <c r="E168" t="s">
        <v>132</v>
      </c>
      <c r="G168">
        <v>16</v>
      </c>
      <c r="I168" t="s">
        <v>61</v>
      </c>
      <c r="J168">
        <v>50000</v>
      </c>
      <c r="K168">
        <v>800000</v>
      </c>
      <c r="L168" t="s">
        <v>12</v>
      </c>
      <c r="M168" t="s">
        <v>7</v>
      </c>
      <c r="N168" t="b">
        <v>0</v>
      </c>
    </row>
    <row r="169" spans="1:14" x14ac:dyDescent="0.3">
      <c r="A169" t="s">
        <v>5</v>
      </c>
      <c r="B169" t="s">
        <v>12</v>
      </c>
      <c r="C169">
        <v>4</v>
      </c>
      <c r="E169" t="s">
        <v>133</v>
      </c>
      <c r="G169">
        <v>16</v>
      </c>
      <c r="I169" t="s">
        <v>61</v>
      </c>
      <c r="J169">
        <v>15000</v>
      </c>
      <c r="K169">
        <v>240000</v>
      </c>
      <c r="L169" t="s">
        <v>12</v>
      </c>
      <c r="M169" t="s">
        <v>7</v>
      </c>
      <c r="N169" t="b">
        <v>0</v>
      </c>
    </row>
    <row r="170" spans="1:14" x14ac:dyDescent="0.3">
      <c r="A170" t="s">
        <v>5</v>
      </c>
      <c r="B170" t="s">
        <v>12</v>
      </c>
      <c r="C170">
        <v>5</v>
      </c>
      <c r="E170" t="s">
        <v>134</v>
      </c>
      <c r="G170">
        <v>32</v>
      </c>
      <c r="I170" t="s">
        <v>61</v>
      </c>
      <c r="J170">
        <v>5000</v>
      </c>
      <c r="K170">
        <v>160000</v>
      </c>
      <c r="L170" t="s">
        <v>12</v>
      </c>
      <c r="M170" t="s">
        <v>7</v>
      </c>
      <c r="N170" t="b">
        <v>0</v>
      </c>
    </row>
    <row r="171" spans="1:14" x14ac:dyDescent="0.3">
      <c r="A171" t="s">
        <v>5</v>
      </c>
      <c r="B171" t="s">
        <v>12</v>
      </c>
      <c r="C171">
        <v>6</v>
      </c>
      <c r="E171" t="s">
        <v>135</v>
      </c>
      <c r="G171">
        <v>16</v>
      </c>
      <c r="I171" t="s">
        <v>61</v>
      </c>
      <c r="J171">
        <v>5000</v>
      </c>
      <c r="K171">
        <v>80000</v>
      </c>
      <c r="L171" t="s">
        <v>12</v>
      </c>
      <c r="M171" t="s">
        <v>7</v>
      </c>
      <c r="N171" t="b">
        <v>0</v>
      </c>
    </row>
    <row r="172" spans="1:14" x14ac:dyDescent="0.3">
      <c r="A172" t="s">
        <v>5</v>
      </c>
      <c r="B172" t="s">
        <v>12</v>
      </c>
      <c r="C172">
        <v>7</v>
      </c>
      <c r="E172" t="s">
        <v>101</v>
      </c>
      <c r="H172">
        <v>1</v>
      </c>
      <c r="I172" t="s">
        <v>102</v>
      </c>
      <c r="J172">
        <v>13000000</v>
      </c>
      <c r="K172">
        <v>13000000</v>
      </c>
      <c r="L172" t="s">
        <v>12</v>
      </c>
      <c r="M172" t="s">
        <v>7</v>
      </c>
      <c r="N172" t="b">
        <v>0</v>
      </c>
    </row>
    <row r="173" spans="1:14" x14ac:dyDescent="0.3">
      <c r="A173" t="s">
        <v>5</v>
      </c>
      <c r="B173" t="s">
        <v>12</v>
      </c>
      <c r="C173">
        <v>8</v>
      </c>
      <c r="E173" t="s">
        <v>107</v>
      </c>
      <c r="H173">
        <v>0</v>
      </c>
      <c r="I173" t="s">
        <v>108</v>
      </c>
      <c r="K173">
        <v>0</v>
      </c>
      <c r="L173" t="s">
        <v>12</v>
      </c>
      <c r="M173" t="s">
        <v>7</v>
      </c>
      <c r="N173" t="b">
        <v>0</v>
      </c>
    </row>
    <row r="174" spans="1:14" x14ac:dyDescent="0.3">
      <c r="A174" t="s">
        <v>5</v>
      </c>
      <c r="B174" t="s">
        <v>13</v>
      </c>
      <c r="C174">
        <v>1</v>
      </c>
      <c r="D174" t="s">
        <v>73</v>
      </c>
      <c r="E174" t="s">
        <v>136</v>
      </c>
      <c r="G174">
        <v>1</v>
      </c>
      <c r="H174">
        <v>6</v>
      </c>
      <c r="I174" t="s">
        <v>46</v>
      </c>
      <c r="J174">
        <v>8500000</v>
      </c>
      <c r="K174">
        <v>51000000</v>
      </c>
      <c r="L174" t="s">
        <v>13</v>
      </c>
      <c r="M174" t="s">
        <v>7</v>
      </c>
      <c r="N174" t="b">
        <v>0</v>
      </c>
    </row>
    <row r="175" spans="1:14" x14ac:dyDescent="0.3">
      <c r="A175" t="s">
        <v>5</v>
      </c>
      <c r="B175" t="s">
        <v>13</v>
      </c>
      <c r="D175" t="s">
        <v>58</v>
      </c>
      <c r="E175" t="s">
        <v>60</v>
      </c>
      <c r="G175">
        <v>0</v>
      </c>
      <c r="H175">
        <v>6</v>
      </c>
      <c r="I175" t="s">
        <v>46</v>
      </c>
      <c r="J175">
        <v>3600000</v>
      </c>
      <c r="K175">
        <v>21600000</v>
      </c>
      <c r="L175" t="s">
        <v>13</v>
      </c>
      <c r="M175" t="s">
        <v>7</v>
      </c>
      <c r="N175" t="b">
        <v>0</v>
      </c>
    </row>
    <row r="176" spans="1:14" x14ac:dyDescent="0.3">
      <c r="A176" t="s">
        <v>5</v>
      </c>
      <c r="B176" t="s">
        <v>13</v>
      </c>
      <c r="C176">
        <v>3</v>
      </c>
      <c r="E176" t="s">
        <v>132</v>
      </c>
      <c r="G176">
        <v>4</v>
      </c>
      <c r="I176" t="s">
        <v>61</v>
      </c>
      <c r="J176">
        <v>50000</v>
      </c>
      <c r="K176">
        <v>200000</v>
      </c>
      <c r="L176" t="s">
        <v>13</v>
      </c>
      <c r="M176" t="s">
        <v>7</v>
      </c>
      <c r="N176" t="b">
        <v>0</v>
      </c>
    </row>
    <row r="177" spans="1:14" x14ac:dyDescent="0.3">
      <c r="A177" t="s">
        <v>5</v>
      </c>
      <c r="B177" t="s">
        <v>13</v>
      </c>
      <c r="C177">
        <v>4</v>
      </c>
      <c r="E177" t="s">
        <v>133</v>
      </c>
      <c r="G177">
        <v>4</v>
      </c>
      <c r="I177" t="s">
        <v>61</v>
      </c>
      <c r="J177">
        <v>15000</v>
      </c>
      <c r="K177">
        <v>60000</v>
      </c>
      <c r="L177" t="s">
        <v>13</v>
      </c>
      <c r="M177" t="s">
        <v>7</v>
      </c>
      <c r="N177" t="b">
        <v>0</v>
      </c>
    </row>
    <row r="178" spans="1:14" x14ac:dyDescent="0.3">
      <c r="A178" t="s">
        <v>5</v>
      </c>
      <c r="B178" t="s">
        <v>13</v>
      </c>
      <c r="C178">
        <v>5</v>
      </c>
      <c r="E178" t="s">
        <v>134</v>
      </c>
      <c r="G178">
        <v>8</v>
      </c>
      <c r="I178" t="s">
        <v>61</v>
      </c>
      <c r="J178">
        <v>5000</v>
      </c>
      <c r="K178">
        <v>40000</v>
      </c>
      <c r="L178" t="s">
        <v>13</v>
      </c>
      <c r="M178" t="s">
        <v>7</v>
      </c>
      <c r="N178" t="b">
        <v>0</v>
      </c>
    </row>
    <row r="179" spans="1:14" x14ac:dyDescent="0.3">
      <c r="A179" t="s">
        <v>5</v>
      </c>
      <c r="B179" t="s">
        <v>13</v>
      </c>
      <c r="C179">
        <v>6</v>
      </c>
      <c r="E179" t="s">
        <v>135</v>
      </c>
      <c r="G179">
        <v>4</v>
      </c>
      <c r="I179" t="s">
        <v>61</v>
      </c>
      <c r="J179">
        <v>5000</v>
      </c>
      <c r="K179">
        <v>20000</v>
      </c>
      <c r="L179" t="s">
        <v>13</v>
      </c>
      <c r="M179" t="s">
        <v>7</v>
      </c>
      <c r="N179" t="b">
        <v>0</v>
      </c>
    </row>
    <row r="180" spans="1:14" x14ac:dyDescent="0.3">
      <c r="A180" t="s">
        <v>5</v>
      </c>
      <c r="B180" t="s">
        <v>13</v>
      </c>
      <c r="C180">
        <v>7</v>
      </c>
      <c r="E180" t="s">
        <v>101</v>
      </c>
      <c r="H180">
        <v>5</v>
      </c>
      <c r="I180" t="s">
        <v>102</v>
      </c>
      <c r="J180">
        <v>13000000</v>
      </c>
      <c r="K180">
        <v>65000000</v>
      </c>
      <c r="L180" t="s">
        <v>13</v>
      </c>
      <c r="M180" t="s">
        <v>7</v>
      </c>
      <c r="N180" t="b">
        <v>0</v>
      </c>
    </row>
    <row r="181" spans="1:14" x14ac:dyDescent="0.3">
      <c r="A181" t="s">
        <v>5</v>
      </c>
      <c r="B181" t="s">
        <v>13</v>
      </c>
      <c r="C181">
        <v>8</v>
      </c>
      <c r="E181" t="s">
        <v>107</v>
      </c>
      <c r="H181">
        <v>0</v>
      </c>
      <c r="I181" t="s">
        <v>108</v>
      </c>
      <c r="K181">
        <v>0</v>
      </c>
      <c r="L181" t="s">
        <v>13</v>
      </c>
      <c r="M181" t="s">
        <v>7</v>
      </c>
      <c r="N181" t="b">
        <v>0</v>
      </c>
    </row>
    <row r="182" spans="1:14" x14ac:dyDescent="0.3">
      <c r="A182" t="s">
        <v>5</v>
      </c>
      <c r="B182" t="s">
        <v>14</v>
      </c>
      <c r="C182">
        <v>1</v>
      </c>
      <c r="D182" t="s">
        <v>73</v>
      </c>
      <c r="E182" t="s">
        <v>137</v>
      </c>
      <c r="G182">
        <v>1</v>
      </c>
      <c r="H182">
        <v>6</v>
      </c>
      <c r="I182" t="s">
        <v>46</v>
      </c>
      <c r="J182">
        <v>8500000</v>
      </c>
      <c r="K182">
        <v>51000000</v>
      </c>
      <c r="L182" t="s">
        <v>14</v>
      </c>
      <c r="M182" t="s">
        <v>7</v>
      </c>
      <c r="N182" t="b">
        <v>0</v>
      </c>
    </row>
    <row r="183" spans="1:14" x14ac:dyDescent="0.3">
      <c r="A183" t="s">
        <v>5</v>
      </c>
      <c r="B183" t="s">
        <v>14</v>
      </c>
      <c r="D183" t="s">
        <v>58</v>
      </c>
      <c r="E183" t="s">
        <v>60</v>
      </c>
      <c r="G183">
        <v>0</v>
      </c>
      <c r="H183">
        <v>6</v>
      </c>
      <c r="I183" t="s">
        <v>46</v>
      </c>
      <c r="J183">
        <v>3600000</v>
      </c>
      <c r="K183">
        <v>21600000</v>
      </c>
      <c r="L183" t="s">
        <v>14</v>
      </c>
      <c r="M183" t="s">
        <v>7</v>
      </c>
      <c r="N183" t="b">
        <v>0</v>
      </c>
    </row>
    <row r="184" spans="1:14" x14ac:dyDescent="0.3">
      <c r="A184" t="s">
        <v>5</v>
      </c>
      <c r="B184" t="s">
        <v>14</v>
      </c>
      <c r="C184">
        <v>3</v>
      </c>
      <c r="E184" t="s">
        <v>132</v>
      </c>
      <c r="G184">
        <v>16</v>
      </c>
      <c r="I184" t="s">
        <v>61</v>
      </c>
      <c r="J184">
        <v>50000</v>
      </c>
      <c r="K184">
        <v>800000</v>
      </c>
      <c r="L184" t="s">
        <v>14</v>
      </c>
      <c r="M184" t="s">
        <v>7</v>
      </c>
      <c r="N184" t="b">
        <v>0</v>
      </c>
    </row>
    <row r="185" spans="1:14" x14ac:dyDescent="0.3">
      <c r="A185" t="s">
        <v>5</v>
      </c>
      <c r="B185" t="s">
        <v>14</v>
      </c>
      <c r="C185">
        <v>4</v>
      </c>
      <c r="E185" t="s">
        <v>133</v>
      </c>
      <c r="G185">
        <v>16</v>
      </c>
      <c r="I185" t="s">
        <v>61</v>
      </c>
      <c r="J185">
        <v>15000</v>
      </c>
      <c r="K185">
        <v>240000</v>
      </c>
      <c r="L185" t="s">
        <v>14</v>
      </c>
      <c r="M185" t="s">
        <v>7</v>
      </c>
      <c r="N185" t="b">
        <v>0</v>
      </c>
    </row>
    <row r="186" spans="1:14" x14ac:dyDescent="0.3">
      <c r="A186" t="s">
        <v>5</v>
      </c>
      <c r="B186" t="s">
        <v>14</v>
      </c>
      <c r="C186">
        <v>5</v>
      </c>
      <c r="E186" t="s">
        <v>134</v>
      </c>
      <c r="G186">
        <v>32</v>
      </c>
      <c r="I186" t="s">
        <v>61</v>
      </c>
      <c r="J186">
        <v>5000</v>
      </c>
      <c r="K186">
        <v>160000</v>
      </c>
      <c r="L186" t="s">
        <v>14</v>
      </c>
      <c r="M186" t="s">
        <v>7</v>
      </c>
      <c r="N186" t="b">
        <v>0</v>
      </c>
    </row>
    <row r="187" spans="1:14" x14ac:dyDescent="0.3">
      <c r="A187" t="s">
        <v>5</v>
      </c>
      <c r="B187" t="s">
        <v>14</v>
      </c>
      <c r="C187">
        <v>6</v>
      </c>
      <c r="E187" t="s">
        <v>135</v>
      </c>
      <c r="G187">
        <v>16</v>
      </c>
      <c r="I187" t="s">
        <v>61</v>
      </c>
      <c r="J187">
        <v>5000</v>
      </c>
      <c r="K187">
        <v>80000</v>
      </c>
      <c r="L187" t="s">
        <v>14</v>
      </c>
      <c r="M187" t="s">
        <v>7</v>
      </c>
      <c r="N187" t="b">
        <v>0</v>
      </c>
    </row>
    <row r="188" spans="1:14" x14ac:dyDescent="0.3">
      <c r="A188" t="s">
        <v>5</v>
      </c>
      <c r="B188" t="s">
        <v>14</v>
      </c>
      <c r="C188">
        <v>7</v>
      </c>
      <c r="E188" t="s">
        <v>101</v>
      </c>
      <c r="H188">
        <v>5</v>
      </c>
      <c r="I188" t="s">
        <v>102</v>
      </c>
      <c r="J188">
        <v>13000000</v>
      </c>
      <c r="K188">
        <v>65000000</v>
      </c>
      <c r="L188" t="s">
        <v>14</v>
      </c>
      <c r="M188" t="s">
        <v>7</v>
      </c>
      <c r="N188" t="b">
        <v>0</v>
      </c>
    </row>
    <row r="189" spans="1:14" x14ac:dyDescent="0.3">
      <c r="A189" t="s">
        <v>5</v>
      </c>
      <c r="B189" t="s">
        <v>14</v>
      </c>
      <c r="C189">
        <v>8</v>
      </c>
      <c r="E189" t="s">
        <v>107</v>
      </c>
      <c r="H189">
        <v>0</v>
      </c>
      <c r="I189" t="s">
        <v>108</v>
      </c>
      <c r="K189">
        <v>0</v>
      </c>
      <c r="L189" t="s">
        <v>14</v>
      </c>
      <c r="M189" t="s">
        <v>7</v>
      </c>
      <c r="N189" t="b">
        <v>0</v>
      </c>
    </row>
    <row r="190" spans="1:14" x14ac:dyDescent="0.3">
      <c r="A190" t="s">
        <v>5</v>
      </c>
      <c r="B190" t="s">
        <v>15</v>
      </c>
      <c r="C190">
        <v>1</v>
      </c>
      <c r="D190" t="s">
        <v>75</v>
      </c>
      <c r="E190" t="s">
        <v>138</v>
      </c>
      <c r="G190">
        <v>1</v>
      </c>
      <c r="H190">
        <v>25</v>
      </c>
      <c r="I190" t="s">
        <v>46</v>
      </c>
      <c r="J190">
        <v>5200000</v>
      </c>
      <c r="K190">
        <v>130000000</v>
      </c>
      <c r="L190" t="s">
        <v>15</v>
      </c>
      <c r="M190" t="s">
        <v>7</v>
      </c>
      <c r="N190" t="b">
        <v>0</v>
      </c>
    </row>
    <row r="191" spans="1:14" x14ac:dyDescent="0.3">
      <c r="A191" t="s">
        <v>5</v>
      </c>
      <c r="B191" t="s">
        <v>15</v>
      </c>
      <c r="D191" t="s">
        <v>75</v>
      </c>
      <c r="E191" t="s">
        <v>139</v>
      </c>
      <c r="G191">
        <v>1</v>
      </c>
      <c r="I191" t="s">
        <v>46</v>
      </c>
      <c r="K191">
        <v>0</v>
      </c>
      <c r="L191" t="s">
        <v>15</v>
      </c>
      <c r="M191" t="s">
        <v>7</v>
      </c>
      <c r="N191" t="b">
        <v>0</v>
      </c>
    </row>
    <row r="192" spans="1:14" x14ac:dyDescent="0.3">
      <c r="A192" t="s">
        <v>5</v>
      </c>
      <c r="B192" t="s">
        <v>15</v>
      </c>
      <c r="C192">
        <v>3</v>
      </c>
      <c r="E192" t="s">
        <v>140</v>
      </c>
      <c r="G192">
        <v>32</v>
      </c>
      <c r="I192" t="s">
        <v>61</v>
      </c>
      <c r="J192">
        <v>10000</v>
      </c>
      <c r="K192">
        <v>320000</v>
      </c>
      <c r="L192" t="s">
        <v>15</v>
      </c>
      <c r="M192" t="s">
        <v>7</v>
      </c>
      <c r="N192" t="b">
        <v>0</v>
      </c>
    </row>
    <row r="193" spans="1:14" x14ac:dyDescent="0.3">
      <c r="A193" t="s">
        <v>5</v>
      </c>
      <c r="B193" t="s">
        <v>15</v>
      </c>
      <c r="C193">
        <v>4</v>
      </c>
      <c r="E193" t="s">
        <v>69</v>
      </c>
      <c r="G193">
        <v>32</v>
      </c>
      <c r="I193" t="s">
        <v>61</v>
      </c>
      <c r="J193">
        <v>60000</v>
      </c>
      <c r="K193">
        <v>1920000</v>
      </c>
      <c r="L193" t="s">
        <v>15</v>
      </c>
      <c r="M193" t="s">
        <v>7</v>
      </c>
      <c r="N193" t="b">
        <v>0</v>
      </c>
    </row>
    <row r="194" spans="1:14" x14ac:dyDescent="0.3">
      <c r="A194" t="s">
        <v>5</v>
      </c>
      <c r="B194" t="s">
        <v>15</v>
      </c>
      <c r="C194">
        <v>5</v>
      </c>
      <c r="E194" t="s">
        <v>141</v>
      </c>
      <c r="G194">
        <v>32</v>
      </c>
      <c r="I194" t="s">
        <v>61</v>
      </c>
      <c r="J194">
        <v>60000</v>
      </c>
      <c r="K194">
        <v>1920000</v>
      </c>
      <c r="L194" t="s">
        <v>15</v>
      </c>
      <c r="M194" t="s">
        <v>7</v>
      </c>
      <c r="N194" t="b">
        <v>0</v>
      </c>
    </row>
    <row r="195" spans="1:14" x14ac:dyDescent="0.3">
      <c r="A195" t="s">
        <v>5</v>
      </c>
      <c r="B195" t="s">
        <v>15</v>
      </c>
      <c r="C195">
        <v>6</v>
      </c>
      <c r="E195" t="s">
        <v>140</v>
      </c>
      <c r="G195">
        <v>12</v>
      </c>
      <c r="I195" t="s">
        <v>61</v>
      </c>
      <c r="J195">
        <v>10000</v>
      </c>
      <c r="K195">
        <v>120000</v>
      </c>
      <c r="L195" t="s">
        <v>15</v>
      </c>
      <c r="M195" t="s">
        <v>7</v>
      </c>
      <c r="N195" t="b">
        <v>0</v>
      </c>
    </row>
    <row r="196" spans="1:14" x14ac:dyDescent="0.3">
      <c r="A196" t="s">
        <v>5</v>
      </c>
      <c r="B196" t="s">
        <v>15</v>
      </c>
      <c r="C196">
        <v>7</v>
      </c>
      <c r="E196" t="s">
        <v>142</v>
      </c>
      <c r="G196">
        <v>12</v>
      </c>
      <c r="I196" t="s">
        <v>61</v>
      </c>
      <c r="J196">
        <v>10000</v>
      </c>
      <c r="K196">
        <v>120000</v>
      </c>
      <c r="L196" t="s">
        <v>15</v>
      </c>
      <c r="M196" t="s">
        <v>7</v>
      </c>
      <c r="N196" t="b">
        <v>0</v>
      </c>
    </row>
    <row r="197" spans="1:14" x14ac:dyDescent="0.3">
      <c r="A197" t="s">
        <v>5</v>
      </c>
      <c r="B197" t="s">
        <v>15</v>
      </c>
      <c r="C197">
        <v>8</v>
      </c>
      <c r="E197" t="s">
        <v>114</v>
      </c>
      <c r="G197">
        <v>12</v>
      </c>
      <c r="I197" t="s">
        <v>61</v>
      </c>
      <c r="J197">
        <v>60000</v>
      </c>
      <c r="K197">
        <v>720000</v>
      </c>
      <c r="L197" t="s">
        <v>15</v>
      </c>
      <c r="M197" t="s">
        <v>7</v>
      </c>
      <c r="N197" t="b">
        <v>0</v>
      </c>
    </row>
    <row r="198" spans="1:14" x14ac:dyDescent="0.3">
      <c r="A198" t="s">
        <v>5</v>
      </c>
      <c r="B198" t="s">
        <v>15</v>
      </c>
      <c r="C198">
        <v>9</v>
      </c>
      <c r="E198" t="s">
        <v>143</v>
      </c>
      <c r="G198">
        <v>32</v>
      </c>
      <c r="I198" t="s">
        <v>61</v>
      </c>
      <c r="J198">
        <v>10000</v>
      </c>
      <c r="K198">
        <v>320000</v>
      </c>
      <c r="L198" t="s">
        <v>15</v>
      </c>
      <c r="M198" t="s">
        <v>7</v>
      </c>
      <c r="N198" t="b">
        <v>0</v>
      </c>
    </row>
    <row r="199" spans="1:14" x14ac:dyDescent="0.3">
      <c r="A199" t="s">
        <v>5</v>
      </c>
      <c r="B199" t="s">
        <v>15</v>
      </c>
      <c r="C199">
        <v>10</v>
      </c>
      <c r="E199" t="s">
        <v>57</v>
      </c>
      <c r="G199">
        <v>25</v>
      </c>
      <c r="I199" t="s">
        <v>46</v>
      </c>
      <c r="J199">
        <v>1430000</v>
      </c>
      <c r="K199">
        <v>35750000</v>
      </c>
      <c r="L199" t="s">
        <v>15</v>
      </c>
      <c r="M199" t="s">
        <v>7</v>
      </c>
      <c r="N199" t="b">
        <v>0</v>
      </c>
    </row>
    <row r="200" spans="1:14" x14ac:dyDescent="0.3">
      <c r="A200" t="s">
        <v>5</v>
      </c>
      <c r="B200" t="s">
        <v>15</v>
      </c>
      <c r="E200" t="s">
        <v>96</v>
      </c>
      <c r="G200">
        <v>1</v>
      </c>
      <c r="H200">
        <v>6</v>
      </c>
      <c r="I200" t="s">
        <v>97</v>
      </c>
      <c r="J200">
        <v>460000</v>
      </c>
      <c r="K200">
        <v>2760000</v>
      </c>
      <c r="L200" t="s">
        <v>15</v>
      </c>
      <c r="M200" t="s">
        <v>7</v>
      </c>
      <c r="N200" t="b">
        <v>0</v>
      </c>
    </row>
    <row r="201" spans="1:14" x14ac:dyDescent="0.3">
      <c r="A201" t="s">
        <v>5</v>
      </c>
      <c r="B201" t="s">
        <v>15</v>
      </c>
      <c r="C201">
        <v>11</v>
      </c>
      <c r="E201" t="s">
        <v>101</v>
      </c>
      <c r="H201">
        <v>5</v>
      </c>
      <c r="I201" t="s">
        <v>102</v>
      </c>
      <c r="J201">
        <v>13000000</v>
      </c>
      <c r="K201">
        <v>65000000</v>
      </c>
      <c r="L201" t="s">
        <v>15</v>
      </c>
      <c r="M201" t="s">
        <v>7</v>
      </c>
      <c r="N201" t="b">
        <v>0</v>
      </c>
    </row>
    <row r="202" spans="1:14" x14ac:dyDescent="0.3">
      <c r="A202" t="s">
        <v>5</v>
      </c>
      <c r="B202" t="s">
        <v>15</v>
      </c>
      <c r="C202">
        <v>12</v>
      </c>
      <c r="E202" t="s">
        <v>107</v>
      </c>
      <c r="H202">
        <v>0</v>
      </c>
      <c r="I202" t="s">
        <v>108</v>
      </c>
      <c r="K202">
        <v>0</v>
      </c>
      <c r="L202" t="s">
        <v>15</v>
      </c>
      <c r="M202" t="s">
        <v>7</v>
      </c>
      <c r="N202" t="b">
        <v>0</v>
      </c>
    </row>
    <row r="203" spans="1:14" x14ac:dyDescent="0.3">
      <c r="A203" t="s">
        <v>5</v>
      </c>
      <c r="B203" t="s">
        <v>16</v>
      </c>
      <c r="C203">
        <v>1</v>
      </c>
      <c r="D203" t="s">
        <v>144</v>
      </c>
      <c r="E203" t="s">
        <v>145</v>
      </c>
      <c r="F203" t="s">
        <v>146</v>
      </c>
      <c r="G203">
        <v>2</v>
      </c>
      <c r="H203">
        <v>2.8296000000000001</v>
      </c>
      <c r="I203" t="s">
        <v>46</v>
      </c>
      <c r="J203">
        <v>800000</v>
      </c>
      <c r="K203">
        <v>2263680</v>
      </c>
      <c r="L203" t="s">
        <v>16</v>
      </c>
      <c r="M203" t="s">
        <v>7</v>
      </c>
      <c r="N203" t="b">
        <v>0</v>
      </c>
    </row>
    <row r="204" spans="1:14" x14ac:dyDescent="0.3">
      <c r="A204" t="s">
        <v>5</v>
      </c>
      <c r="B204" t="s">
        <v>16</v>
      </c>
      <c r="E204" t="s">
        <v>147</v>
      </c>
      <c r="F204" t="s">
        <v>148</v>
      </c>
      <c r="G204">
        <v>2</v>
      </c>
      <c r="H204">
        <v>0.94320000000000004</v>
      </c>
      <c r="I204" t="s">
        <v>46</v>
      </c>
      <c r="J204">
        <v>800000</v>
      </c>
      <c r="K204">
        <v>754560</v>
      </c>
      <c r="L204" t="s">
        <v>16</v>
      </c>
      <c r="M204" t="s">
        <v>7</v>
      </c>
      <c r="N204" t="b">
        <v>0</v>
      </c>
    </row>
    <row r="205" spans="1:14" x14ac:dyDescent="0.3">
      <c r="A205" t="s">
        <v>5</v>
      </c>
      <c r="B205" t="s">
        <v>16</v>
      </c>
      <c r="E205" t="s">
        <v>149</v>
      </c>
      <c r="G205">
        <v>2</v>
      </c>
      <c r="I205" t="s">
        <v>61</v>
      </c>
      <c r="J205">
        <v>5000000</v>
      </c>
      <c r="K205">
        <v>10000000</v>
      </c>
      <c r="L205" t="s">
        <v>16</v>
      </c>
      <c r="M205" t="s">
        <v>7</v>
      </c>
      <c r="N205" t="b">
        <v>0</v>
      </c>
    </row>
    <row r="206" spans="1:14" x14ac:dyDescent="0.3">
      <c r="A206" t="s">
        <v>5</v>
      </c>
      <c r="B206" t="s">
        <v>16</v>
      </c>
      <c r="C206">
        <v>2</v>
      </c>
      <c r="E206" t="s">
        <v>150</v>
      </c>
      <c r="F206">
        <v>260</v>
      </c>
      <c r="G206">
        <v>2</v>
      </c>
      <c r="H206">
        <v>0.52</v>
      </c>
      <c r="I206" t="s">
        <v>151</v>
      </c>
      <c r="J206">
        <v>2000000</v>
      </c>
      <c r="K206">
        <v>1040000</v>
      </c>
      <c r="L206" t="s">
        <v>16</v>
      </c>
      <c r="M206" t="s">
        <v>7</v>
      </c>
      <c r="N206" t="b">
        <v>0</v>
      </c>
    </row>
    <row r="207" spans="1:14" x14ac:dyDescent="0.3">
      <c r="A207" t="s">
        <v>5</v>
      </c>
      <c r="B207" t="s">
        <v>16</v>
      </c>
      <c r="E207" t="s">
        <v>152</v>
      </c>
      <c r="G207">
        <v>10</v>
      </c>
      <c r="I207" t="s">
        <v>61</v>
      </c>
      <c r="J207">
        <v>200000</v>
      </c>
      <c r="K207">
        <v>2000000</v>
      </c>
      <c r="L207" t="s">
        <v>16</v>
      </c>
      <c r="M207" t="s">
        <v>7</v>
      </c>
      <c r="N207" t="b">
        <v>0</v>
      </c>
    </row>
    <row r="208" spans="1:14" x14ac:dyDescent="0.3">
      <c r="A208" t="s">
        <v>5</v>
      </c>
      <c r="B208" t="s">
        <v>16</v>
      </c>
      <c r="C208">
        <v>7</v>
      </c>
      <c r="E208" t="s">
        <v>153</v>
      </c>
      <c r="G208">
        <v>4</v>
      </c>
      <c r="H208">
        <v>4</v>
      </c>
      <c r="I208" t="s">
        <v>61</v>
      </c>
      <c r="J208">
        <v>300000</v>
      </c>
      <c r="K208">
        <v>1200000</v>
      </c>
      <c r="L208" t="s">
        <v>16</v>
      </c>
      <c r="M208" t="s">
        <v>7</v>
      </c>
      <c r="N208" t="b">
        <v>0</v>
      </c>
    </row>
    <row r="209" spans="1:14" x14ac:dyDescent="0.3">
      <c r="A209" t="s">
        <v>5</v>
      </c>
      <c r="B209" t="s">
        <v>16</v>
      </c>
      <c r="C209">
        <v>8</v>
      </c>
      <c r="E209" t="s">
        <v>134</v>
      </c>
      <c r="G209">
        <v>10</v>
      </c>
      <c r="H209">
        <v>10</v>
      </c>
      <c r="I209" t="s">
        <v>61</v>
      </c>
      <c r="J209">
        <v>30000</v>
      </c>
      <c r="K209">
        <v>300000</v>
      </c>
      <c r="L209" t="s">
        <v>16</v>
      </c>
      <c r="M209" t="s">
        <v>7</v>
      </c>
      <c r="N209" t="b">
        <v>0</v>
      </c>
    </row>
    <row r="210" spans="1:14" x14ac:dyDescent="0.3">
      <c r="A210" t="s">
        <v>5</v>
      </c>
      <c r="B210" t="s">
        <v>16</v>
      </c>
      <c r="C210">
        <v>9</v>
      </c>
      <c r="E210" t="s">
        <v>154</v>
      </c>
      <c r="G210">
        <v>4</v>
      </c>
      <c r="H210">
        <v>4</v>
      </c>
      <c r="I210" t="s">
        <v>61</v>
      </c>
      <c r="J210">
        <v>30000</v>
      </c>
      <c r="K210">
        <v>120000</v>
      </c>
      <c r="L210" t="s">
        <v>16</v>
      </c>
      <c r="M210" t="s">
        <v>7</v>
      </c>
      <c r="N210" t="b">
        <v>0</v>
      </c>
    </row>
    <row r="211" spans="1:14" x14ac:dyDescent="0.3">
      <c r="A211" t="s">
        <v>5</v>
      </c>
      <c r="B211" t="s">
        <v>16</v>
      </c>
      <c r="C211">
        <v>12</v>
      </c>
      <c r="E211" t="s">
        <v>120</v>
      </c>
      <c r="G211">
        <v>4</v>
      </c>
      <c r="H211">
        <v>4</v>
      </c>
      <c r="I211" t="s">
        <v>61</v>
      </c>
      <c r="J211">
        <v>30000</v>
      </c>
      <c r="K211">
        <v>120000</v>
      </c>
      <c r="L211" t="s">
        <v>16</v>
      </c>
      <c r="M211" t="s">
        <v>7</v>
      </c>
      <c r="N211" t="b">
        <v>0</v>
      </c>
    </row>
    <row r="212" spans="1:14" x14ac:dyDescent="0.3">
      <c r="A212" t="s">
        <v>5</v>
      </c>
      <c r="B212" t="s">
        <v>16</v>
      </c>
      <c r="C212">
        <v>13</v>
      </c>
      <c r="E212" t="s">
        <v>101</v>
      </c>
      <c r="H212">
        <v>1</v>
      </c>
      <c r="I212" t="s">
        <v>102</v>
      </c>
      <c r="J212">
        <v>13000000</v>
      </c>
      <c r="K212">
        <v>13000000</v>
      </c>
      <c r="L212" t="s">
        <v>16</v>
      </c>
      <c r="M212" t="s">
        <v>7</v>
      </c>
      <c r="N212" t="b">
        <v>0</v>
      </c>
    </row>
    <row r="213" spans="1:14" x14ac:dyDescent="0.3">
      <c r="A213" t="s">
        <v>5</v>
      </c>
      <c r="B213" t="s">
        <v>16</v>
      </c>
      <c r="C213">
        <v>14</v>
      </c>
      <c r="E213" t="s">
        <v>107</v>
      </c>
      <c r="H213">
        <v>0</v>
      </c>
      <c r="I213" t="s">
        <v>108</v>
      </c>
      <c r="K213">
        <v>0</v>
      </c>
      <c r="L213" t="s">
        <v>16</v>
      </c>
      <c r="M213" t="s">
        <v>7</v>
      </c>
      <c r="N213" t="b">
        <v>0</v>
      </c>
    </row>
    <row r="214" spans="1:14" x14ac:dyDescent="0.3">
      <c r="A214" t="s">
        <v>5</v>
      </c>
      <c r="B214" t="s">
        <v>16</v>
      </c>
      <c r="E214" t="s">
        <v>155</v>
      </c>
      <c r="F214">
        <v>300</v>
      </c>
      <c r="G214">
        <v>200</v>
      </c>
      <c r="H214">
        <v>3</v>
      </c>
      <c r="I214">
        <v>7.86</v>
      </c>
      <c r="K214">
        <v>1.4148000000000001</v>
      </c>
      <c r="L214" t="s">
        <v>16</v>
      </c>
      <c r="M214" t="s">
        <v>7</v>
      </c>
      <c r="N214" t="b">
        <v>0</v>
      </c>
    </row>
    <row r="215" spans="1:14" x14ac:dyDescent="0.3">
      <c r="A215" t="s">
        <v>5</v>
      </c>
      <c r="B215" t="s">
        <v>16</v>
      </c>
      <c r="E215" t="s">
        <v>156</v>
      </c>
      <c r="F215">
        <v>200</v>
      </c>
      <c r="G215">
        <v>100</v>
      </c>
      <c r="H215">
        <v>3</v>
      </c>
      <c r="I215">
        <v>7.86</v>
      </c>
      <c r="K215">
        <v>0.47160000000000002</v>
      </c>
      <c r="L215" t="s">
        <v>16</v>
      </c>
      <c r="M215" t="s">
        <v>7</v>
      </c>
      <c r="N215" t="b">
        <v>0</v>
      </c>
    </row>
    <row r="216" spans="1:14" x14ac:dyDescent="0.3">
      <c r="A216" t="s">
        <v>5</v>
      </c>
      <c r="B216" t="s">
        <v>17</v>
      </c>
      <c r="C216">
        <v>1</v>
      </c>
      <c r="D216" t="s">
        <v>75</v>
      </c>
      <c r="E216" t="s">
        <v>157</v>
      </c>
      <c r="G216">
        <v>1</v>
      </c>
      <c r="H216">
        <v>1.6485000000000001</v>
      </c>
      <c r="I216" t="s">
        <v>46</v>
      </c>
      <c r="J216">
        <v>700000</v>
      </c>
      <c r="K216">
        <v>1153950</v>
      </c>
      <c r="L216" t="s">
        <v>17</v>
      </c>
      <c r="M216" t="s">
        <v>7</v>
      </c>
      <c r="N216" t="b">
        <v>0</v>
      </c>
    </row>
    <row r="217" spans="1:14" x14ac:dyDescent="0.3">
      <c r="A217" t="s">
        <v>5</v>
      </c>
      <c r="B217" t="s">
        <v>17</v>
      </c>
      <c r="C217">
        <v>2</v>
      </c>
      <c r="D217" t="s">
        <v>75</v>
      </c>
      <c r="E217" t="s">
        <v>158</v>
      </c>
      <c r="G217">
        <v>2</v>
      </c>
      <c r="I217" t="s">
        <v>151</v>
      </c>
      <c r="J217">
        <v>1200000</v>
      </c>
      <c r="K217">
        <v>2400000</v>
      </c>
      <c r="L217" t="s">
        <v>17</v>
      </c>
      <c r="M217" t="s">
        <v>7</v>
      </c>
      <c r="N217" t="b">
        <v>0</v>
      </c>
    </row>
    <row r="218" spans="1:14" x14ac:dyDescent="0.3">
      <c r="A218" t="s">
        <v>5</v>
      </c>
      <c r="B218" t="s">
        <v>17</v>
      </c>
      <c r="C218">
        <v>3</v>
      </c>
      <c r="E218" t="s">
        <v>159</v>
      </c>
      <c r="G218">
        <v>2</v>
      </c>
      <c r="I218" t="s">
        <v>61</v>
      </c>
      <c r="J218">
        <v>100000</v>
      </c>
      <c r="K218">
        <v>200000</v>
      </c>
      <c r="L218" t="s">
        <v>17</v>
      </c>
      <c r="M218" t="s">
        <v>7</v>
      </c>
      <c r="N218" t="b">
        <v>0</v>
      </c>
    </row>
    <row r="219" spans="1:14" x14ac:dyDescent="0.3">
      <c r="A219" t="s">
        <v>5</v>
      </c>
      <c r="B219" t="s">
        <v>17</v>
      </c>
      <c r="C219">
        <v>4</v>
      </c>
      <c r="E219" t="s">
        <v>133</v>
      </c>
      <c r="G219">
        <v>6</v>
      </c>
      <c r="I219" t="s">
        <v>61</v>
      </c>
      <c r="J219">
        <v>10000</v>
      </c>
      <c r="K219">
        <v>60000</v>
      </c>
      <c r="L219" t="s">
        <v>17</v>
      </c>
      <c r="M219" t="s">
        <v>7</v>
      </c>
      <c r="N219" t="b">
        <v>0</v>
      </c>
    </row>
    <row r="220" spans="1:14" x14ac:dyDescent="0.3">
      <c r="A220" t="s">
        <v>5</v>
      </c>
      <c r="B220" t="s">
        <v>17</v>
      </c>
      <c r="C220">
        <v>5</v>
      </c>
      <c r="E220" t="s">
        <v>134</v>
      </c>
      <c r="G220">
        <v>6</v>
      </c>
      <c r="I220" t="s">
        <v>61</v>
      </c>
      <c r="J220">
        <v>5000</v>
      </c>
      <c r="K220">
        <v>30000</v>
      </c>
      <c r="L220" t="s">
        <v>17</v>
      </c>
      <c r="M220" t="s">
        <v>7</v>
      </c>
      <c r="N220" t="b">
        <v>0</v>
      </c>
    </row>
    <row r="221" spans="1:14" x14ac:dyDescent="0.3">
      <c r="A221" t="s">
        <v>5</v>
      </c>
      <c r="B221" t="s">
        <v>17</v>
      </c>
      <c r="C221">
        <v>6</v>
      </c>
      <c r="E221" t="s">
        <v>160</v>
      </c>
      <c r="G221">
        <v>2</v>
      </c>
      <c r="I221" t="s">
        <v>61</v>
      </c>
      <c r="J221">
        <v>500000</v>
      </c>
      <c r="K221">
        <v>1000000</v>
      </c>
      <c r="L221" t="s">
        <v>17</v>
      </c>
      <c r="M221" t="s">
        <v>7</v>
      </c>
      <c r="N221" t="b">
        <v>0</v>
      </c>
    </row>
    <row r="222" spans="1:14" x14ac:dyDescent="0.3">
      <c r="A222" t="s">
        <v>5</v>
      </c>
      <c r="B222" t="s">
        <v>17</v>
      </c>
      <c r="C222">
        <v>7</v>
      </c>
      <c r="E222" t="s">
        <v>161</v>
      </c>
      <c r="G222">
        <v>2</v>
      </c>
      <c r="I222" t="s">
        <v>61</v>
      </c>
      <c r="J222">
        <v>10000</v>
      </c>
      <c r="K222">
        <v>20000</v>
      </c>
      <c r="L222" t="s">
        <v>17</v>
      </c>
      <c r="M222" t="s">
        <v>7</v>
      </c>
      <c r="N222" t="b">
        <v>0</v>
      </c>
    </row>
    <row r="223" spans="1:14" x14ac:dyDescent="0.3">
      <c r="A223" t="s">
        <v>5</v>
      </c>
      <c r="B223" t="s">
        <v>17</v>
      </c>
      <c r="C223">
        <v>8</v>
      </c>
      <c r="E223" t="s">
        <v>142</v>
      </c>
      <c r="G223">
        <v>2</v>
      </c>
      <c r="I223" t="s">
        <v>61</v>
      </c>
      <c r="J223">
        <v>5000</v>
      </c>
      <c r="K223">
        <v>10000</v>
      </c>
      <c r="L223" t="s">
        <v>17</v>
      </c>
      <c r="M223" t="s">
        <v>7</v>
      </c>
      <c r="N223" t="b">
        <v>0</v>
      </c>
    </row>
    <row r="224" spans="1:14" x14ac:dyDescent="0.3">
      <c r="A224" t="s">
        <v>5</v>
      </c>
      <c r="B224" t="s">
        <v>17</v>
      </c>
      <c r="C224">
        <v>9</v>
      </c>
      <c r="E224" t="s">
        <v>114</v>
      </c>
      <c r="G224">
        <v>2</v>
      </c>
      <c r="I224" t="s">
        <v>61</v>
      </c>
      <c r="J224">
        <v>60000</v>
      </c>
      <c r="K224">
        <v>120000</v>
      </c>
      <c r="L224" t="s">
        <v>17</v>
      </c>
      <c r="M224" t="s">
        <v>7</v>
      </c>
      <c r="N224" t="b">
        <v>0</v>
      </c>
    </row>
    <row r="225" spans="1:14" x14ac:dyDescent="0.3">
      <c r="A225" t="s">
        <v>5</v>
      </c>
      <c r="B225" t="s">
        <v>17</v>
      </c>
      <c r="C225">
        <v>10</v>
      </c>
      <c r="E225" t="s">
        <v>101</v>
      </c>
      <c r="H225">
        <v>3</v>
      </c>
      <c r="I225" t="s">
        <v>102</v>
      </c>
      <c r="J225">
        <v>13000000</v>
      </c>
      <c r="K225">
        <v>39000000</v>
      </c>
      <c r="L225" t="s">
        <v>17</v>
      </c>
      <c r="M225" t="s">
        <v>7</v>
      </c>
      <c r="N225" t="b">
        <v>0</v>
      </c>
    </row>
    <row r="226" spans="1:14" x14ac:dyDescent="0.3">
      <c r="A226" t="s">
        <v>5</v>
      </c>
      <c r="B226" t="s">
        <v>17</v>
      </c>
      <c r="C226">
        <v>11</v>
      </c>
      <c r="E226" t="s">
        <v>107</v>
      </c>
      <c r="H226">
        <v>0</v>
      </c>
      <c r="I226" t="s">
        <v>108</v>
      </c>
      <c r="K226">
        <v>0</v>
      </c>
      <c r="L226" t="s">
        <v>17</v>
      </c>
      <c r="M226" t="s">
        <v>7</v>
      </c>
      <c r="N226" t="b">
        <v>0</v>
      </c>
    </row>
    <row r="227" spans="1:14" x14ac:dyDescent="0.3">
      <c r="A227" t="s">
        <v>5</v>
      </c>
      <c r="B227" t="s">
        <v>18</v>
      </c>
      <c r="C227">
        <v>1</v>
      </c>
      <c r="D227" t="s">
        <v>144</v>
      </c>
      <c r="E227" t="s">
        <v>145</v>
      </c>
      <c r="F227" t="s">
        <v>162</v>
      </c>
      <c r="G227">
        <v>1</v>
      </c>
      <c r="H227">
        <v>0.58950000000000002</v>
      </c>
      <c r="I227" t="s">
        <v>46</v>
      </c>
      <c r="J227">
        <v>800000</v>
      </c>
      <c r="K227">
        <v>471600</v>
      </c>
      <c r="L227" t="s">
        <v>18</v>
      </c>
      <c r="M227" t="s">
        <v>7</v>
      </c>
      <c r="N227" t="b">
        <v>0</v>
      </c>
    </row>
    <row r="228" spans="1:14" x14ac:dyDescent="0.3">
      <c r="A228" t="s">
        <v>5</v>
      </c>
      <c r="B228" t="s">
        <v>18</v>
      </c>
      <c r="C228">
        <v>2</v>
      </c>
      <c r="D228" t="s">
        <v>73</v>
      </c>
      <c r="E228" t="s">
        <v>163</v>
      </c>
      <c r="F228" t="s">
        <v>164</v>
      </c>
      <c r="G228">
        <v>2</v>
      </c>
      <c r="H228">
        <v>1.2631449600000002</v>
      </c>
      <c r="I228" t="s">
        <v>46</v>
      </c>
      <c r="J228">
        <v>1500000</v>
      </c>
      <c r="K228">
        <v>3000000</v>
      </c>
      <c r="L228" t="s">
        <v>18</v>
      </c>
      <c r="M228" t="s">
        <v>7</v>
      </c>
      <c r="N228" t="b">
        <v>0</v>
      </c>
    </row>
    <row r="229" spans="1:14" x14ac:dyDescent="0.3">
      <c r="A229" t="s">
        <v>5</v>
      </c>
      <c r="B229" t="s">
        <v>18</v>
      </c>
      <c r="C229">
        <v>7</v>
      </c>
      <c r="E229" t="s">
        <v>66</v>
      </c>
      <c r="G229">
        <v>2</v>
      </c>
      <c r="H229">
        <v>2</v>
      </c>
      <c r="I229" t="s">
        <v>61</v>
      </c>
      <c r="J229">
        <v>50000</v>
      </c>
      <c r="K229">
        <v>100000</v>
      </c>
      <c r="L229" t="s">
        <v>18</v>
      </c>
      <c r="M229" t="s">
        <v>7</v>
      </c>
      <c r="N229" t="b">
        <v>0</v>
      </c>
    </row>
    <row r="230" spans="1:14" x14ac:dyDescent="0.3">
      <c r="A230" t="s">
        <v>5</v>
      </c>
      <c r="B230" t="s">
        <v>18</v>
      </c>
      <c r="C230">
        <v>8</v>
      </c>
      <c r="E230" t="s">
        <v>141</v>
      </c>
      <c r="G230">
        <v>4</v>
      </c>
      <c r="H230">
        <v>4</v>
      </c>
      <c r="I230" t="s">
        <v>61</v>
      </c>
      <c r="J230">
        <v>30000</v>
      </c>
      <c r="K230">
        <v>120000</v>
      </c>
      <c r="L230" t="s">
        <v>18</v>
      </c>
      <c r="M230" t="s">
        <v>7</v>
      </c>
      <c r="N230" t="b">
        <v>0</v>
      </c>
    </row>
    <row r="231" spans="1:14" x14ac:dyDescent="0.3">
      <c r="A231" t="s">
        <v>5</v>
      </c>
      <c r="B231" t="s">
        <v>18</v>
      </c>
      <c r="C231">
        <v>9</v>
      </c>
      <c r="E231" t="s">
        <v>165</v>
      </c>
      <c r="G231">
        <v>1</v>
      </c>
      <c r="H231">
        <v>1</v>
      </c>
      <c r="I231" t="s">
        <v>61</v>
      </c>
      <c r="J231">
        <v>30000</v>
      </c>
      <c r="K231">
        <v>30000</v>
      </c>
      <c r="L231" t="s">
        <v>18</v>
      </c>
      <c r="M231" t="s">
        <v>7</v>
      </c>
      <c r="N231" t="b">
        <v>0</v>
      </c>
    </row>
    <row r="232" spans="1:14" x14ac:dyDescent="0.3">
      <c r="A232" t="s">
        <v>5</v>
      </c>
      <c r="B232" t="s">
        <v>18</v>
      </c>
      <c r="C232">
        <v>13</v>
      </c>
      <c r="E232" t="s">
        <v>101</v>
      </c>
      <c r="H232">
        <v>1</v>
      </c>
      <c r="I232" t="s">
        <v>102</v>
      </c>
      <c r="J232">
        <v>13000000</v>
      </c>
      <c r="K232">
        <v>13000000</v>
      </c>
      <c r="L232" t="s">
        <v>18</v>
      </c>
      <c r="M232" t="s">
        <v>7</v>
      </c>
      <c r="N232" t="b">
        <v>0</v>
      </c>
    </row>
    <row r="233" spans="1:14" x14ac:dyDescent="0.3">
      <c r="A233" t="s">
        <v>5</v>
      </c>
      <c r="B233" t="s">
        <v>18</v>
      </c>
      <c r="C233">
        <v>14</v>
      </c>
      <c r="E233" t="s">
        <v>107</v>
      </c>
      <c r="H233">
        <v>0</v>
      </c>
      <c r="I233" t="s">
        <v>108</v>
      </c>
      <c r="K233">
        <v>0</v>
      </c>
      <c r="L233" t="s">
        <v>18</v>
      </c>
      <c r="M233" t="s">
        <v>7</v>
      </c>
      <c r="N233" t="b">
        <v>0</v>
      </c>
    </row>
    <row r="234" spans="1:14" x14ac:dyDescent="0.3">
      <c r="A234" t="s">
        <v>5</v>
      </c>
      <c r="B234" t="s">
        <v>18</v>
      </c>
      <c r="E234" t="s">
        <v>155</v>
      </c>
      <c r="F234">
        <v>300</v>
      </c>
      <c r="G234">
        <v>100</v>
      </c>
      <c r="H234">
        <v>2.5</v>
      </c>
      <c r="I234">
        <v>7.86</v>
      </c>
      <c r="K234">
        <v>0.58950000000000002</v>
      </c>
      <c r="L234" t="s">
        <v>18</v>
      </c>
      <c r="M234" t="s">
        <v>7</v>
      </c>
      <c r="N234" t="b">
        <v>0</v>
      </c>
    </row>
    <row r="235" spans="1:14" x14ac:dyDescent="0.3">
      <c r="A235" t="s">
        <v>19</v>
      </c>
      <c r="B235" t="s">
        <v>20</v>
      </c>
      <c r="C235">
        <v>1</v>
      </c>
      <c r="D235" t="s">
        <v>44</v>
      </c>
      <c r="E235" t="s">
        <v>45</v>
      </c>
      <c r="F235">
        <v>2735</v>
      </c>
      <c r="G235">
        <v>2</v>
      </c>
      <c r="H235">
        <v>7.6580000000000004</v>
      </c>
      <c r="I235" t="s">
        <v>46</v>
      </c>
      <c r="J235">
        <v>8500000</v>
      </c>
      <c r="K235">
        <v>65092999.999999993</v>
      </c>
      <c r="L235" t="s">
        <v>20</v>
      </c>
      <c r="M235" t="s">
        <v>7</v>
      </c>
      <c r="N235" t="b">
        <v>0</v>
      </c>
    </row>
    <row r="236" spans="1:14" x14ac:dyDescent="0.3">
      <c r="A236" t="s">
        <v>19</v>
      </c>
      <c r="B236" t="s">
        <v>20</v>
      </c>
      <c r="C236">
        <v>2</v>
      </c>
      <c r="E236" t="s">
        <v>47</v>
      </c>
      <c r="F236">
        <v>2735</v>
      </c>
      <c r="G236">
        <v>0</v>
      </c>
      <c r="H236">
        <v>0</v>
      </c>
      <c r="I236" t="s">
        <v>46</v>
      </c>
      <c r="J236">
        <v>8500000</v>
      </c>
      <c r="K236">
        <v>0</v>
      </c>
      <c r="L236" t="s">
        <v>20</v>
      </c>
      <c r="M236" t="s">
        <v>7</v>
      </c>
      <c r="N236" t="b">
        <v>0</v>
      </c>
    </row>
    <row r="237" spans="1:14" x14ac:dyDescent="0.3">
      <c r="A237" t="s">
        <v>19</v>
      </c>
      <c r="B237" t="s">
        <v>20</v>
      </c>
      <c r="C237">
        <v>3</v>
      </c>
      <c r="E237" t="s">
        <v>166</v>
      </c>
      <c r="F237">
        <v>2703</v>
      </c>
      <c r="G237">
        <v>2</v>
      </c>
      <c r="H237">
        <v>11.8932</v>
      </c>
      <c r="I237" t="s">
        <v>46</v>
      </c>
      <c r="J237">
        <v>8500000</v>
      </c>
      <c r="K237">
        <v>101092200</v>
      </c>
      <c r="L237" t="s">
        <v>20</v>
      </c>
      <c r="M237" t="s">
        <v>7</v>
      </c>
      <c r="N237" t="b">
        <v>0</v>
      </c>
    </row>
    <row r="238" spans="1:14" x14ac:dyDescent="0.3">
      <c r="A238" t="s">
        <v>19</v>
      </c>
      <c r="B238" t="s">
        <v>20</v>
      </c>
      <c r="C238">
        <v>4</v>
      </c>
      <c r="E238" t="s">
        <v>49</v>
      </c>
      <c r="F238">
        <v>120</v>
      </c>
      <c r="G238">
        <v>4</v>
      </c>
      <c r="H238">
        <v>0.48</v>
      </c>
      <c r="I238" t="s">
        <v>46</v>
      </c>
      <c r="J238">
        <v>8500000</v>
      </c>
      <c r="K238">
        <v>4080000</v>
      </c>
      <c r="L238" t="s">
        <v>20</v>
      </c>
      <c r="M238" t="s">
        <v>7</v>
      </c>
      <c r="N238" t="b">
        <v>0</v>
      </c>
    </row>
    <row r="239" spans="1:14" x14ac:dyDescent="0.3">
      <c r="A239" t="s">
        <v>19</v>
      </c>
      <c r="B239" t="s">
        <v>20</v>
      </c>
      <c r="C239">
        <v>5</v>
      </c>
      <c r="E239" t="s">
        <v>50</v>
      </c>
      <c r="F239">
        <v>180</v>
      </c>
      <c r="G239">
        <v>4</v>
      </c>
      <c r="H239">
        <v>1.1838960000000001</v>
      </c>
      <c r="I239" t="s">
        <v>46</v>
      </c>
      <c r="J239">
        <v>8500000</v>
      </c>
      <c r="K239">
        <v>10063116</v>
      </c>
      <c r="L239" t="s">
        <v>20</v>
      </c>
      <c r="M239" t="s">
        <v>7</v>
      </c>
      <c r="N239" t="b">
        <v>0</v>
      </c>
    </row>
    <row r="240" spans="1:14" x14ac:dyDescent="0.3">
      <c r="A240" t="s">
        <v>19</v>
      </c>
      <c r="B240" t="s">
        <v>20</v>
      </c>
      <c r="C240">
        <v>6</v>
      </c>
      <c r="E240" t="s">
        <v>51</v>
      </c>
      <c r="F240">
        <v>2970</v>
      </c>
      <c r="G240">
        <v>4</v>
      </c>
      <c r="H240">
        <v>26.943840000000009</v>
      </c>
      <c r="I240" t="s">
        <v>46</v>
      </c>
      <c r="J240">
        <v>8500000</v>
      </c>
      <c r="K240">
        <v>229022640.00000009</v>
      </c>
      <c r="L240" t="s">
        <v>20</v>
      </c>
      <c r="M240" t="s">
        <v>7</v>
      </c>
      <c r="N240" t="b">
        <v>0</v>
      </c>
    </row>
    <row r="241" spans="1:14" x14ac:dyDescent="0.3">
      <c r="A241" t="s">
        <v>19</v>
      </c>
      <c r="B241" t="s">
        <v>20</v>
      </c>
      <c r="C241">
        <v>7</v>
      </c>
      <c r="D241" t="s">
        <v>52</v>
      </c>
      <c r="E241" t="s">
        <v>53</v>
      </c>
      <c r="F241">
        <v>0.13</v>
      </c>
      <c r="G241">
        <v>3.706560000000001</v>
      </c>
      <c r="H241">
        <v>3.706560000000001</v>
      </c>
      <c r="I241" t="s">
        <v>54</v>
      </c>
      <c r="J241">
        <v>4275000</v>
      </c>
      <c r="K241">
        <v>15845544.000000002</v>
      </c>
      <c r="L241" t="s">
        <v>20</v>
      </c>
      <c r="M241" t="s">
        <v>7</v>
      </c>
      <c r="N241" t="b">
        <v>0</v>
      </c>
    </row>
    <row r="242" spans="1:14" x14ac:dyDescent="0.3">
      <c r="A242" t="s">
        <v>19</v>
      </c>
      <c r="B242" t="s">
        <v>20</v>
      </c>
      <c r="C242">
        <v>8</v>
      </c>
      <c r="E242" t="s">
        <v>55</v>
      </c>
      <c r="F242">
        <v>0.35</v>
      </c>
      <c r="G242">
        <v>1.6308864000000001</v>
      </c>
      <c r="H242">
        <v>1.6308864000000001</v>
      </c>
      <c r="I242" t="s">
        <v>46</v>
      </c>
      <c r="J242">
        <v>35750000</v>
      </c>
      <c r="K242">
        <v>58304188.799999997</v>
      </c>
      <c r="L242" t="s">
        <v>20</v>
      </c>
      <c r="M242" t="s">
        <v>7</v>
      </c>
      <c r="N242" t="b">
        <v>0</v>
      </c>
    </row>
    <row r="243" spans="1:14" x14ac:dyDescent="0.3">
      <c r="A243" t="s">
        <v>19</v>
      </c>
      <c r="B243" t="s">
        <v>20</v>
      </c>
      <c r="C243">
        <v>9</v>
      </c>
      <c r="E243" t="s">
        <v>55</v>
      </c>
      <c r="F243">
        <v>0.2</v>
      </c>
      <c r="G243">
        <v>0</v>
      </c>
      <c r="H243">
        <v>0</v>
      </c>
      <c r="I243" t="s">
        <v>46</v>
      </c>
      <c r="J243">
        <v>45760000</v>
      </c>
      <c r="K243">
        <v>0</v>
      </c>
      <c r="L243" t="s">
        <v>20</v>
      </c>
      <c r="M243" t="s">
        <v>7</v>
      </c>
      <c r="N243" t="b">
        <v>0</v>
      </c>
    </row>
    <row r="244" spans="1:14" x14ac:dyDescent="0.3">
      <c r="A244" t="s">
        <v>19</v>
      </c>
      <c r="B244" t="s">
        <v>20</v>
      </c>
      <c r="C244">
        <v>10</v>
      </c>
      <c r="D244" t="s">
        <v>56</v>
      </c>
      <c r="E244" t="s">
        <v>57</v>
      </c>
      <c r="G244">
        <v>19.551200000000001</v>
      </c>
      <c r="H244">
        <v>19.551200000000001</v>
      </c>
      <c r="I244" t="s">
        <v>46</v>
      </c>
      <c r="J244">
        <v>1430000</v>
      </c>
      <c r="K244">
        <v>27958216.000000004</v>
      </c>
      <c r="L244" t="s">
        <v>20</v>
      </c>
      <c r="M244" t="s">
        <v>7</v>
      </c>
      <c r="N244" t="b">
        <v>0</v>
      </c>
    </row>
    <row r="245" spans="1:14" x14ac:dyDescent="0.3">
      <c r="A245" t="s">
        <v>19</v>
      </c>
      <c r="B245" t="s">
        <v>20</v>
      </c>
      <c r="C245">
        <v>11</v>
      </c>
      <c r="D245" t="s">
        <v>58</v>
      </c>
      <c r="E245" t="s">
        <v>59</v>
      </c>
      <c r="G245">
        <v>8</v>
      </c>
      <c r="H245">
        <v>8</v>
      </c>
      <c r="I245" t="s">
        <v>46</v>
      </c>
      <c r="J245">
        <v>1600000</v>
      </c>
      <c r="K245">
        <v>12800000</v>
      </c>
      <c r="L245" t="s">
        <v>20</v>
      </c>
      <c r="M245" t="s">
        <v>7</v>
      </c>
      <c r="N245" t="b">
        <v>0</v>
      </c>
    </row>
    <row r="246" spans="1:14" x14ac:dyDescent="0.3">
      <c r="A246" t="s">
        <v>19</v>
      </c>
      <c r="B246" t="s">
        <v>20</v>
      </c>
      <c r="C246">
        <v>12</v>
      </c>
      <c r="E246" t="s">
        <v>60</v>
      </c>
      <c r="G246">
        <v>26.943840000000009</v>
      </c>
      <c r="H246">
        <v>26.943840000000009</v>
      </c>
      <c r="I246" t="s">
        <v>61</v>
      </c>
      <c r="J246">
        <v>3600000</v>
      </c>
      <c r="K246">
        <v>96997824.000000045</v>
      </c>
      <c r="L246" t="s">
        <v>20</v>
      </c>
      <c r="M246" t="s">
        <v>7</v>
      </c>
      <c r="N246" t="b">
        <v>0</v>
      </c>
    </row>
    <row r="247" spans="1:14" x14ac:dyDescent="0.3">
      <c r="A247" t="s">
        <v>19</v>
      </c>
      <c r="B247" t="s">
        <v>20</v>
      </c>
      <c r="C247">
        <v>13</v>
      </c>
      <c r="D247" t="s">
        <v>62</v>
      </c>
      <c r="E247" t="s">
        <v>63</v>
      </c>
      <c r="G247">
        <v>11.88</v>
      </c>
      <c r="H247">
        <v>11.88</v>
      </c>
      <c r="I247" t="s">
        <v>61</v>
      </c>
      <c r="J247">
        <v>3600000</v>
      </c>
      <c r="K247">
        <v>42768000</v>
      </c>
      <c r="L247" t="s">
        <v>20</v>
      </c>
      <c r="M247" t="s">
        <v>7</v>
      </c>
      <c r="N247" t="b">
        <v>0</v>
      </c>
    </row>
    <row r="248" spans="1:14" x14ac:dyDescent="0.3">
      <c r="A248" t="s">
        <v>19</v>
      </c>
      <c r="B248" t="s">
        <v>20</v>
      </c>
      <c r="C248">
        <v>14</v>
      </c>
      <c r="E248" t="s">
        <v>64</v>
      </c>
      <c r="G248">
        <v>0.1</v>
      </c>
      <c r="H248">
        <v>0.1</v>
      </c>
      <c r="I248" t="s">
        <v>61</v>
      </c>
      <c r="J248">
        <v>5500000</v>
      </c>
      <c r="K248">
        <v>550000</v>
      </c>
      <c r="L248" t="s">
        <v>20</v>
      </c>
      <c r="M248" t="s">
        <v>7</v>
      </c>
      <c r="N248" t="b">
        <v>0</v>
      </c>
    </row>
    <row r="249" spans="1:14" x14ac:dyDescent="0.3">
      <c r="A249" t="s">
        <v>19</v>
      </c>
      <c r="B249" t="s">
        <v>20</v>
      </c>
      <c r="C249">
        <v>15</v>
      </c>
      <c r="D249" t="s">
        <v>65</v>
      </c>
      <c r="E249" t="s">
        <v>66</v>
      </c>
      <c r="G249" t="s">
        <v>67</v>
      </c>
      <c r="H249" t="s">
        <v>67</v>
      </c>
      <c r="I249" t="s">
        <v>61</v>
      </c>
      <c r="J249">
        <v>200000</v>
      </c>
      <c r="K249">
        <v>16000000</v>
      </c>
      <c r="L249" t="s">
        <v>20</v>
      </c>
      <c r="M249" t="s">
        <v>7</v>
      </c>
      <c r="N249" t="b">
        <v>0</v>
      </c>
    </row>
    <row r="250" spans="1:14" x14ac:dyDescent="0.3">
      <c r="A250" t="s">
        <v>19</v>
      </c>
      <c r="B250" t="s">
        <v>20</v>
      </c>
      <c r="C250">
        <v>16</v>
      </c>
      <c r="E250" t="s">
        <v>68</v>
      </c>
      <c r="G250">
        <v>8</v>
      </c>
      <c r="H250">
        <v>8</v>
      </c>
      <c r="I250" t="s">
        <v>61</v>
      </c>
      <c r="J250">
        <v>200000</v>
      </c>
      <c r="K250">
        <v>1600000</v>
      </c>
      <c r="L250" t="s">
        <v>20</v>
      </c>
      <c r="M250" t="s">
        <v>7</v>
      </c>
      <c r="N250" t="b">
        <v>0</v>
      </c>
    </row>
    <row r="251" spans="1:14" x14ac:dyDescent="0.3">
      <c r="A251" t="s">
        <v>19</v>
      </c>
      <c r="B251" t="s">
        <v>20</v>
      </c>
      <c r="C251">
        <v>17</v>
      </c>
      <c r="E251" t="s">
        <v>69</v>
      </c>
      <c r="G251">
        <v>88</v>
      </c>
      <c r="H251">
        <v>88</v>
      </c>
      <c r="I251" t="s">
        <v>61</v>
      </c>
      <c r="J251">
        <v>200000</v>
      </c>
      <c r="K251">
        <v>17600000</v>
      </c>
      <c r="L251" t="s">
        <v>20</v>
      </c>
      <c r="M251" t="s">
        <v>7</v>
      </c>
      <c r="N251" t="b">
        <v>0</v>
      </c>
    </row>
    <row r="252" spans="1:14" x14ac:dyDescent="0.3">
      <c r="A252" t="s">
        <v>19</v>
      </c>
      <c r="B252" t="s">
        <v>20</v>
      </c>
      <c r="C252">
        <v>18</v>
      </c>
      <c r="E252" t="s">
        <v>70</v>
      </c>
      <c r="G252">
        <v>16</v>
      </c>
      <c r="H252">
        <v>16</v>
      </c>
      <c r="I252" t="s">
        <v>61</v>
      </c>
      <c r="J252">
        <v>400000</v>
      </c>
      <c r="K252">
        <v>6400000</v>
      </c>
      <c r="L252" t="s">
        <v>20</v>
      </c>
      <c r="M252" t="s">
        <v>7</v>
      </c>
      <c r="N252" t="b">
        <v>0</v>
      </c>
    </row>
    <row r="253" spans="1:14" x14ac:dyDescent="0.3">
      <c r="A253" t="s">
        <v>19</v>
      </c>
      <c r="B253" t="s">
        <v>20</v>
      </c>
      <c r="C253">
        <v>19</v>
      </c>
      <c r="E253" t="s">
        <v>71</v>
      </c>
      <c r="G253">
        <v>16</v>
      </c>
      <c r="H253">
        <v>16</v>
      </c>
      <c r="I253" t="s">
        <v>61</v>
      </c>
      <c r="J253">
        <v>120000</v>
      </c>
      <c r="K253">
        <v>1920000</v>
      </c>
      <c r="L253" t="s">
        <v>20</v>
      </c>
      <c r="M253" t="s">
        <v>7</v>
      </c>
      <c r="N253" t="b">
        <v>0</v>
      </c>
    </row>
    <row r="254" spans="1:14" x14ac:dyDescent="0.3">
      <c r="A254" t="s">
        <v>19</v>
      </c>
      <c r="B254" t="s">
        <v>20</v>
      </c>
      <c r="C254">
        <v>20</v>
      </c>
      <c r="E254" t="s">
        <v>72</v>
      </c>
      <c r="G254">
        <v>24</v>
      </c>
      <c r="H254">
        <v>24</v>
      </c>
      <c r="I254" t="s">
        <v>61</v>
      </c>
      <c r="J254">
        <v>400000</v>
      </c>
      <c r="K254">
        <v>9600000</v>
      </c>
      <c r="L254" t="s">
        <v>20</v>
      </c>
      <c r="M254" t="s">
        <v>7</v>
      </c>
      <c r="N254" t="b">
        <v>0</v>
      </c>
    </row>
    <row r="255" spans="1:14" x14ac:dyDescent="0.3">
      <c r="A255" t="s">
        <v>19</v>
      </c>
      <c r="B255" t="s">
        <v>20</v>
      </c>
      <c r="C255">
        <v>21</v>
      </c>
      <c r="D255" t="s">
        <v>73</v>
      </c>
      <c r="E255" t="s">
        <v>74</v>
      </c>
      <c r="F255">
        <v>132</v>
      </c>
      <c r="G255">
        <v>8</v>
      </c>
      <c r="H255">
        <v>3.9739391999999998</v>
      </c>
      <c r="I255" t="s">
        <v>46</v>
      </c>
      <c r="J255">
        <v>35000000</v>
      </c>
      <c r="K255">
        <v>139087872</v>
      </c>
      <c r="L255" t="s">
        <v>20</v>
      </c>
      <c r="M255" t="s">
        <v>7</v>
      </c>
      <c r="N255" t="b">
        <v>0</v>
      </c>
    </row>
    <row r="256" spans="1:14" x14ac:dyDescent="0.3">
      <c r="A256" t="s">
        <v>19</v>
      </c>
      <c r="B256" t="s">
        <v>20</v>
      </c>
      <c r="C256">
        <v>22</v>
      </c>
      <c r="D256" t="s">
        <v>75</v>
      </c>
      <c r="E256" t="s">
        <v>76</v>
      </c>
      <c r="F256" t="s">
        <v>77</v>
      </c>
      <c r="G256">
        <v>2</v>
      </c>
      <c r="H256">
        <v>1.2</v>
      </c>
      <c r="I256" t="s">
        <v>46</v>
      </c>
      <c r="J256">
        <v>5200000</v>
      </c>
      <c r="K256">
        <v>6240000</v>
      </c>
      <c r="L256" t="s">
        <v>20</v>
      </c>
      <c r="M256" t="s">
        <v>7</v>
      </c>
      <c r="N256" t="b">
        <v>0</v>
      </c>
    </row>
    <row r="257" spans="1:14" x14ac:dyDescent="0.3">
      <c r="A257" t="s">
        <v>19</v>
      </c>
      <c r="B257" t="s">
        <v>20</v>
      </c>
      <c r="C257">
        <v>23</v>
      </c>
      <c r="E257" t="s">
        <v>78</v>
      </c>
      <c r="F257" t="s">
        <v>79</v>
      </c>
      <c r="G257">
        <v>2</v>
      </c>
      <c r="H257">
        <v>1.2</v>
      </c>
      <c r="I257" t="s">
        <v>46</v>
      </c>
      <c r="J257">
        <v>5200000</v>
      </c>
      <c r="K257">
        <v>6240000</v>
      </c>
      <c r="L257" t="s">
        <v>20</v>
      </c>
      <c r="M257" t="s">
        <v>7</v>
      </c>
      <c r="N257" t="b">
        <v>0</v>
      </c>
    </row>
    <row r="258" spans="1:14" x14ac:dyDescent="0.3">
      <c r="A258" t="s">
        <v>19</v>
      </c>
      <c r="B258" t="s">
        <v>20</v>
      </c>
      <c r="C258">
        <v>24</v>
      </c>
      <c r="D258" t="s">
        <v>80</v>
      </c>
      <c r="E258" t="s">
        <v>81</v>
      </c>
      <c r="F258" t="s">
        <v>167</v>
      </c>
      <c r="G258">
        <v>2</v>
      </c>
      <c r="H258">
        <v>0.71719899999999992</v>
      </c>
      <c r="I258" t="s">
        <v>46</v>
      </c>
      <c r="J258">
        <v>8500000</v>
      </c>
      <c r="K258">
        <v>6096191.4999999991</v>
      </c>
      <c r="L258" t="s">
        <v>20</v>
      </c>
      <c r="M258" t="s">
        <v>7</v>
      </c>
      <c r="N258" t="b">
        <v>0</v>
      </c>
    </row>
    <row r="259" spans="1:14" x14ac:dyDescent="0.3">
      <c r="A259" t="s">
        <v>19</v>
      </c>
      <c r="B259" t="s">
        <v>20</v>
      </c>
      <c r="C259">
        <v>25</v>
      </c>
      <c r="D259" t="s">
        <v>83</v>
      </c>
      <c r="E259" t="s">
        <v>84</v>
      </c>
      <c r="F259">
        <v>0.18</v>
      </c>
      <c r="G259" t="s">
        <v>85</v>
      </c>
      <c r="H259" t="s">
        <v>85</v>
      </c>
      <c r="I259" t="s">
        <v>61</v>
      </c>
      <c r="J259">
        <v>910000</v>
      </c>
      <c r="K259">
        <v>1820000</v>
      </c>
      <c r="L259" t="s">
        <v>20</v>
      </c>
      <c r="M259" t="s">
        <v>7</v>
      </c>
      <c r="N259" t="b">
        <v>0</v>
      </c>
    </row>
    <row r="260" spans="1:14" x14ac:dyDescent="0.3">
      <c r="A260" t="s">
        <v>19</v>
      </c>
      <c r="B260" t="s">
        <v>20</v>
      </c>
      <c r="C260">
        <v>26</v>
      </c>
      <c r="E260" t="s">
        <v>86</v>
      </c>
      <c r="F260">
        <v>0.2</v>
      </c>
      <c r="G260" t="s">
        <v>87</v>
      </c>
      <c r="H260" t="s">
        <v>87</v>
      </c>
      <c r="I260" t="s">
        <v>61</v>
      </c>
      <c r="J260">
        <v>910000</v>
      </c>
      <c r="K260">
        <v>2730000</v>
      </c>
      <c r="L260" t="s">
        <v>20</v>
      </c>
      <c r="M260" t="s">
        <v>7</v>
      </c>
      <c r="N260" t="b">
        <v>0</v>
      </c>
    </row>
    <row r="261" spans="1:14" x14ac:dyDescent="0.3">
      <c r="A261" t="s">
        <v>19</v>
      </c>
      <c r="B261" t="s">
        <v>20</v>
      </c>
      <c r="C261">
        <v>27</v>
      </c>
      <c r="D261" t="s">
        <v>88</v>
      </c>
      <c r="E261" t="s">
        <v>89</v>
      </c>
      <c r="F261" t="s">
        <v>90</v>
      </c>
      <c r="G261">
        <v>1</v>
      </c>
      <c r="H261">
        <v>1</v>
      </c>
      <c r="I261" t="s">
        <v>61</v>
      </c>
      <c r="J261">
        <v>100000</v>
      </c>
      <c r="K261">
        <v>100000</v>
      </c>
      <c r="L261" t="s">
        <v>20</v>
      </c>
      <c r="M261" t="s">
        <v>7</v>
      </c>
      <c r="N261" t="b">
        <v>0</v>
      </c>
    </row>
    <row r="262" spans="1:14" x14ac:dyDescent="0.3">
      <c r="A262" t="s">
        <v>19</v>
      </c>
      <c r="B262" t="s">
        <v>20</v>
      </c>
      <c r="C262">
        <v>28</v>
      </c>
      <c r="D262" t="s">
        <v>65</v>
      </c>
      <c r="E262" t="s">
        <v>91</v>
      </c>
      <c r="G262">
        <v>2</v>
      </c>
      <c r="H262">
        <v>2</v>
      </c>
      <c r="I262" t="s">
        <v>61</v>
      </c>
      <c r="J262">
        <v>2400000</v>
      </c>
      <c r="K262">
        <v>4800000</v>
      </c>
      <c r="L262" t="s">
        <v>20</v>
      </c>
      <c r="M262" t="s">
        <v>7</v>
      </c>
      <c r="N262" t="b">
        <v>0</v>
      </c>
    </row>
    <row r="263" spans="1:14" x14ac:dyDescent="0.3">
      <c r="A263" t="s">
        <v>19</v>
      </c>
      <c r="B263" t="s">
        <v>20</v>
      </c>
      <c r="C263">
        <v>29</v>
      </c>
      <c r="E263" t="s">
        <v>92</v>
      </c>
      <c r="G263">
        <v>2</v>
      </c>
      <c r="H263">
        <v>2</v>
      </c>
      <c r="I263" t="s">
        <v>61</v>
      </c>
      <c r="J263">
        <v>2400000</v>
      </c>
      <c r="K263">
        <v>4800000</v>
      </c>
      <c r="L263" t="s">
        <v>20</v>
      </c>
      <c r="M263" t="s">
        <v>7</v>
      </c>
      <c r="N263" t="b">
        <v>0</v>
      </c>
    </row>
    <row r="264" spans="1:14" x14ac:dyDescent="0.3">
      <c r="A264" t="s">
        <v>19</v>
      </c>
      <c r="B264" t="s">
        <v>20</v>
      </c>
      <c r="C264">
        <v>30</v>
      </c>
      <c r="E264" t="s">
        <v>93</v>
      </c>
      <c r="G264">
        <v>2</v>
      </c>
      <c r="H264">
        <v>2</v>
      </c>
      <c r="I264" t="s">
        <v>61</v>
      </c>
      <c r="J264">
        <v>3000000</v>
      </c>
      <c r="K264">
        <v>6000000</v>
      </c>
      <c r="L264" t="s">
        <v>20</v>
      </c>
      <c r="M264" t="s">
        <v>7</v>
      </c>
      <c r="N264" t="b">
        <v>0</v>
      </c>
    </row>
    <row r="265" spans="1:14" x14ac:dyDescent="0.3">
      <c r="A265" t="s">
        <v>19</v>
      </c>
      <c r="B265" t="s">
        <v>20</v>
      </c>
      <c r="C265">
        <v>31</v>
      </c>
      <c r="D265" t="s">
        <v>94</v>
      </c>
      <c r="E265" t="s">
        <v>95</v>
      </c>
      <c r="G265">
        <v>2</v>
      </c>
      <c r="H265">
        <v>2</v>
      </c>
      <c r="I265" t="s">
        <v>61</v>
      </c>
      <c r="J265">
        <v>1300000</v>
      </c>
      <c r="K265">
        <v>2600000</v>
      </c>
      <c r="L265" t="s">
        <v>20</v>
      </c>
      <c r="M265" t="s">
        <v>7</v>
      </c>
      <c r="N265" t="b">
        <v>0</v>
      </c>
    </row>
    <row r="266" spans="1:14" x14ac:dyDescent="0.3">
      <c r="A266" t="s">
        <v>19</v>
      </c>
      <c r="B266" t="s">
        <v>20</v>
      </c>
      <c r="C266">
        <v>32</v>
      </c>
      <c r="D266" t="s">
        <v>94</v>
      </c>
      <c r="E266" t="s">
        <v>96</v>
      </c>
      <c r="G266">
        <v>4</v>
      </c>
      <c r="H266">
        <v>10.811999999999999</v>
      </c>
      <c r="I266" t="s">
        <v>97</v>
      </c>
      <c r="J266">
        <v>460000</v>
      </c>
      <c r="K266">
        <v>4973520</v>
      </c>
      <c r="L266" t="s">
        <v>20</v>
      </c>
      <c r="M266" t="s">
        <v>7</v>
      </c>
      <c r="N266" t="b">
        <v>0</v>
      </c>
    </row>
    <row r="267" spans="1:14" x14ac:dyDescent="0.3">
      <c r="A267" t="s">
        <v>19</v>
      </c>
      <c r="B267" t="s">
        <v>20</v>
      </c>
      <c r="C267">
        <v>33</v>
      </c>
      <c r="D267" t="s">
        <v>98</v>
      </c>
      <c r="E267" t="s">
        <v>99</v>
      </c>
      <c r="F267">
        <v>50</v>
      </c>
      <c r="G267">
        <v>8</v>
      </c>
      <c r="H267">
        <v>0.8</v>
      </c>
      <c r="I267" t="s">
        <v>100</v>
      </c>
      <c r="J267">
        <v>9739400</v>
      </c>
      <c r="K267">
        <v>7791520</v>
      </c>
      <c r="L267" t="s">
        <v>20</v>
      </c>
      <c r="M267" t="s">
        <v>7</v>
      </c>
      <c r="N267" t="b">
        <v>0</v>
      </c>
    </row>
    <row r="268" spans="1:14" x14ac:dyDescent="0.3">
      <c r="A268" t="s">
        <v>19</v>
      </c>
      <c r="B268" t="s">
        <v>20</v>
      </c>
      <c r="C268">
        <v>28</v>
      </c>
      <c r="E268" t="s">
        <v>101</v>
      </c>
      <c r="H268">
        <v>8</v>
      </c>
      <c r="I268" t="s">
        <v>102</v>
      </c>
      <c r="J268">
        <v>13000000</v>
      </c>
      <c r="K268">
        <v>104000000</v>
      </c>
      <c r="L268" t="s">
        <v>20</v>
      </c>
      <c r="M268" t="s">
        <v>7</v>
      </c>
      <c r="N268" t="b">
        <v>0</v>
      </c>
    </row>
    <row r="269" spans="1:14" x14ac:dyDescent="0.3">
      <c r="A269" t="s">
        <v>19</v>
      </c>
      <c r="B269" t="s">
        <v>8</v>
      </c>
      <c r="C269">
        <v>1</v>
      </c>
      <c r="D269" t="s">
        <v>44</v>
      </c>
      <c r="E269" t="s">
        <v>45</v>
      </c>
      <c r="F269">
        <v>0.76800000000000002</v>
      </c>
      <c r="G269">
        <v>2</v>
      </c>
      <c r="H269">
        <v>2.1503999999999999</v>
      </c>
      <c r="I269" t="s">
        <v>46</v>
      </c>
      <c r="J269">
        <v>8500000</v>
      </c>
      <c r="K269">
        <v>18278400</v>
      </c>
      <c r="L269" t="s">
        <v>8</v>
      </c>
      <c r="M269" t="s">
        <v>7</v>
      </c>
      <c r="N269" t="b">
        <v>0</v>
      </c>
    </row>
    <row r="270" spans="1:14" x14ac:dyDescent="0.3">
      <c r="A270" t="s">
        <v>19</v>
      </c>
      <c r="B270" t="s">
        <v>8</v>
      </c>
      <c r="C270">
        <v>2</v>
      </c>
      <c r="E270" t="s">
        <v>47</v>
      </c>
      <c r="F270">
        <v>0</v>
      </c>
      <c r="G270">
        <v>0</v>
      </c>
      <c r="H270">
        <v>0</v>
      </c>
      <c r="I270" t="s">
        <v>46</v>
      </c>
      <c r="J270">
        <v>8500000</v>
      </c>
      <c r="K270">
        <v>0</v>
      </c>
      <c r="L270" t="s">
        <v>8</v>
      </c>
      <c r="M270" t="s">
        <v>7</v>
      </c>
      <c r="N270" t="b">
        <v>0</v>
      </c>
    </row>
    <row r="271" spans="1:14" x14ac:dyDescent="0.3">
      <c r="A271" t="s">
        <v>19</v>
      </c>
      <c r="B271" t="s">
        <v>8</v>
      </c>
      <c r="C271">
        <v>3</v>
      </c>
      <c r="E271" t="s">
        <v>166</v>
      </c>
      <c r="F271">
        <v>0.70299999999999996</v>
      </c>
      <c r="G271">
        <v>2</v>
      </c>
      <c r="H271">
        <v>3.0931999999999999</v>
      </c>
      <c r="I271" t="s">
        <v>46</v>
      </c>
      <c r="J271">
        <v>8500000</v>
      </c>
      <c r="K271">
        <v>26292200</v>
      </c>
      <c r="L271" t="s">
        <v>8</v>
      </c>
      <c r="M271" t="s">
        <v>7</v>
      </c>
      <c r="N271" t="b">
        <v>0</v>
      </c>
    </row>
    <row r="272" spans="1:14" x14ac:dyDescent="0.3">
      <c r="A272" t="s">
        <v>19</v>
      </c>
      <c r="B272" t="s">
        <v>8</v>
      </c>
      <c r="C272">
        <v>4</v>
      </c>
      <c r="E272" t="s">
        <v>49</v>
      </c>
      <c r="F272">
        <v>120</v>
      </c>
      <c r="G272">
        <v>4</v>
      </c>
      <c r="H272">
        <v>0.48</v>
      </c>
      <c r="I272" t="s">
        <v>46</v>
      </c>
      <c r="J272">
        <v>8500000</v>
      </c>
      <c r="K272">
        <v>4080000</v>
      </c>
      <c r="L272" t="s">
        <v>8</v>
      </c>
      <c r="M272" t="s">
        <v>7</v>
      </c>
      <c r="N272" t="b">
        <v>0</v>
      </c>
    </row>
    <row r="273" spans="1:14" x14ac:dyDescent="0.3">
      <c r="A273" t="s">
        <v>19</v>
      </c>
      <c r="B273" t="s">
        <v>8</v>
      </c>
      <c r="C273">
        <v>5</v>
      </c>
      <c r="E273" t="s">
        <v>50</v>
      </c>
      <c r="F273">
        <v>180</v>
      </c>
      <c r="G273">
        <v>4</v>
      </c>
      <c r="H273">
        <v>1.1838960000000001</v>
      </c>
      <c r="I273" t="s">
        <v>46</v>
      </c>
      <c r="J273">
        <v>8500000</v>
      </c>
      <c r="K273">
        <v>10063116</v>
      </c>
      <c r="L273" t="s">
        <v>8</v>
      </c>
      <c r="M273" t="s">
        <v>7</v>
      </c>
      <c r="N273" t="b">
        <v>0</v>
      </c>
    </row>
    <row r="274" spans="1:14" x14ac:dyDescent="0.3">
      <c r="A274" t="s">
        <v>19</v>
      </c>
      <c r="B274" t="s">
        <v>8</v>
      </c>
      <c r="C274">
        <v>6</v>
      </c>
      <c r="E274" t="s">
        <v>51</v>
      </c>
      <c r="F274">
        <v>0.96299999999999997</v>
      </c>
      <c r="G274">
        <v>4</v>
      </c>
      <c r="H274">
        <v>8.7363360000000014</v>
      </c>
      <c r="I274" t="s">
        <v>46</v>
      </c>
      <c r="J274">
        <v>8500000</v>
      </c>
      <c r="K274">
        <v>74258856.000000015</v>
      </c>
      <c r="L274" t="s">
        <v>8</v>
      </c>
      <c r="M274" t="s">
        <v>7</v>
      </c>
      <c r="N274" t="b">
        <v>0</v>
      </c>
    </row>
    <row r="275" spans="1:14" x14ac:dyDescent="0.3">
      <c r="A275" t="s">
        <v>19</v>
      </c>
      <c r="B275" t="s">
        <v>8</v>
      </c>
      <c r="C275">
        <v>7</v>
      </c>
      <c r="D275" t="s">
        <v>52</v>
      </c>
      <c r="E275" t="s">
        <v>53</v>
      </c>
      <c r="F275">
        <v>0.13</v>
      </c>
      <c r="G275">
        <v>1.201824</v>
      </c>
      <c r="H275">
        <v>1.201824</v>
      </c>
      <c r="I275" t="s">
        <v>54</v>
      </c>
      <c r="J275">
        <v>4275000</v>
      </c>
      <c r="K275">
        <v>5137797.5999999996</v>
      </c>
      <c r="L275" t="s">
        <v>8</v>
      </c>
      <c r="M275" t="s">
        <v>7</v>
      </c>
      <c r="N275" t="b">
        <v>0</v>
      </c>
    </row>
    <row r="276" spans="1:14" x14ac:dyDescent="0.3">
      <c r="A276" t="s">
        <v>19</v>
      </c>
      <c r="B276" t="s">
        <v>8</v>
      </c>
      <c r="C276">
        <v>8</v>
      </c>
      <c r="E276" t="s">
        <v>55</v>
      </c>
      <c r="F276">
        <v>0.35</v>
      </c>
      <c r="G276">
        <v>0</v>
      </c>
      <c r="H276">
        <v>0</v>
      </c>
      <c r="I276" t="s">
        <v>46</v>
      </c>
      <c r="J276">
        <v>35750000</v>
      </c>
      <c r="K276">
        <v>0</v>
      </c>
      <c r="L276" t="s">
        <v>8</v>
      </c>
      <c r="M276" t="s">
        <v>7</v>
      </c>
      <c r="N276" t="b">
        <v>0</v>
      </c>
    </row>
    <row r="277" spans="1:14" x14ac:dyDescent="0.3">
      <c r="A277" t="s">
        <v>19</v>
      </c>
      <c r="B277" t="s">
        <v>8</v>
      </c>
      <c r="C277">
        <v>9</v>
      </c>
      <c r="E277" t="s">
        <v>55</v>
      </c>
      <c r="F277">
        <v>0.2</v>
      </c>
      <c r="G277">
        <v>0.600912</v>
      </c>
      <c r="H277">
        <v>0.600912</v>
      </c>
      <c r="I277" t="s">
        <v>46</v>
      </c>
      <c r="J277">
        <v>45760000</v>
      </c>
      <c r="K277">
        <v>27497733.120000001</v>
      </c>
      <c r="L277" t="s">
        <v>8</v>
      </c>
      <c r="M277" t="s">
        <v>7</v>
      </c>
      <c r="N277" t="b">
        <v>0</v>
      </c>
    </row>
    <row r="278" spans="1:14" x14ac:dyDescent="0.3">
      <c r="A278" t="s">
        <v>19</v>
      </c>
      <c r="B278" t="s">
        <v>8</v>
      </c>
      <c r="C278">
        <v>10</v>
      </c>
      <c r="D278" t="s">
        <v>56</v>
      </c>
      <c r="E278" t="s">
        <v>57</v>
      </c>
      <c r="G278">
        <v>5.2435999999999998</v>
      </c>
      <c r="H278">
        <v>5.2435999999999998</v>
      </c>
      <c r="I278" t="s">
        <v>61</v>
      </c>
      <c r="J278">
        <v>1430000</v>
      </c>
      <c r="K278">
        <v>7498348</v>
      </c>
      <c r="L278" t="s">
        <v>8</v>
      </c>
      <c r="M278" t="s">
        <v>7</v>
      </c>
      <c r="N278" t="b">
        <v>0</v>
      </c>
    </row>
    <row r="279" spans="1:14" x14ac:dyDescent="0.3">
      <c r="A279" t="s">
        <v>19</v>
      </c>
      <c r="B279" t="s">
        <v>8</v>
      </c>
      <c r="C279">
        <v>11</v>
      </c>
      <c r="D279" t="s">
        <v>58</v>
      </c>
      <c r="E279" t="s">
        <v>59</v>
      </c>
      <c r="G279" t="s">
        <v>103</v>
      </c>
      <c r="H279" t="s">
        <v>103</v>
      </c>
      <c r="I279" t="s">
        <v>46</v>
      </c>
      <c r="J279">
        <v>1600000</v>
      </c>
      <c r="K279">
        <v>12800000</v>
      </c>
      <c r="L279" t="s">
        <v>8</v>
      </c>
      <c r="M279" t="s">
        <v>7</v>
      </c>
      <c r="N279" t="b">
        <v>0</v>
      </c>
    </row>
    <row r="280" spans="1:14" x14ac:dyDescent="0.3">
      <c r="A280" t="s">
        <v>19</v>
      </c>
      <c r="B280" t="s">
        <v>8</v>
      </c>
      <c r="C280">
        <v>12</v>
      </c>
      <c r="E280" t="s">
        <v>60</v>
      </c>
      <c r="G280">
        <v>8.7363360000000014</v>
      </c>
      <c r="H280">
        <v>8.7363360000000014</v>
      </c>
      <c r="I280" t="s">
        <v>61</v>
      </c>
      <c r="J280">
        <v>3600000</v>
      </c>
      <c r="K280">
        <v>31450809.600000005</v>
      </c>
      <c r="L280" t="s">
        <v>8</v>
      </c>
      <c r="M280" t="s">
        <v>7</v>
      </c>
      <c r="N280" t="b">
        <v>0</v>
      </c>
    </row>
    <row r="281" spans="1:14" x14ac:dyDescent="0.3">
      <c r="A281" t="s">
        <v>19</v>
      </c>
      <c r="B281" t="s">
        <v>8</v>
      </c>
      <c r="C281">
        <v>13</v>
      </c>
      <c r="D281" t="s">
        <v>62</v>
      </c>
      <c r="E281" t="s">
        <v>63</v>
      </c>
      <c r="G281">
        <v>3.8519999999999999</v>
      </c>
      <c r="H281">
        <v>3.8519999999999999</v>
      </c>
      <c r="I281" t="s">
        <v>61</v>
      </c>
      <c r="J281">
        <v>3600000</v>
      </c>
      <c r="K281">
        <v>13867200</v>
      </c>
      <c r="L281" t="s">
        <v>8</v>
      </c>
      <c r="M281" t="s">
        <v>7</v>
      </c>
      <c r="N281" t="b">
        <v>0</v>
      </c>
    </row>
    <row r="282" spans="1:14" x14ac:dyDescent="0.3">
      <c r="A282" t="s">
        <v>19</v>
      </c>
      <c r="B282" t="s">
        <v>8</v>
      </c>
      <c r="C282">
        <v>14</v>
      </c>
      <c r="E282" t="s">
        <v>64</v>
      </c>
      <c r="G282">
        <v>0.1</v>
      </c>
      <c r="H282">
        <v>0.1</v>
      </c>
      <c r="I282" t="s">
        <v>61</v>
      </c>
      <c r="J282">
        <v>5500000</v>
      </c>
      <c r="K282">
        <v>550000</v>
      </c>
      <c r="L282" t="s">
        <v>8</v>
      </c>
      <c r="M282" t="s">
        <v>7</v>
      </c>
      <c r="N282" t="b">
        <v>0</v>
      </c>
    </row>
    <row r="283" spans="1:14" x14ac:dyDescent="0.3">
      <c r="A283" t="s">
        <v>19</v>
      </c>
      <c r="B283" t="s">
        <v>8</v>
      </c>
      <c r="C283">
        <v>15</v>
      </c>
      <c r="D283" t="s">
        <v>65</v>
      </c>
      <c r="E283" t="s">
        <v>66</v>
      </c>
      <c r="G283">
        <v>20</v>
      </c>
      <c r="H283">
        <v>20</v>
      </c>
      <c r="I283" t="s">
        <v>61</v>
      </c>
      <c r="J283">
        <v>200000</v>
      </c>
      <c r="K283">
        <v>4000000</v>
      </c>
      <c r="L283" t="s">
        <v>8</v>
      </c>
      <c r="M283" t="s">
        <v>7</v>
      </c>
      <c r="N283" t="b">
        <v>0</v>
      </c>
    </row>
    <row r="284" spans="1:14" x14ac:dyDescent="0.3">
      <c r="A284" t="s">
        <v>19</v>
      </c>
      <c r="B284" t="s">
        <v>8</v>
      </c>
      <c r="C284">
        <v>16</v>
      </c>
      <c r="E284" t="s">
        <v>68</v>
      </c>
      <c r="G284">
        <v>8</v>
      </c>
      <c r="H284">
        <v>8</v>
      </c>
      <c r="I284" t="s">
        <v>61</v>
      </c>
      <c r="J284">
        <v>200000</v>
      </c>
      <c r="K284">
        <v>1600000</v>
      </c>
      <c r="L284" t="s">
        <v>8</v>
      </c>
      <c r="M284" t="s">
        <v>7</v>
      </c>
      <c r="N284" t="b">
        <v>0</v>
      </c>
    </row>
    <row r="285" spans="1:14" x14ac:dyDescent="0.3">
      <c r="A285" t="s">
        <v>19</v>
      </c>
      <c r="B285" t="s">
        <v>8</v>
      </c>
      <c r="C285">
        <v>17</v>
      </c>
      <c r="E285" t="s">
        <v>69</v>
      </c>
      <c r="G285">
        <v>28</v>
      </c>
      <c r="H285">
        <v>28</v>
      </c>
      <c r="I285" t="s">
        <v>61</v>
      </c>
      <c r="J285">
        <v>200000</v>
      </c>
      <c r="K285">
        <v>5600000</v>
      </c>
      <c r="L285" t="s">
        <v>8</v>
      </c>
      <c r="M285" t="s">
        <v>7</v>
      </c>
      <c r="N285" t="b">
        <v>0</v>
      </c>
    </row>
    <row r="286" spans="1:14" x14ac:dyDescent="0.3">
      <c r="A286" t="s">
        <v>19</v>
      </c>
      <c r="B286" t="s">
        <v>8</v>
      </c>
      <c r="C286">
        <v>18</v>
      </c>
      <c r="E286" t="s">
        <v>70</v>
      </c>
      <c r="G286">
        <v>16</v>
      </c>
      <c r="H286">
        <v>16</v>
      </c>
      <c r="I286" t="s">
        <v>61</v>
      </c>
      <c r="J286">
        <v>400000</v>
      </c>
      <c r="K286">
        <v>6400000</v>
      </c>
      <c r="L286" t="s">
        <v>8</v>
      </c>
      <c r="M286" t="s">
        <v>7</v>
      </c>
      <c r="N286" t="b">
        <v>0</v>
      </c>
    </row>
    <row r="287" spans="1:14" x14ac:dyDescent="0.3">
      <c r="A287" t="s">
        <v>19</v>
      </c>
      <c r="B287" t="s">
        <v>8</v>
      </c>
      <c r="C287">
        <v>19</v>
      </c>
      <c r="E287" t="s">
        <v>71</v>
      </c>
      <c r="G287">
        <v>16</v>
      </c>
      <c r="H287">
        <v>16</v>
      </c>
      <c r="I287" t="s">
        <v>61</v>
      </c>
      <c r="J287">
        <v>120000</v>
      </c>
      <c r="K287">
        <v>1920000</v>
      </c>
      <c r="L287" t="s">
        <v>8</v>
      </c>
      <c r="M287" t="s">
        <v>7</v>
      </c>
      <c r="N287" t="b">
        <v>0</v>
      </c>
    </row>
    <row r="288" spans="1:14" x14ac:dyDescent="0.3">
      <c r="A288" t="s">
        <v>19</v>
      </c>
      <c r="B288" t="s">
        <v>8</v>
      </c>
      <c r="C288">
        <v>20</v>
      </c>
      <c r="E288" t="s">
        <v>72</v>
      </c>
      <c r="G288">
        <v>24</v>
      </c>
      <c r="H288">
        <v>24</v>
      </c>
      <c r="I288" t="s">
        <v>61</v>
      </c>
      <c r="J288">
        <v>400000</v>
      </c>
      <c r="K288">
        <v>9600000</v>
      </c>
      <c r="L288" t="s">
        <v>8</v>
      </c>
      <c r="M288" t="s">
        <v>7</v>
      </c>
      <c r="N288" t="b">
        <v>0</v>
      </c>
    </row>
    <row r="289" spans="1:14" x14ac:dyDescent="0.3">
      <c r="A289" t="s">
        <v>19</v>
      </c>
      <c r="B289" t="s">
        <v>8</v>
      </c>
      <c r="C289">
        <v>21</v>
      </c>
      <c r="D289" t="s">
        <v>73</v>
      </c>
      <c r="E289" t="s">
        <v>74</v>
      </c>
      <c r="F289">
        <v>132</v>
      </c>
      <c r="G289" t="s">
        <v>103</v>
      </c>
      <c r="H289">
        <v>3.9739391999999998</v>
      </c>
      <c r="I289" t="s">
        <v>46</v>
      </c>
      <c r="J289">
        <v>35000000</v>
      </c>
      <c r="K289">
        <v>139087872</v>
      </c>
      <c r="L289" t="s">
        <v>8</v>
      </c>
      <c r="M289" t="s">
        <v>7</v>
      </c>
      <c r="N289" t="b">
        <v>0</v>
      </c>
    </row>
    <row r="290" spans="1:14" x14ac:dyDescent="0.3">
      <c r="A290" t="s">
        <v>19</v>
      </c>
      <c r="B290" t="s">
        <v>8</v>
      </c>
      <c r="C290">
        <v>22</v>
      </c>
      <c r="D290" t="s">
        <v>75</v>
      </c>
      <c r="E290" t="s">
        <v>76</v>
      </c>
      <c r="F290" t="s">
        <v>77</v>
      </c>
      <c r="G290">
        <v>2</v>
      </c>
      <c r="H290">
        <v>1.2</v>
      </c>
      <c r="I290" t="s">
        <v>46</v>
      </c>
      <c r="J290">
        <v>5200000</v>
      </c>
      <c r="K290">
        <v>6240000</v>
      </c>
      <c r="L290" t="s">
        <v>8</v>
      </c>
      <c r="M290" t="s">
        <v>7</v>
      </c>
      <c r="N290" t="b">
        <v>0</v>
      </c>
    </row>
    <row r="291" spans="1:14" x14ac:dyDescent="0.3">
      <c r="A291" t="s">
        <v>19</v>
      </c>
      <c r="B291" t="s">
        <v>8</v>
      </c>
      <c r="C291">
        <v>23</v>
      </c>
      <c r="E291" t="s">
        <v>78</v>
      </c>
      <c r="F291" t="s">
        <v>79</v>
      </c>
      <c r="G291">
        <v>2</v>
      </c>
      <c r="H291">
        <v>1.2</v>
      </c>
      <c r="I291" t="s">
        <v>46</v>
      </c>
      <c r="J291">
        <v>5200000</v>
      </c>
      <c r="K291">
        <v>6240000</v>
      </c>
      <c r="L291" t="s">
        <v>8</v>
      </c>
      <c r="M291" t="s">
        <v>7</v>
      </c>
      <c r="N291" t="b">
        <v>0</v>
      </c>
    </row>
    <row r="292" spans="1:14" x14ac:dyDescent="0.3">
      <c r="A292" t="s">
        <v>19</v>
      </c>
      <c r="B292" t="s">
        <v>8</v>
      </c>
      <c r="C292">
        <v>24</v>
      </c>
      <c r="D292" t="s">
        <v>80</v>
      </c>
      <c r="E292" t="s">
        <v>81</v>
      </c>
      <c r="F292" t="s">
        <v>167</v>
      </c>
      <c r="G292">
        <v>2</v>
      </c>
      <c r="H292">
        <v>0.71719899999999992</v>
      </c>
      <c r="I292" t="s">
        <v>46</v>
      </c>
      <c r="J292">
        <v>8500000</v>
      </c>
      <c r="K292">
        <v>6096191.4999999991</v>
      </c>
      <c r="L292" t="s">
        <v>8</v>
      </c>
      <c r="M292" t="s">
        <v>7</v>
      </c>
      <c r="N292" t="b">
        <v>0</v>
      </c>
    </row>
    <row r="293" spans="1:14" x14ac:dyDescent="0.3">
      <c r="A293" t="s">
        <v>19</v>
      </c>
      <c r="B293" t="s">
        <v>8</v>
      </c>
      <c r="C293">
        <v>25</v>
      </c>
      <c r="D293" t="s">
        <v>83</v>
      </c>
      <c r="E293" t="s">
        <v>84</v>
      </c>
      <c r="F293">
        <v>0.18</v>
      </c>
      <c r="G293">
        <v>2</v>
      </c>
      <c r="H293">
        <v>2</v>
      </c>
      <c r="I293" t="s">
        <v>61</v>
      </c>
      <c r="J293">
        <v>910000</v>
      </c>
      <c r="K293">
        <v>1820000</v>
      </c>
      <c r="L293" t="s">
        <v>8</v>
      </c>
      <c r="M293" t="s">
        <v>7</v>
      </c>
      <c r="N293" t="b">
        <v>0</v>
      </c>
    </row>
    <row r="294" spans="1:14" x14ac:dyDescent="0.3">
      <c r="A294" t="s">
        <v>19</v>
      </c>
      <c r="B294" t="s">
        <v>8</v>
      </c>
      <c r="C294">
        <v>26</v>
      </c>
      <c r="E294" t="s">
        <v>86</v>
      </c>
      <c r="F294">
        <v>0.2</v>
      </c>
      <c r="G294">
        <v>3</v>
      </c>
      <c r="H294">
        <v>3</v>
      </c>
      <c r="I294" t="s">
        <v>61</v>
      </c>
      <c r="J294">
        <v>910000</v>
      </c>
      <c r="K294">
        <v>2730000</v>
      </c>
      <c r="L294" t="s">
        <v>8</v>
      </c>
      <c r="M294" t="s">
        <v>7</v>
      </c>
      <c r="N294" t="b">
        <v>0</v>
      </c>
    </row>
    <row r="295" spans="1:14" x14ac:dyDescent="0.3">
      <c r="A295" t="s">
        <v>19</v>
      </c>
      <c r="B295" t="s">
        <v>8</v>
      </c>
      <c r="C295">
        <v>27</v>
      </c>
      <c r="D295" t="s">
        <v>88</v>
      </c>
      <c r="E295" t="s">
        <v>89</v>
      </c>
      <c r="F295" t="s">
        <v>90</v>
      </c>
      <c r="G295">
        <v>1</v>
      </c>
      <c r="H295">
        <v>1</v>
      </c>
      <c r="I295" t="s">
        <v>61</v>
      </c>
      <c r="J295">
        <v>100000</v>
      </c>
      <c r="K295">
        <v>100000</v>
      </c>
      <c r="L295" t="s">
        <v>8</v>
      </c>
      <c r="M295" t="s">
        <v>7</v>
      </c>
      <c r="N295" t="b">
        <v>0</v>
      </c>
    </row>
    <row r="296" spans="1:14" x14ac:dyDescent="0.3">
      <c r="A296" t="s">
        <v>19</v>
      </c>
      <c r="B296" t="s">
        <v>8</v>
      </c>
      <c r="C296">
        <v>28</v>
      </c>
      <c r="D296" t="s">
        <v>65</v>
      </c>
      <c r="E296" t="s">
        <v>91</v>
      </c>
      <c r="G296">
        <v>2</v>
      </c>
      <c r="H296">
        <v>2</v>
      </c>
      <c r="I296" t="s">
        <v>61</v>
      </c>
      <c r="J296">
        <v>2400000</v>
      </c>
      <c r="K296">
        <v>4800000</v>
      </c>
      <c r="L296" t="s">
        <v>8</v>
      </c>
      <c r="M296" t="s">
        <v>7</v>
      </c>
      <c r="N296" t="b">
        <v>0</v>
      </c>
    </row>
    <row r="297" spans="1:14" x14ac:dyDescent="0.3">
      <c r="A297" t="s">
        <v>19</v>
      </c>
      <c r="B297" t="s">
        <v>8</v>
      </c>
      <c r="C297">
        <v>29</v>
      </c>
      <c r="E297" t="s">
        <v>92</v>
      </c>
      <c r="G297">
        <v>2</v>
      </c>
      <c r="H297">
        <v>2</v>
      </c>
      <c r="I297" t="s">
        <v>61</v>
      </c>
      <c r="J297">
        <v>2400000</v>
      </c>
      <c r="K297">
        <v>4800000</v>
      </c>
      <c r="L297" t="s">
        <v>8</v>
      </c>
      <c r="M297" t="s">
        <v>7</v>
      </c>
      <c r="N297" t="b">
        <v>0</v>
      </c>
    </row>
    <row r="298" spans="1:14" x14ac:dyDescent="0.3">
      <c r="A298" t="s">
        <v>19</v>
      </c>
      <c r="B298" t="s">
        <v>8</v>
      </c>
      <c r="C298">
        <v>30</v>
      </c>
      <c r="E298" t="s">
        <v>93</v>
      </c>
      <c r="G298">
        <v>2</v>
      </c>
      <c r="H298">
        <v>2</v>
      </c>
      <c r="I298" t="s">
        <v>61</v>
      </c>
      <c r="J298">
        <v>3000000</v>
      </c>
      <c r="K298">
        <v>6000000</v>
      </c>
      <c r="L298" t="s">
        <v>8</v>
      </c>
      <c r="M298" t="s">
        <v>7</v>
      </c>
      <c r="N298" t="b">
        <v>0</v>
      </c>
    </row>
    <row r="299" spans="1:14" x14ac:dyDescent="0.3">
      <c r="A299" t="s">
        <v>19</v>
      </c>
      <c r="B299" t="s">
        <v>8</v>
      </c>
      <c r="C299">
        <v>31</v>
      </c>
      <c r="D299" t="s">
        <v>104</v>
      </c>
      <c r="E299" t="s">
        <v>105</v>
      </c>
      <c r="G299">
        <v>1</v>
      </c>
      <c r="H299">
        <v>2</v>
      </c>
      <c r="I299" t="s">
        <v>61</v>
      </c>
      <c r="J299">
        <v>30000000</v>
      </c>
      <c r="K299">
        <v>60000000</v>
      </c>
      <c r="L299" t="s">
        <v>8</v>
      </c>
      <c r="M299" t="s">
        <v>7</v>
      </c>
      <c r="N299" t="b">
        <v>0</v>
      </c>
    </row>
    <row r="300" spans="1:14" x14ac:dyDescent="0.3">
      <c r="A300" t="s">
        <v>19</v>
      </c>
      <c r="B300" t="s">
        <v>8</v>
      </c>
      <c r="C300">
        <v>32</v>
      </c>
      <c r="E300" t="s">
        <v>106</v>
      </c>
      <c r="G300">
        <v>1</v>
      </c>
      <c r="H300">
        <v>4</v>
      </c>
      <c r="J300">
        <v>18000000</v>
      </c>
      <c r="K300">
        <v>72000000</v>
      </c>
      <c r="L300" t="s">
        <v>8</v>
      </c>
      <c r="M300" t="s">
        <v>7</v>
      </c>
      <c r="N300" t="b">
        <v>0</v>
      </c>
    </row>
    <row r="301" spans="1:14" x14ac:dyDescent="0.3">
      <c r="A301" t="s">
        <v>19</v>
      </c>
      <c r="B301" t="s">
        <v>8</v>
      </c>
      <c r="C301">
        <v>33</v>
      </c>
      <c r="D301" t="s">
        <v>94</v>
      </c>
      <c r="E301" t="s">
        <v>95</v>
      </c>
      <c r="G301">
        <v>2</v>
      </c>
      <c r="H301">
        <v>2</v>
      </c>
      <c r="I301" t="s">
        <v>61</v>
      </c>
      <c r="J301">
        <v>1300000</v>
      </c>
      <c r="K301">
        <v>2600000</v>
      </c>
      <c r="L301" t="s">
        <v>8</v>
      </c>
      <c r="M301" t="s">
        <v>7</v>
      </c>
      <c r="N301" t="b">
        <v>0</v>
      </c>
    </row>
    <row r="302" spans="1:14" x14ac:dyDescent="0.3">
      <c r="A302" t="s">
        <v>19</v>
      </c>
      <c r="B302" t="s">
        <v>8</v>
      </c>
      <c r="C302">
        <v>34</v>
      </c>
      <c r="D302" t="s">
        <v>94</v>
      </c>
      <c r="E302" t="s">
        <v>96</v>
      </c>
      <c r="G302">
        <v>4</v>
      </c>
      <c r="H302">
        <v>2.8119999999999998</v>
      </c>
      <c r="I302" t="s">
        <v>97</v>
      </c>
      <c r="J302">
        <v>460000</v>
      </c>
      <c r="K302">
        <v>1293520</v>
      </c>
      <c r="L302" t="s">
        <v>8</v>
      </c>
      <c r="M302" t="s">
        <v>7</v>
      </c>
      <c r="N302" t="b">
        <v>0</v>
      </c>
    </row>
    <row r="303" spans="1:14" x14ac:dyDescent="0.3">
      <c r="A303" t="s">
        <v>19</v>
      </c>
      <c r="B303" t="s">
        <v>8</v>
      </c>
      <c r="C303">
        <v>35</v>
      </c>
      <c r="D303" t="s">
        <v>98</v>
      </c>
      <c r="E303" t="s">
        <v>99</v>
      </c>
      <c r="F303">
        <v>50</v>
      </c>
      <c r="G303">
        <v>8</v>
      </c>
      <c r="H303">
        <v>0.8</v>
      </c>
      <c r="I303" t="s">
        <v>100</v>
      </c>
      <c r="J303">
        <v>9739400</v>
      </c>
      <c r="K303">
        <v>7791520</v>
      </c>
      <c r="L303" t="s">
        <v>8</v>
      </c>
      <c r="M303" t="s">
        <v>7</v>
      </c>
      <c r="N303" t="b">
        <v>0</v>
      </c>
    </row>
    <row r="304" spans="1:14" x14ac:dyDescent="0.3">
      <c r="A304" t="s">
        <v>19</v>
      </c>
      <c r="B304" t="s">
        <v>8</v>
      </c>
      <c r="C304">
        <v>28</v>
      </c>
      <c r="E304" t="s">
        <v>101</v>
      </c>
      <c r="H304">
        <v>10</v>
      </c>
      <c r="I304" t="s">
        <v>102</v>
      </c>
      <c r="J304">
        <v>13000000</v>
      </c>
      <c r="K304">
        <v>130000000</v>
      </c>
      <c r="L304" t="s">
        <v>8</v>
      </c>
      <c r="M304" t="s">
        <v>7</v>
      </c>
      <c r="N304" t="b">
        <v>0</v>
      </c>
    </row>
    <row r="305" spans="1:14" x14ac:dyDescent="0.3">
      <c r="A305" t="s">
        <v>19</v>
      </c>
      <c r="B305" t="s">
        <v>8</v>
      </c>
      <c r="C305">
        <v>29</v>
      </c>
      <c r="E305" t="s">
        <v>107</v>
      </c>
      <c r="H305">
        <v>0</v>
      </c>
      <c r="I305" t="s">
        <v>108</v>
      </c>
      <c r="K305">
        <v>0</v>
      </c>
      <c r="L305" t="s">
        <v>8</v>
      </c>
      <c r="M305" t="s">
        <v>7</v>
      </c>
      <c r="N305" t="b">
        <v>0</v>
      </c>
    </row>
    <row r="306" spans="1:14" x14ac:dyDescent="0.3">
      <c r="A306" t="s">
        <v>19</v>
      </c>
      <c r="B306" t="s">
        <v>9</v>
      </c>
      <c r="C306">
        <v>1</v>
      </c>
      <c r="D306" t="s">
        <v>44</v>
      </c>
      <c r="E306" t="s">
        <v>45</v>
      </c>
      <c r="F306">
        <v>0.33500000000000002</v>
      </c>
      <c r="G306">
        <v>2</v>
      </c>
      <c r="H306">
        <v>0.93799999999999994</v>
      </c>
      <c r="I306" t="s">
        <v>46</v>
      </c>
      <c r="J306">
        <v>8500000</v>
      </c>
      <c r="K306">
        <v>7972999.9999999981</v>
      </c>
      <c r="L306" t="s">
        <v>9</v>
      </c>
      <c r="M306" t="s">
        <v>7</v>
      </c>
      <c r="N306" t="b">
        <v>0</v>
      </c>
    </row>
    <row r="307" spans="1:14" x14ac:dyDescent="0.3">
      <c r="A307" t="s">
        <v>19</v>
      </c>
      <c r="B307" t="s">
        <v>9</v>
      </c>
      <c r="C307">
        <v>2</v>
      </c>
      <c r="E307" t="s">
        <v>47</v>
      </c>
      <c r="F307">
        <v>0</v>
      </c>
      <c r="G307">
        <v>0</v>
      </c>
      <c r="H307">
        <v>0</v>
      </c>
      <c r="I307" t="s">
        <v>46</v>
      </c>
      <c r="J307">
        <v>8500000</v>
      </c>
      <c r="K307">
        <v>0</v>
      </c>
      <c r="L307" t="s">
        <v>9</v>
      </c>
      <c r="M307" t="s">
        <v>7</v>
      </c>
      <c r="N307" t="b">
        <v>0</v>
      </c>
    </row>
    <row r="308" spans="1:14" x14ac:dyDescent="0.3">
      <c r="A308" t="s">
        <v>19</v>
      </c>
      <c r="B308" t="s">
        <v>9</v>
      </c>
      <c r="C308">
        <v>3</v>
      </c>
      <c r="E308" t="s">
        <v>166</v>
      </c>
      <c r="F308">
        <v>0.33500000000000002</v>
      </c>
      <c r="G308">
        <v>2</v>
      </c>
      <c r="H308">
        <v>1.4740000000000002</v>
      </c>
      <c r="I308" t="s">
        <v>46</v>
      </c>
      <c r="J308">
        <v>8500000</v>
      </c>
      <c r="K308">
        <v>12529000.000000002</v>
      </c>
      <c r="L308" t="s">
        <v>9</v>
      </c>
      <c r="M308" t="s">
        <v>7</v>
      </c>
      <c r="N308" t="b">
        <v>0</v>
      </c>
    </row>
    <row r="309" spans="1:14" x14ac:dyDescent="0.3">
      <c r="A309" t="s">
        <v>19</v>
      </c>
      <c r="B309" t="s">
        <v>9</v>
      </c>
      <c r="C309">
        <v>4</v>
      </c>
      <c r="E309" t="s">
        <v>49</v>
      </c>
      <c r="F309">
        <v>120</v>
      </c>
      <c r="G309">
        <v>4</v>
      </c>
      <c r="H309">
        <v>0.48</v>
      </c>
      <c r="I309" t="s">
        <v>46</v>
      </c>
      <c r="J309">
        <v>8500000</v>
      </c>
      <c r="K309">
        <v>4080000</v>
      </c>
      <c r="L309" t="s">
        <v>9</v>
      </c>
      <c r="M309" t="s">
        <v>7</v>
      </c>
      <c r="N309" t="b">
        <v>0</v>
      </c>
    </row>
    <row r="310" spans="1:14" x14ac:dyDescent="0.3">
      <c r="A310" t="s">
        <v>19</v>
      </c>
      <c r="B310" t="s">
        <v>9</v>
      </c>
      <c r="C310">
        <v>5</v>
      </c>
      <c r="E310" t="s">
        <v>50</v>
      </c>
      <c r="F310">
        <v>180</v>
      </c>
      <c r="G310">
        <v>4</v>
      </c>
      <c r="H310">
        <v>1.1838960000000001</v>
      </c>
      <c r="I310" t="s">
        <v>46</v>
      </c>
      <c r="J310">
        <v>8500000</v>
      </c>
      <c r="K310">
        <v>10063116</v>
      </c>
      <c r="L310" t="s">
        <v>9</v>
      </c>
      <c r="M310" t="s">
        <v>7</v>
      </c>
      <c r="N310" t="b">
        <v>0</v>
      </c>
    </row>
    <row r="311" spans="1:14" x14ac:dyDescent="0.3">
      <c r="A311" t="s">
        <v>19</v>
      </c>
      <c r="B311" t="s">
        <v>9</v>
      </c>
      <c r="C311">
        <v>6</v>
      </c>
      <c r="E311" t="s">
        <v>51</v>
      </c>
      <c r="F311">
        <v>0.55800000000000005</v>
      </c>
      <c r="G311">
        <v>4</v>
      </c>
      <c r="H311">
        <v>5.062176</v>
      </c>
      <c r="I311" t="s">
        <v>46</v>
      </c>
      <c r="J311">
        <v>8500000</v>
      </c>
      <c r="K311">
        <v>43028496</v>
      </c>
      <c r="L311" t="s">
        <v>9</v>
      </c>
      <c r="M311" t="s">
        <v>7</v>
      </c>
      <c r="N311" t="b">
        <v>0</v>
      </c>
    </row>
    <row r="312" spans="1:14" x14ac:dyDescent="0.3">
      <c r="A312" t="s">
        <v>19</v>
      </c>
      <c r="B312" t="s">
        <v>9</v>
      </c>
      <c r="C312">
        <v>7</v>
      </c>
      <c r="D312" t="s">
        <v>52</v>
      </c>
      <c r="E312" t="s">
        <v>53</v>
      </c>
      <c r="F312">
        <v>0.13</v>
      </c>
      <c r="G312">
        <v>0.696384</v>
      </c>
      <c r="H312">
        <v>0.696384</v>
      </c>
      <c r="I312" t="s">
        <v>54</v>
      </c>
      <c r="J312">
        <v>4275000</v>
      </c>
      <c r="K312">
        <v>2977041.6</v>
      </c>
      <c r="L312" t="s">
        <v>9</v>
      </c>
      <c r="M312" t="s">
        <v>7</v>
      </c>
      <c r="N312" t="b">
        <v>0</v>
      </c>
    </row>
    <row r="313" spans="1:14" x14ac:dyDescent="0.3">
      <c r="A313" t="s">
        <v>19</v>
      </c>
      <c r="B313" t="s">
        <v>9</v>
      </c>
      <c r="C313">
        <v>8</v>
      </c>
      <c r="E313" t="s">
        <v>55</v>
      </c>
      <c r="F313">
        <v>0.35</v>
      </c>
      <c r="G313">
        <v>0</v>
      </c>
      <c r="H313">
        <v>0</v>
      </c>
      <c r="I313" t="s">
        <v>46</v>
      </c>
      <c r="J313">
        <v>35750000</v>
      </c>
      <c r="K313">
        <v>0</v>
      </c>
      <c r="L313" t="s">
        <v>9</v>
      </c>
      <c r="M313" t="s">
        <v>7</v>
      </c>
      <c r="N313" t="b">
        <v>0</v>
      </c>
    </row>
    <row r="314" spans="1:14" x14ac:dyDescent="0.3">
      <c r="A314" t="s">
        <v>19</v>
      </c>
      <c r="B314" t="s">
        <v>9</v>
      </c>
      <c r="C314">
        <v>9</v>
      </c>
      <c r="E314" t="s">
        <v>55</v>
      </c>
      <c r="F314">
        <v>0.2</v>
      </c>
      <c r="G314">
        <v>0.348192</v>
      </c>
      <c r="H314">
        <v>0.348192</v>
      </c>
      <c r="I314" t="s">
        <v>46</v>
      </c>
      <c r="J314">
        <v>45760000</v>
      </c>
      <c r="K314">
        <v>15933265.92</v>
      </c>
      <c r="L314" t="s">
        <v>9</v>
      </c>
      <c r="M314" t="s">
        <v>7</v>
      </c>
      <c r="N314" t="b">
        <v>0</v>
      </c>
    </row>
    <row r="315" spans="1:14" x14ac:dyDescent="0.3">
      <c r="A315" t="s">
        <v>19</v>
      </c>
      <c r="B315" t="s">
        <v>9</v>
      </c>
      <c r="C315">
        <v>10</v>
      </c>
      <c r="D315" t="s">
        <v>56</v>
      </c>
      <c r="E315" t="s">
        <v>57</v>
      </c>
      <c r="G315">
        <v>2.4119999999999999</v>
      </c>
      <c r="H315">
        <v>2.4119999999999999</v>
      </c>
      <c r="I315" t="s">
        <v>61</v>
      </c>
      <c r="J315">
        <v>1430000</v>
      </c>
      <c r="K315">
        <v>3449160</v>
      </c>
      <c r="L315" t="s">
        <v>9</v>
      </c>
      <c r="M315" t="s">
        <v>7</v>
      </c>
      <c r="N315" t="b">
        <v>0</v>
      </c>
    </row>
    <row r="316" spans="1:14" x14ac:dyDescent="0.3">
      <c r="A316" t="s">
        <v>19</v>
      </c>
      <c r="B316" t="s">
        <v>9</v>
      </c>
      <c r="C316">
        <v>11</v>
      </c>
      <c r="D316" t="s">
        <v>58</v>
      </c>
      <c r="E316" t="s">
        <v>59</v>
      </c>
      <c r="G316" t="s">
        <v>103</v>
      </c>
      <c r="H316" t="s">
        <v>103</v>
      </c>
      <c r="I316" t="s">
        <v>46</v>
      </c>
      <c r="J316">
        <v>1600000</v>
      </c>
      <c r="K316">
        <v>12800000</v>
      </c>
      <c r="L316" t="s">
        <v>9</v>
      </c>
      <c r="M316" t="s">
        <v>7</v>
      </c>
      <c r="N316" t="b">
        <v>0</v>
      </c>
    </row>
    <row r="317" spans="1:14" x14ac:dyDescent="0.3">
      <c r="A317" t="s">
        <v>19</v>
      </c>
      <c r="B317" t="s">
        <v>9</v>
      </c>
      <c r="C317">
        <v>12</v>
      </c>
      <c r="E317" t="s">
        <v>60</v>
      </c>
      <c r="G317">
        <v>5.062176</v>
      </c>
      <c r="H317">
        <v>5.062176</v>
      </c>
      <c r="I317" t="s">
        <v>61</v>
      </c>
      <c r="J317">
        <v>3600000</v>
      </c>
      <c r="K317">
        <v>18223833.600000001</v>
      </c>
      <c r="L317" t="s">
        <v>9</v>
      </c>
      <c r="M317" t="s">
        <v>7</v>
      </c>
      <c r="N317" t="b">
        <v>0</v>
      </c>
    </row>
    <row r="318" spans="1:14" x14ac:dyDescent="0.3">
      <c r="A318" t="s">
        <v>19</v>
      </c>
      <c r="B318" t="s">
        <v>9</v>
      </c>
      <c r="C318">
        <v>13</v>
      </c>
      <c r="D318" t="s">
        <v>62</v>
      </c>
      <c r="E318" t="s">
        <v>63</v>
      </c>
      <c r="G318">
        <v>2.2320000000000002</v>
      </c>
      <c r="H318">
        <v>2.2320000000000002</v>
      </c>
      <c r="I318" t="s">
        <v>61</v>
      </c>
      <c r="J318">
        <v>3600000</v>
      </c>
      <c r="K318">
        <v>8035200.0000000019</v>
      </c>
      <c r="L318" t="s">
        <v>9</v>
      </c>
      <c r="M318" t="s">
        <v>7</v>
      </c>
      <c r="N318" t="b">
        <v>0</v>
      </c>
    </row>
    <row r="319" spans="1:14" x14ac:dyDescent="0.3">
      <c r="A319" t="s">
        <v>19</v>
      </c>
      <c r="B319" t="s">
        <v>9</v>
      </c>
      <c r="C319">
        <v>14</v>
      </c>
      <c r="E319" t="s">
        <v>64</v>
      </c>
      <c r="G319">
        <v>0.1</v>
      </c>
      <c r="H319">
        <v>0.1</v>
      </c>
      <c r="I319" t="s">
        <v>61</v>
      </c>
      <c r="J319">
        <v>5500000</v>
      </c>
      <c r="K319">
        <v>550000</v>
      </c>
      <c r="L319" t="s">
        <v>9</v>
      </c>
      <c r="M319" t="s">
        <v>7</v>
      </c>
      <c r="N319" t="b">
        <v>0</v>
      </c>
    </row>
    <row r="320" spans="1:14" x14ac:dyDescent="0.3">
      <c r="A320" t="s">
        <v>19</v>
      </c>
      <c r="B320" t="s">
        <v>9</v>
      </c>
      <c r="C320">
        <v>15</v>
      </c>
      <c r="D320" t="s">
        <v>65</v>
      </c>
      <c r="E320" t="s">
        <v>66</v>
      </c>
      <c r="G320">
        <v>20</v>
      </c>
      <c r="H320">
        <v>20</v>
      </c>
      <c r="I320" t="s">
        <v>61</v>
      </c>
      <c r="J320">
        <v>200000</v>
      </c>
      <c r="K320">
        <v>4000000</v>
      </c>
      <c r="L320" t="s">
        <v>9</v>
      </c>
      <c r="M320" t="s">
        <v>7</v>
      </c>
      <c r="N320" t="b">
        <v>0</v>
      </c>
    </row>
    <row r="321" spans="1:14" x14ac:dyDescent="0.3">
      <c r="A321" t="s">
        <v>19</v>
      </c>
      <c r="B321" t="s">
        <v>9</v>
      </c>
      <c r="C321">
        <v>16</v>
      </c>
      <c r="E321" t="s">
        <v>68</v>
      </c>
      <c r="G321">
        <v>8</v>
      </c>
      <c r="H321">
        <v>8</v>
      </c>
      <c r="I321" t="s">
        <v>61</v>
      </c>
      <c r="J321">
        <v>200000</v>
      </c>
      <c r="K321">
        <v>1600000</v>
      </c>
      <c r="L321" t="s">
        <v>9</v>
      </c>
      <c r="M321" t="s">
        <v>7</v>
      </c>
      <c r="N321" t="b">
        <v>0</v>
      </c>
    </row>
    <row r="322" spans="1:14" x14ac:dyDescent="0.3">
      <c r="A322" t="s">
        <v>19</v>
      </c>
      <c r="B322" t="s">
        <v>9</v>
      </c>
      <c r="C322">
        <v>17</v>
      </c>
      <c r="E322" t="s">
        <v>69</v>
      </c>
      <c r="G322">
        <v>16</v>
      </c>
      <c r="H322">
        <v>16</v>
      </c>
      <c r="I322" t="s">
        <v>61</v>
      </c>
      <c r="J322">
        <v>200000</v>
      </c>
      <c r="K322">
        <v>3200000</v>
      </c>
      <c r="L322" t="s">
        <v>9</v>
      </c>
      <c r="M322" t="s">
        <v>7</v>
      </c>
      <c r="N322" t="b">
        <v>0</v>
      </c>
    </row>
    <row r="323" spans="1:14" x14ac:dyDescent="0.3">
      <c r="A323" t="s">
        <v>19</v>
      </c>
      <c r="B323" t="s">
        <v>9</v>
      </c>
      <c r="C323">
        <v>18</v>
      </c>
      <c r="E323" t="s">
        <v>70</v>
      </c>
      <c r="G323">
        <v>16</v>
      </c>
      <c r="H323">
        <v>16</v>
      </c>
      <c r="I323" t="s">
        <v>61</v>
      </c>
      <c r="J323">
        <v>400000</v>
      </c>
      <c r="K323">
        <v>6400000</v>
      </c>
      <c r="L323" t="s">
        <v>9</v>
      </c>
      <c r="M323" t="s">
        <v>7</v>
      </c>
      <c r="N323" t="b">
        <v>0</v>
      </c>
    </row>
    <row r="324" spans="1:14" x14ac:dyDescent="0.3">
      <c r="A324" t="s">
        <v>19</v>
      </c>
      <c r="B324" t="s">
        <v>9</v>
      </c>
      <c r="C324">
        <v>19</v>
      </c>
      <c r="E324" t="s">
        <v>71</v>
      </c>
      <c r="G324">
        <v>16</v>
      </c>
      <c r="H324">
        <v>16</v>
      </c>
      <c r="I324" t="s">
        <v>61</v>
      </c>
      <c r="J324">
        <v>120000</v>
      </c>
      <c r="K324">
        <v>1920000</v>
      </c>
      <c r="L324" t="s">
        <v>9</v>
      </c>
      <c r="M324" t="s">
        <v>7</v>
      </c>
      <c r="N324" t="b">
        <v>0</v>
      </c>
    </row>
    <row r="325" spans="1:14" x14ac:dyDescent="0.3">
      <c r="A325" t="s">
        <v>19</v>
      </c>
      <c r="B325" t="s">
        <v>9</v>
      </c>
      <c r="C325">
        <v>20</v>
      </c>
      <c r="E325" t="s">
        <v>72</v>
      </c>
      <c r="G325">
        <v>24</v>
      </c>
      <c r="H325">
        <v>24</v>
      </c>
      <c r="I325" t="s">
        <v>61</v>
      </c>
      <c r="J325">
        <v>400000</v>
      </c>
      <c r="K325">
        <v>9600000</v>
      </c>
      <c r="L325" t="s">
        <v>9</v>
      </c>
      <c r="M325" t="s">
        <v>7</v>
      </c>
      <c r="N325" t="b">
        <v>0</v>
      </c>
    </row>
    <row r="326" spans="1:14" x14ac:dyDescent="0.3">
      <c r="A326" t="s">
        <v>19</v>
      </c>
      <c r="B326" t="s">
        <v>9</v>
      </c>
      <c r="C326">
        <v>21</v>
      </c>
      <c r="D326" t="s">
        <v>73</v>
      </c>
      <c r="E326" t="s">
        <v>74</v>
      </c>
      <c r="F326">
        <v>132</v>
      </c>
      <c r="G326" t="s">
        <v>103</v>
      </c>
      <c r="H326">
        <v>3.9739391999999998</v>
      </c>
      <c r="I326" t="s">
        <v>46</v>
      </c>
      <c r="J326">
        <v>35000000</v>
      </c>
      <c r="K326">
        <v>139087872</v>
      </c>
      <c r="L326" t="s">
        <v>9</v>
      </c>
      <c r="M326" t="s">
        <v>7</v>
      </c>
      <c r="N326" t="b">
        <v>0</v>
      </c>
    </row>
    <row r="327" spans="1:14" x14ac:dyDescent="0.3">
      <c r="A327" t="s">
        <v>19</v>
      </c>
      <c r="B327" t="s">
        <v>9</v>
      </c>
      <c r="C327">
        <v>22</v>
      </c>
      <c r="D327" t="s">
        <v>75</v>
      </c>
      <c r="E327" t="s">
        <v>76</v>
      </c>
      <c r="F327" t="s">
        <v>77</v>
      </c>
      <c r="G327">
        <v>2</v>
      </c>
      <c r="H327">
        <v>1.2</v>
      </c>
      <c r="I327" t="s">
        <v>46</v>
      </c>
      <c r="J327">
        <v>5200000</v>
      </c>
      <c r="K327">
        <v>6240000</v>
      </c>
      <c r="L327" t="s">
        <v>9</v>
      </c>
      <c r="M327" t="s">
        <v>7</v>
      </c>
      <c r="N327" t="b">
        <v>0</v>
      </c>
    </row>
    <row r="328" spans="1:14" x14ac:dyDescent="0.3">
      <c r="A328" t="s">
        <v>19</v>
      </c>
      <c r="B328" t="s">
        <v>9</v>
      </c>
      <c r="C328">
        <v>23</v>
      </c>
      <c r="E328" t="s">
        <v>78</v>
      </c>
      <c r="F328" t="s">
        <v>79</v>
      </c>
      <c r="G328">
        <v>2</v>
      </c>
      <c r="H328">
        <v>1.2</v>
      </c>
      <c r="I328" t="s">
        <v>46</v>
      </c>
      <c r="J328">
        <v>5200000</v>
      </c>
      <c r="K328">
        <v>6240000</v>
      </c>
      <c r="L328" t="s">
        <v>9</v>
      </c>
      <c r="M328" t="s">
        <v>7</v>
      </c>
      <c r="N328" t="b">
        <v>0</v>
      </c>
    </row>
    <row r="329" spans="1:14" x14ac:dyDescent="0.3">
      <c r="A329" t="s">
        <v>19</v>
      </c>
      <c r="B329" t="s">
        <v>9</v>
      </c>
      <c r="C329">
        <v>24</v>
      </c>
      <c r="D329" t="s">
        <v>80</v>
      </c>
      <c r="E329" t="s">
        <v>81</v>
      </c>
      <c r="F329" t="s">
        <v>167</v>
      </c>
      <c r="G329">
        <v>2</v>
      </c>
      <c r="H329">
        <v>0.71719899999999992</v>
      </c>
      <c r="I329" t="s">
        <v>46</v>
      </c>
      <c r="J329">
        <v>8500000</v>
      </c>
      <c r="K329">
        <v>6096191.4999999991</v>
      </c>
      <c r="L329" t="s">
        <v>9</v>
      </c>
      <c r="M329" t="s">
        <v>7</v>
      </c>
      <c r="N329" t="b">
        <v>0</v>
      </c>
    </row>
    <row r="330" spans="1:14" x14ac:dyDescent="0.3">
      <c r="A330" t="s">
        <v>19</v>
      </c>
      <c r="B330" t="s">
        <v>9</v>
      </c>
      <c r="C330">
        <v>25</v>
      </c>
      <c r="D330" t="s">
        <v>83</v>
      </c>
      <c r="E330" t="s">
        <v>84</v>
      </c>
      <c r="F330">
        <v>0.18</v>
      </c>
      <c r="G330">
        <v>2</v>
      </c>
      <c r="H330">
        <v>2</v>
      </c>
      <c r="I330" t="s">
        <v>61</v>
      </c>
      <c r="J330">
        <v>910000</v>
      </c>
      <c r="K330">
        <v>1820000</v>
      </c>
      <c r="L330" t="s">
        <v>9</v>
      </c>
      <c r="M330" t="s">
        <v>7</v>
      </c>
      <c r="N330" t="b">
        <v>0</v>
      </c>
    </row>
    <row r="331" spans="1:14" x14ac:dyDescent="0.3">
      <c r="A331" t="s">
        <v>19</v>
      </c>
      <c r="B331" t="s">
        <v>9</v>
      </c>
      <c r="C331">
        <v>26</v>
      </c>
      <c r="E331" t="s">
        <v>86</v>
      </c>
      <c r="F331">
        <v>0.2</v>
      </c>
      <c r="G331">
        <v>3</v>
      </c>
      <c r="H331">
        <v>3</v>
      </c>
      <c r="I331" t="s">
        <v>61</v>
      </c>
      <c r="J331">
        <v>910000</v>
      </c>
      <c r="K331">
        <v>2730000</v>
      </c>
      <c r="L331" t="s">
        <v>9</v>
      </c>
      <c r="M331" t="s">
        <v>7</v>
      </c>
      <c r="N331" t="b">
        <v>0</v>
      </c>
    </row>
    <row r="332" spans="1:14" x14ac:dyDescent="0.3">
      <c r="A332" t="s">
        <v>19</v>
      </c>
      <c r="B332" t="s">
        <v>9</v>
      </c>
      <c r="C332">
        <v>27</v>
      </c>
      <c r="D332" t="s">
        <v>88</v>
      </c>
      <c r="E332" t="s">
        <v>89</v>
      </c>
      <c r="F332" t="s">
        <v>90</v>
      </c>
      <c r="G332">
        <v>1</v>
      </c>
      <c r="H332">
        <v>1</v>
      </c>
      <c r="I332" t="s">
        <v>61</v>
      </c>
      <c r="J332">
        <v>100000</v>
      </c>
      <c r="K332">
        <v>100000</v>
      </c>
      <c r="L332" t="s">
        <v>9</v>
      </c>
      <c r="M332" t="s">
        <v>7</v>
      </c>
      <c r="N332" t="b">
        <v>0</v>
      </c>
    </row>
    <row r="333" spans="1:14" x14ac:dyDescent="0.3">
      <c r="A333" t="s">
        <v>19</v>
      </c>
      <c r="B333" t="s">
        <v>9</v>
      </c>
      <c r="C333">
        <v>28</v>
      </c>
      <c r="D333" t="s">
        <v>65</v>
      </c>
      <c r="E333" t="s">
        <v>91</v>
      </c>
      <c r="G333">
        <v>2</v>
      </c>
      <c r="H333">
        <v>2</v>
      </c>
      <c r="I333" t="s">
        <v>61</v>
      </c>
      <c r="J333">
        <v>2400000</v>
      </c>
      <c r="K333">
        <v>4800000</v>
      </c>
      <c r="L333" t="s">
        <v>9</v>
      </c>
      <c r="M333" t="s">
        <v>7</v>
      </c>
      <c r="N333" t="b">
        <v>0</v>
      </c>
    </row>
    <row r="334" spans="1:14" x14ac:dyDescent="0.3">
      <c r="A334" t="s">
        <v>19</v>
      </c>
      <c r="B334" t="s">
        <v>9</v>
      </c>
      <c r="C334">
        <v>29</v>
      </c>
      <c r="E334" t="s">
        <v>92</v>
      </c>
      <c r="G334">
        <v>2</v>
      </c>
      <c r="H334">
        <v>2</v>
      </c>
      <c r="I334" t="s">
        <v>61</v>
      </c>
      <c r="J334">
        <v>2400000</v>
      </c>
      <c r="K334">
        <v>4800000</v>
      </c>
      <c r="L334" t="s">
        <v>9</v>
      </c>
      <c r="M334" t="s">
        <v>7</v>
      </c>
      <c r="N334" t="b">
        <v>0</v>
      </c>
    </row>
    <row r="335" spans="1:14" x14ac:dyDescent="0.3">
      <c r="A335" t="s">
        <v>19</v>
      </c>
      <c r="B335" t="s">
        <v>9</v>
      </c>
      <c r="C335">
        <v>30</v>
      </c>
      <c r="E335" t="s">
        <v>93</v>
      </c>
      <c r="G335">
        <v>2</v>
      </c>
      <c r="H335">
        <v>2</v>
      </c>
      <c r="I335" t="s">
        <v>61</v>
      </c>
      <c r="J335">
        <v>3000000</v>
      </c>
      <c r="K335">
        <v>6000000</v>
      </c>
      <c r="L335" t="s">
        <v>9</v>
      </c>
      <c r="M335" t="s">
        <v>7</v>
      </c>
      <c r="N335" t="b">
        <v>0</v>
      </c>
    </row>
    <row r="336" spans="1:14" x14ac:dyDescent="0.3">
      <c r="A336" t="s">
        <v>19</v>
      </c>
      <c r="B336" t="s">
        <v>9</v>
      </c>
      <c r="C336">
        <v>31</v>
      </c>
      <c r="D336" t="s">
        <v>104</v>
      </c>
      <c r="E336" t="s">
        <v>105</v>
      </c>
      <c r="G336">
        <v>1</v>
      </c>
      <c r="H336">
        <v>2</v>
      </c>
      <c r="I336" t="s">
        <v>61</v>
      </c>
      <c r="J336">
        <v>30000000</v>
      </c>
      <c r="K336">
        <v>60000000</v>
      </c>
      <c r="L336" t="s">
        <v>9</v>
      </c>
      <c r="M336" t="s">
        <v>7</v>
      </c>
      <c r="N336" t="b">
        <v>0</v>
      </c>
    </row>
    <row r="337" spans="1:14" x14ac:dyDescent="0.3">
      <c r="A337" t="s">
        <v>19</v>
      </c>
      <c r="B337" t="s">
        <v>9</v>
      </c>
      <c r="C337">
        <v>32</v>
      </c>
      <c r="E337" t="s">
        <v>106</v>
      </c>
      <c r="G337">
        <v>1</v>
      </c>
      <c r="H337">
        <v>0</v>
      </c>
      <c r="I337" t="s">
        <v>61</v>
      </c>
      <c r="J337">
        <v>18000000</v>
      </c>
      <c r="K337">
        <v>0</v>
      </c>
      <c r="L337" t="s">
        <v>9</v>
      </c>
      <c r="M337" t="s">
        <v>7</v>
      </c>
      <c r="N337" t="b">
        <v>0</v>
      </c>
    </row>
    <row r="338" spans="1:14" x14ac:dyDescent="0.3">
      <c r="A338" t="s">
        <v>19</v>
      </c>
      <c r="B338" t="s">
        <v>9</v>
      </c>
      <c r="C338">
        <v>33</v>
      </c>
      <c r="D338" t="s">
        <v>94</v>
      </c>
      <c r="E338" t="s">
        <v>95</v>
      </c>
      <c r="G338">
        <v>2</v>
      </c>
      <c r="H338">
        <v>2</v>
      </c>
      <c r="I338" t="s">
        <v>61</v>
      </c>
      <c r="J338">
        <v>1300000</v>
      </c>
      <c r="K338">
        <v>2600000</v>
      </c>
      <c r="L338" t="s">
        <v>9</v>
      </c>
      <c r="M338" t="s">
        <v>7</v>
      </c>
      <c r="N338" t="b">
        <v>0</v>
      </c>
    </row>
    <row r="339" spans="1:14" x14ac:dyDescent="0.3">
      <c r="A339" t="s">
        <v>19</v>
      </c>
      <c r="B339" t="s">
        <v>9</v>
      </c>
      <c r="C339">
        <v>34</v>
      </c>
      <c r="D339" t="s">
        <v>94</v>
      </c>
      <c r="E339" t="s">
        <v>96</v>
      </c>
      <c r="G339">
        <v>4</v>
      </c>
      <c r="H339">
        <v>1.34</v>
      </c>
      <c r="I339" t="s">
        <v>97</v>
      </c>
      <c r="J339">
        <v>460000</v>
      </c>
      <c r="K339">
        <v>616400</v>
      </c>
      <c r="L339" t="s">
        <v>9</v>
      </c>
      <c r="M339" t="s">
        <v>7</v>
      </c>
      <c r="N339" t="b">
        <v>0</v>
      </c>
    </row>
    <row r="340" spans="1:14" x14ac:dyDescent="0.3">
      <c r="A340" t="s">
        <v>19</v>
      </c>
      <c r="B340" t="s">
        <v>9</v>
      </c>
      <c r="C340">
        <v>35</v>
      </c>
      <c r="D340" t="s">
        <v>98</v>
      </c>
      <c r="E340" t="s">
        <v>99</v>
      </c>
      <c r="F340">
        <v>50</v>
      </c>
      <c r="G340">
        <v>8</v>
      </c>
      <c r="H340">
        <v>0.8</v>
      </c>
      <c r="I340" t="s">
        <v>100</v>
      </c>
      <c r="J340">
        <v>9739400</v>
      </c>
      <c r="K340">
        <v>7791520</v>
      </c>
      <c r="L340" t="s">
        <v>9</v>
      </c>
      <c r="M340" t="s">
        <v>7</v>
      </c>
      <c r="N340" t="b">
        <v>0</v>
      </c>
    </row>
    <row r="341" spans="1:14" x14ac:dyDescent="0.3">
      <c r="A341" t="s">
        <v>19</v>
      </c>
      <c r="B341" t="s">
        <v>9</v>
      </c>
      <c r="C341">
        <v>28</v>
      </c>
      <c r="E341" t="s">
        <v>101</v>
      </c>
      <c r="H341">
        <v>8</v>
      </c>
      <c r="I341" t="s">
        <v>102</v>
      </c>
      <c r="J341">
        <v>13000000</v>
      </c>
      <c r="K341">
        <v>104000000</v>
      </c>
      <c r="L341" t="s">
        <v>9</v>
      </c>
      <c r="M341" t="s">
        <v>7</v>
      </c>
      <c r="N341" t="b">
        <v>0</v>
      </c>
    </row>
    <row r="342" spans="1:14" x14ac:dyDescent="0.3">
      <c r="A342" t="s">
        <v>19</v>
      </c>
      <c r="B342" t="s">
        <v>9</v>
      </c>
      <c r="C342">
        <v>29</v>
      </c>
      <c r="E342" t="s">
        <v>107</v>
      </c>
      <c r="H342">
        <v>0</v>
      </c>
      <c r="I342" t="s">
        <v>108</v>
      </c>
      <c r="K342">
        <v>0</v>
      </c>
      <c r="L342" t="s">
        <v>9</v>
      </c>
      <c r="M342" t="s">
        <v>7</v>
      </c>
      <c r="N342" t="b">
        <v>0</v>
      </c>
    </row>
    <row r="343" spans="1:14" x14ac:dyDescent="0.3">
      <c r="A343" t="s">
        <v>19</v>
      </c>
      <c r="B343" t="s">
        <v>10</v>
      </c>
      <c r="C343">
        <v>1</v>
      </c>
      <c r="D343" t="s">
        <v>44</v>
      </c>
      <c r="E343" t="s">
        <v>45</v>
      </c>
      <c r="F343">
        <v>168</v>
      </c>
      <c r="G343">
        <v>2</v>
      </c>
      <c r="H343">
        <v>0.47039999999999998</v>
      </c>
      <c r="I343" t="s">
        <v>46</v>
      </c>
      <c r="J343">
        <v>8500000</v>
      </c>
      <c r="K343">
        <v>3998400</v>
      </c>
      <c r="L343" t="s">
        <v>10</v>
      </c>
      <c r="M343" t="s">
        <v>7</v>
      </c>
      <c r="N343" t="b">
        <v>0</v>
      </c>
    </row>
    <row r="344" spans="1:14" x14ac:dyDescent="0.3">
      <c r="A344" t="s">
        <v>19</v>
      </c>
      <c r="B344" t="s">
        <v>10</v>
      </c>
      <c r="C344">
        <v>2</v>
      </c>
      <c r="E344" t="s">
        <v>47</v>
      </c>
      <c r="F344">
        <v>0</v>
      </c>
      <c r="G344">
        <v>0</v>
      </c>
      <c r="H344">
        <v>0</v>
      </c>
      <c r="I344" t="s">
        <v>46</v>
      </c>
      <c r="J344">
        <v>8500000</v>
      </c>
      <c r="K344">
        <v>0</v>
      </c>
      <c r="L344" t="s">
        <v>10</v>
      </c>
      <c r="M344" t="s">
        <v>7</v>
      </c>
      <c r="N344" t="b">
        <v>0</v>
      </c>
    </row>
    <row r="345" spans="1:14" x14ac:dyDescent="0.3">
      <c r="A345" t="s">
        <v>19</v>
      </c>
      <c r="B345" t="s">
        <v>10</v>
      </c>
      <c r="C345">
        <v>3</v>
      </c>
      <c r="E345" t="s">
        <v>166</v>
      </c>
      <c r="F345">
        <v>168</v>
      </c>
      <c r="G345">
        <v>2</v>
      </c>
      <c r="H345">
        <v>0.73919999999999997</v>
      </c>
      <c r="I345" t="s">
        <v>46</v>
      </c>
      <c r="J345">
        <v>8500000</v>
      </c>
      <c r="K345">
        <v>6283200.0000000009</v>
      </c>
      <c r="L345" t="s">
        <v>10</v>
      </c>
      <c r="M345" t="s">
        <v>7</v>
      </c>
      <c r="N345" t="b">
        <v>0</v>
      </c>
    </row>
    <row r="346" spans="1:14" x14ac:dyDescent="0.3">
      <c r="A346" t="s">
        <v>19</v>
      </c>
      <c r="B346" t="s">
        <v>10</v>
      </c>
      <c r="C346">
        <v>4</v>
      </c>
      <c r="E346" t="s">
        <v>49</v>
      </c>
      <c r="F346">
        <v>120</v>
      </c>
      <c r="G346">
        <v>4</v>
      </c>
      <c r="H346">
        <v>0.48</v>
      </c>
      <c r="I346" t="s">
        <v>46</v>
      </c>
      <c r="J346">
        <v>8500000</v>
      </c>
      <c r="K346">
        <v>4080000</v>
      </c>
      <c r="L346" t="s">
        <v>10</v>
      </c>
      <c r="M346" t="s">
        <v>7</v>
      </c>
      <c r="N346" t="b">
        <v>0</v>
      </c>
    </row>
    <row r="347" spans="1:14" x14ac:dyDescent="0.3">
      <c r="A347" t="s">
        <v>19</v>
      </c>
      <c r="B347" t="s">
        <v>10</v>
      </c>
      <c r="C347">
        <v>5</v>
      </c>
      <c r="E347" t="s">
        <v>50</v>
      </c>
      <c r="F347">
        <v>180</v>
      </c>
      <c r="G347">
        <v>2</v>
      </c>
      <c r="H347">
        <v>0.59194800000000003</v>
      </c>
      <c r="I347" t="s">
        <v>46</v>
      </c>
      <c r="J347">
        <v>8500000</v>
      </c>
      <c r="K347">
        <v>5031558</v>
      </c>
      <c r="L347" t="s">
        <v>10</v>
      </c>
      <c r="M347" t="s">
        <v>7</v>
      </c>
      <c r="N347" t="b">
        <v>0</v>
      </c>
    </row>
    <row r="348" spans="1:14" x14ac:dyDescent="0.3">
      <c r="A348" t="s">
        <v>19</v>
      </c>
      <c r="B348" t="s">
        <v>10</v>
      </c>
      <c r="C348">
        <v>6</v>
      </c>
      <c r="E348" t="s">
        <v>51</v>
      </c>
      <c r="F348">
        <v>0.58799999999999997</v>
      </c>
      <c r="G348">
        <v>4</v>
      </c>
      <c r="H348">
        <v>5.3343360000000004</v>
      </c>
      <c r="I348" t="s">
        <v>46</v>
      </c>
      <c r="J348">
        <v>8500000</v>
      </c>
      <c r="K348">
        <v>45341856</v>
      </c>
      <c r="L348" t="s">
        <v>10</v>
      </c>
      <c r="M348" t="s">
        <v>7</v>
      </c>
      <c r="N348" t="b">
        <v>0</v>
      </c>
    </row>
    <row r="349" spans="1:14" x14ac:dyDescent="0.3">
      <c r="A349" t="s">
        <v>19</v>
      </c>
      <c r="B349" t="s">
        <v>10</v>
      </c>
      <c r="C349">
        <v>7</v>
      </c>
      <c r="D349" t="s">
        <v>52</v>
      </c>
      <c r="E349" t="s">
        <v>53</v>
      </c>
      <c r="F349">
        <v>0.13</v>
      </c>
      <c r="G349">
        <v>0.73382400000000003</v>
      </c>
      <c r="H349">
        <v>0.73382400000000003</v>
      </c>
      <c r="I349" t="s">
        <v>54</v>
      </c>
      <c r="J349">
        <v>4275000</v>
      </c>
      <c r="K349">
        <v>3137097.5999999996</v>
      </c>
      <c r="L349" t="s">
        <v>10</v>
      </c>
      <c r="M349" t="s">
        <v>7</v>
      </c>
      <c r="N349" t="b">
        <v>0</v>
      </c>
    </row>
    <row r="350" spans="1:14" x14ac:dyDescent="0.3">
      <c r="A350" t="s">
        <v>19</v>
      </c>
      <c r="B350" t="s">
        <v>10</v>
      </c>
      <c r="C350">
        <v>8</v>
      </c>
      <c r="E350" t="s">
        <v>55</v>
      </c>
      <c r="F350">
        <v>0.35</v>
      </c>
      <c r="G350">
        <v>0</v>
      </c>
      <c r="H350">
        <v>0</v>
      </c>
      <c r="I350" t="s">
        <v>46</v>
      </c>
      <c r="J350">
        <v>35750000</v>
      </c>
      <c r="K350">
        <v>0</v>
      </c>
      <c r="L350" t="s">
        <v>10</v>
      </c>
      <c r="M350" t="s">
        <v>7</v>
      </c>
      <c r="N350" t="b">
        <v>0</v>
      </c>
    </row>
    <row r="351" spans="1:14" x14ac:dyDescent="0.3">
      <c r="A351" t="s">
        <v>19</v>
      </c>
      <c r="B351" t="s">
        <v>10</v>
      </c>
      <c r="C351">
        <v>9</v>
      </c>
      <c r="E351" t="s">
        <v>55</v>
      </c>
      <c r="F351">
        <v>0.2</v>
      </c>
      <c r="G351">
        <v>0.36691200000000002</v>
      </c>
      <c r="H351">
        <v>0.36691200000000002</v>
      </c>
      <c r="I351" t="s">
        <v>46</v>
      </c>
      <c r="J351">
        <v>45760000</v>
      </c>
      <c r="K351">
        <v>16789893.119999997</v>
      </c>
      <c r="L351" t="s">
        <v>10</v>
      </c>
      <c r="M351" t="s">
        <v>7</v>
      </c>
      <c r="N351" t="b">
        <v>0</v>
      </c>
    </row>
    <row r="352" spans="1:14" x14ac:dyDescent="0.3">
      <c r="A352" t="s">
        <v>19</v>
      </c>
      <c r="B352" t="s">
        <v>10</v>
      </c>
      <c r="C352">
        <v>10</v>
      </c>
      <c r="D352" t="s">
        <v>56</v>
      </c>
      <c r="E352" t="s">
        <v>57</v>
      </c>
      <c r="G352">
        <v>1.2096</v>
      </c>
      <c r="H352">
        <v>1.2096</v>
      </c>
      <c r="I352" t="s">
        <v>46</v>
      </c>
      <c r="J352">
        <v>1430000</v>
      </c>
      <c r="K352">
        <v>1729728</v>
      </c>
      <c r="L352" t="s">
        <v>10</v>
      </c>
      <c r="M352" t="s">
        <v>7</v>
      </c>
      <c r="N352" t="b">
        <v>0</v>
      </c>
    </row>
    <row r="353" spans="1:14" x14ac:dyDescent="0.3">
      <c r="A353" t="s">
        <v>19</v>
      </c>
      <c r="B353" t="s">
        <v>10</v>
      </c>
      <c r="C353">
        <v>11</v>
      </c>
      <c r="D353" t="s">
        <v>58</v>
      </c>
      <c r="E353" t="s">
        <v>59</v>
      </c>
      <c r="G353">
        <v>8</v>
      </c>
      <c r="H353">
        <v>8</v>
      </c>
      <c r="I353" t="s">
        <v>46</v>
      </c>
      <c r="J353">
        <v>1600000</v>
      </c>
      <c r="K353">
        <v>12800000</v>
      </c>
      <c r="L353" t="s">
        <v>10</v>
      </c>
      <c r="M353" t="s">
        <v>7</v>
      </c>
      <c r="N353" t="b">
        <v>0</v>
      </c>
    </row>
    <row r="354" spans="1:14" x14ac:dyDescent="0.3">
      <c r="A354" t="s">
        <v>19</v>
      </c>
      <c r="B354" t="s">
        <v>10</v>
      </c>
      <c r="C354">
        <v>12</v>
      </c>
      <c r="E354" t="s">
        <v>60</v>
      </c>
      <c r="G354">
        <v>5.3343360000000004</v>
      </c>
      <c r="H354">
        <v>5.3343360000000004</v>
      </c>
      <c r="I354" t="s">
        <v>61</v>
      </c>
      <c r="J354">
        <v>3600000</v>
      </c>
      <c r="K354">
        <v>19203609.600000001</v>
      </c>
      <c r="L354" t="s">
        <v>10</v>
      </c>
      <c r="M354" t="s">
        <v>7</v>
      </c>
      <c r="N354" t="b">
        <v>0</v>
      </c>
    </row>
    <row r="355" spans="1:14" x14ac:dyDescent="0.3">
      <c r="A355" t="s">
        <v>19</v>
      </c>
      <c r="B355" t="s">
        <v>10</v>
      </c>
      <c r="C355">
        <v>13</v>
      </c>
      <c r="D355" t="s">
        <v>62</v>
      </c>
      <c r="E355" t="s">
        <v>63</v>
      </c>
      <c r="G355">
        <v>2.3519999999999999</v>
      </c>
      <c r="H355">
        <v>2.3519999999999999</v>
      </c>
      <c r="I355" t="s">
        <v>61</v>
      </c>
      <c r="J355">
        <v>3600000</v>
      </c>
      <c r="K355">
        <v>8467200</v>
      </c>
      <c r="L355" t="s">
        <v>10</v>
      </c>
      <c r="M355" t="s">
        <v>7</v>
      </c>
      <c r="N355" t="b">
        <v>0</v>
      </c>
    </row>
    <row r="356" spans="1:14" x14ac:dyDescent="0.3">
      <c r="A356" t="s">
        <v>19</v>
      </c>
      <c r="B356" t="s">
        <v>10</v>
      </c>
      <c r="C356">
        <v>14</v>
      </c>
      <c r="E356" t="s">
        <v>64</v>
      </c>
      <c r="G356">
        <v>0.1</v>
      </c>
      <c r="H356">
        <v>0.1</v>
      </c>
      <c r="I356" t="s">
        <v>61</v>
      </c>
      <c r="J356">
        <v>5500000</v>
      </c>
      <c r="K356">
        <v>550000</v>
      </c>
      <c r="L356" t="s">
        <v>10</v>
      </c>
      <c r="M356" t="s">
        <v>7</v>
      </c>
      <c r="N356" t="b">
        <v>0</v>
      </c>
    </row>
    <row r="357" spans="1:14" x14ac:dyDescent="0.3">
      <c r="A357" t="s">
        <v>19</v>
      </c>
      <c r="B357" t="s">
        <v>10</v>
      </c>
      <c r="C357">
        <v>15</v>
      </c>
      <c r="D357" t="s">
        <v>65</v>
      </c>
      <c r="E357" t="s">
        <v>66</v>
      </c>
      <c r="G357" t="s">
        <v>67</v>
      </c>
      <c r="H357">
        <v>8</v>
      </c>
      <c r="I357" t="s">
        <v>61</v>
      </c>
      <c r="J357">
        <v>200000</v>
      </c>
      <c r="K357">
        <v>1600000</v>
      </c>
      <c r="L357" t="s">
        <v>10</v>
      </c>
      <c r="M357" t="s">
        <v>7</v>
      </c>
      <c r="N357" t="b">
        <v>0</v>
      </c>
    </row>
    <row r="358" spans="1:14" x14ac:dyDescent="0.3">
      <c r="A358" t="s">
        <v>19</v>
      </c>
      <c r="B358" t="s">
        <v>10</v>
      </c>
      <c r="C358">
        <v>16</v>
      </c>
      <c r="E358" t="s">
        <v>68</v>
      </c>
      <c r="G358">
        <v>8</v>
      </c>
      <c r="H358">
        <v>8</v>
      </c>
      <c r="I358" t="s">
        <v>61</v>
      </c>
      <c r="J358">
        <v>200000</v>
      </c>
      <c r="K358">
        <v>1600000</v>
      </c>
      <c r="L358" t="s">
        <v>10</v>
      </c>
      <c r="M358" t="s">
        <v>7</v>
      </c>
      <c r="N358" t="b">
        <v>0</v>
      </c>
    </row>
    <row r="359" spans="1:14" x14ac:dyDescent="0.3">
      <c r="A359" t="s">
        <v>19</v>
      </c>
      <c r="B359" t="s">
        <v>10</v>
      </c>
      <c r="C359">
        <v>17</v>
      </c>
      <c r="E359" t="s">
        <v>69</v>
      </c>
      <c r="G359">
        <v>88</v>
      </c>
      <c r="H359">
        <v>16</v>
      </c>
      <c r="I359" t="s">
        <v>61</v>
      </c>
      <c r="J359">
        <v>200000</v>
      </c>
      <c r="K359">
        <v>3200000</v>
      </c>
      <c r="L359" t="s">
        <v>10</v>
      </c>
      <c r="M359" t="s">
        <v>7</v>
      </c>
      <c r="N359" t="b">
        <v>0</v>
      </c>
    </row>
    <row r="360" spans="1:14" x14ac:dyDescent="0.3">
      <c r="A360" t="s">
        <v>19</v>
      </c>
      <c r="B360" t="s">
        <v>10</v>
      </c>
      <c r="C360">
        <v>18</v>
      </c>
      <c r="E360" t="s">
        <v>70</v>
      </c>
      <c r="G360">
        <v>16</v>
      </c>
      <c r="H360">
        <v>16</v>
      </c>
      <c r="I360" t="s">
        <v>61</v>
      </c>
      <c r="J360">
        <v>400000</v>
      </c>
      <c r="K360">
        <v>6400000</v>
      </c>
      <c r="L360" t="s">
        <v>10</v>
      </c>
      <c r="M360" t="s">
        <v>7</v>
      </c>
      <c r="N360" t="b">
        <v>0</v>
      </c>
    </row>
    <row r="361" spans="1:14" x14ac:dyDescent="0.3">
      <c r="A361" t="s">
        <v>19</v>
      </c>
      <c r="B361" t="s">
        <v>10</v>
      </c>
      <c r="C361">
        <v>19</v>
      </c>
      <c r="E361" t="s">
        <v>71</v>
      </c>
      <c r="G361">
        <v>16</v>
      </c>
      <c r="H361">
        <v>16</v>
      </c>
      <c r="I361" t="s">
        <v>61</v>
      </c>
      <c r="J361">
        <v>120000</v>
      </c>
      <c r="K361">
        <v>1920000</v>
      </c>
      <c r="L361" t="s">
        <v>10</v>
      </c>
      <c r="M361" t="s">
        <v>7</v>
      </c>
      <c r="N361" t="b">
        <v>0</v>
      </c>
    </row>
    <row r="362" spans="1:14" x14ac:dyDescent="0.3">
      <c r="A362" t="s">
        <v>19</v>
      </c>
      <c r="B362" t="s">
        <v>10</v>
      </c>
      <c r="C362">
        <v>20</v>
      </c>
      <c r="E362" t="s">
        <v>72</v>
      </c>
      <c r="G362">
        <v>24</v>
      </c>
      <c r="H362">
        <v>24</v>
      </c>
      <c r="I362" t="s">
        <v>61</v>
      </c>
      <c r="J362">
        <v>400000</v>
      </c>
      <c r="K362">
        <v>9600000</v>
      </c>
      <c r="L362" t="s">
        <v>10</v>
      </c>
      <c r="M362" t="s">
        <v>7</v>
      </c>
      <c r="N362" t="b">
        <v>0</v>
      </c>
    </row>
    <row r="363" spans="1:14" x14ac:dyDescent="0.3">
      <c r="A363" t="s">
        <v>19</v>
      </c>
      <c r="B363" t="s">
        <v>10</v>
      </c>
      <c r="C363">
        <v>21</v>
      </c>
      <c r="D363" t="s">
        <v>73</v>
      </c>
      <c r="E363" t="s">
        <v>74</v>
      </c>
      <c r="F363">
        <v>132</v>
      </c>
      <c r="G363">
        <v>8</v>
      </c>
      <c r="H363">
        <v>3.9739391999999998</v>
      </c>
      <c r="I363" t="s">
        <v>46</v>
      </c>
      <c r="J363">
        <v>35000000</v>
      </c>
      <c r="K363">
        <v>139087872</v>
      </c>
      <c r="L363" t="s">
        <v>10</v>
      </c>
      <c r="M363" t="s">
        <v>7</v>
      </c>
      <c r="N363" t="b">
        <v>0</v>
      </c>
    </row>
    <row r="364" spans="1:14" x14ac:dyDescent="0.3">
      <c r="A364" t="s">
        <v>19</v>
      </c>
      <c r="B364" t="s">
        <v>10</v>
      </c>
      <c r="C364">
        <v>22</v>
      </c>
      <c r="D364" t="s">
        <v>75</v>
      </c>
      <c r="E364" t="s">
        <v>76</v>
      </c>
      <c r="F364" t="s">
        <v>77</v>
      </c>
      <c r="G364">
        <v>2</v>
      </c>
      <c r="H364">
        <v>1.2</v>
      </c>
      <c r="I364" t="s">
        <v>46</v>
      </c>
      <c r="J364">
        <v>5200000</v>
      </c>
      <c r="K364">
        <v>6240000</v>
      </c>
      <c r="L364" t="s">
        <v>10</v>
      </c>
      <c r="M364" t="s">
        <v>7</v>
      </c>
      <c r="N364" t="b">
        <v>0</v>
      </c>
    </row>
    <row r="365" spans="1:14" x14ac:dyDescent="0.3">
      <c r="A365" t="s">
        <v>19</v>
      </c>
      <c r="B365" t="s">
        <v>10</v>
      </c>
      <c r="C365">
        <v>23</v>
      </c>
      <c r="E365" t="s">
        <v>78</v>
      </c>
      <c r="F365" t="s">
        <v>79</v>
      </c>
      <c r="G365">
        <v>2</v>
      </c>
      <c r="H365">
        <v>1.2</v>
      </c>
      <c r="I365" t="s">
        <v>46</v>
      </c>
      <c r="J365">
        <v>5200000</v>
      </c>
      <c r="K365">
        <v>6240000</v>
      </c>
      <c r="L365" t="s">
        <v>10</v>
      </c>
      <c r="M365" t="s">
        <v>7</v>
      </c>
      <c r="N365" t="b">
        <v>0</v>
      </c>
    </row>
    <row r="366" spans="1:14" x14ac:dyDescent="0.3">
      <c r="A366" t="s">
        <v>19</v>
      </c>
      <c r="B366" t="s">
        <v>10</v>
      </c>
      <c r="C366">
        <v>24</v>
      </c>
      <c r="D366" t="s">
        <v>80</v>
      </c>
      <c r="E366" t="s">
        <v>81</v>
      </c>
      <c r="F366" t="s">
        <v>167</v>
      </c>
      <c r="G366">
        <v>2</v>
      </c>
      <c r="H366">
        <v>0.71719899999999992</v>
      </c>
      <c r="I366" t="s">
        <v>46</v>
      </c>
      <c r="J366">
        <v>8500000</v>
      </c>
      <c r="K366">
        <v>6096191.4999999991</v>
      </c>
      <c r="L366" t="s">
        <v>10</v>
      </c>
      <c r="M366" t="s">
        <v>7</v>
      </c>
      <c r="N366" t="b">
        <v>0</v>
      </c>
    </row>
    <row r="367" spans="1:14" x14ac:dyDescent="0.3">
      <c r="A367" t="s">
        <v>19</v>
      </c>
      <c r="B367" t="s">
        <v>10</v>
      </c>
      <c r="C367">
        <v>25</v>
      </c>
      <c r="D367" t="s">
        <v>83</v>
      </c>
      <c r="E367" t="s">
        <v>84</v>
      </c>
      <c r="F367">
        <v>0.18</v>
      </c>
      <c r="G367" t="s">
        <v>85</v>
      </c>
      <c r="H367" t="s">
        <v>85</v>
      </c>
      <c r="I367" t="s">
        <v>61</v>
      </c>
      <c r="J367">
        <v>910000</v>
      </c>
      <c r="K367">
        <v>1820000</v>
      </c>
      <c r="L367" t="s">
        <v>10</v>
      </c>
      <c r="M367" t="s">
        <v>7</v>
      </c>
      <c r="N367" t="b">
        <v>0</v>
      </c>
    </row>
    <row r="368" spans="1:14" x14ac:dyDescent="0.3">
      <c r="A368" t="s">
        <v>19</v>
      </c>
      <c r="B368" t="s">
        <v>10</v>
      </c>
      <c r="C368">
        <v>26</v>
      </c>
      <c r="E368" t="s">
        <v>86</v>
      </c>
      <c r="F368">
        <v>0.2</v>
      </c>
      <c r="G368" t="s">
        <v>87</v>
      </c>
      <c r="H368" t="s">
        <v>87</v>
      </c>
      <c r="I368" t="s">
        <v>61</v>
      </c>
      <c r="J368">
        <v>910000</v>
      </c>
      <c r="K368">
        <v>2730000</v>
      </c>
      <c r="L368" t="s">
        <v>10</v>
      </c>
      <c r="M368" t="s">
        <v>7</v>
      </c>
      <c r="N368" t="b">
        <v>0</v>
      </c>
    </row>
    <row r="369" spans="1:14" x14ac:dyDescent="0.3">
      <c r="A369" t="s">
        <v>19</v>
      </c>
      <c r="B369" t="s">
        <v>10</v>
      </c>
      <c r="C369">
        <v>27</v>
      </c>
      <c r="D369" t="s">
        <v>88</v>
      </c>
      <c r="E369" t="s">
        <v>89</v>
      </c>
      <c r="F369" t="s">
        <v>90</v>
      </c>
      <c r="G369">
        <v>1</v>
      </c>
      <c r="H369">
        <v>1</v>
      </c>
      <c r="I369" t="s">
        <v>61</v>
      </c>
      <c r="J369">
        <v>100000</v>
      </c>
      <c r="K369">
        <v>100000</v>
      </c>
      <c r="L369" t="s">
        <v>10</v>
      </c>
      <c r="M369" t="s">
        <v>7</v>
      </c>
      <c r="N369" t="b">
        <v>0</v>
      </c>
    </row>
    <row r="370" spans="1:14" x14ac:dyDescent="0.3">
      <c r="A370" t="s">
        <v>19</v>
      </c>
      <c r="B370" t="s">
        <v>10</v>
      </c>
      <c r="C370">
        <v>28</v>
      </c>
      <c r="D370" t="s">
        <v>65</v>
      </c>
      <c r="E370" t="s">
        <v>91</v>
      </c>
      <c r="G370">
        <v>2</v>
      </c>
      <c r="H370">
        <v>2</v>
      </c>
      <c r="I370" t="s">
        <v>61</v>
      </c>
      <c r="J370">
        <v>2400000</v>
      </c>
      <c r="K370">
        <v>4800000</v>
      </c>
      <c r="L370" t="s">
        <v>10</v>
      </c>
      <c r="M370" t="s">
        <v>7</v>
      </c>
      <c r="N370" t="b">
        <v>0</v>
      </c>
    </row>
    <row r="371" spans="1:14" x14ac:dyDescent="0.3">
      <c r="A371" t="s">
        <v>19</v>
      </c>
      <c r="B371" t="s">
        <v>10</v>
      </c>
      <c r="C371">
        <v>29</v>
      </c>
      <c r="E371" t="s">
        <v>92</v>
      </c>
      <c r="G371">
        <v>2</v>
      </c>
      <c r="H371">
        <v>2</v>
      </c>
      <c r="I371" t="s">
        <v>61</v>
      </c>
      <c r="J371">
        <v>2400000</v>
      </c>
      <c r="K371">
        <v>4800000</v>
      </c>
      <c r="L371" t="s">
        <v>10</v>
      </c>
      <c r="M371" t="s">
        <v>7</v>
      </c>
      <c r="N371" t="b">
        <v>0</v>
      </c>
    </row>
    <row r="372" spans="1:14" x14ac:dyDescent="0.3">
      <c r="A372" t="s">
        <v>19</v>
      </c>
      <c r="B372" t="s">
        <v>10</v>
      </c>
      <c r="C372">
        <v>30</v>
      </c>
      <c r="E372" t="s">
        <v>93</v>
      </c>
      <c r="G372">
        <v>2</v>
      </c>
      <c r="H372">
        <v>2</v>
      </c>
      <c r="I372" t="s">
        <v>61</v>
      </c>
      <c r="J372">
        <v>3000000</v>
      </c>
      <c r="K372">
        <v>6000000</v>
      </c>
      <c r="L372" t="s">
        <v>10</v>
      </c>
      <c r="M372" t="s">
        <v>7</v>
      </c>
      <c r="N372" t="b">
        <v>0</v>
      </c>
    </row>
    <row r="373" spans="1:14" x14ac:dyDescent="0.3">
      <c r="A373" t="s">
        <v>19</v>
      </c>
      <c r="B373" t="s">
        <v>10</v>
      </c>
      <c r="C373">
        <v>31</v>
      </c>
      <c r="D373" t="s">
        <v>94</v>
      </c>
      <c r="E373" t="s">
        <v>95</v>
      </c>
      <c r="G373">
        <v>2</v>
      </c>
      <c r="H373">
        <v>2</v>
      </c>
      <c r="I373" t="s">
        <v>61</v>
      </c>
      <c r="J373">
        <v>1300000</v>
      </c>
      <c r="K373">
        <v>2600000</v>
      </c>
      <c r="L373" t="s">
        <v>10</v>
      </c>
      <c r="M373" t="s">
        <v>7</v>
      </c>
      <c r="N373" t="b">
        <v>0</v>
      </c>
    </row>
    <row r="374" spans="1:14" x14ac:dyDescent="0.3">
      <c r="A374" t="s">
        <v>19</v>
      </c>
      <c r="B374" t="s">
        <v>10</v>
      </c>
      <c r="C374">
        <v>32</v>
      </c>
      <c r="D374" t="s">
        <v>94</v>
      </c>
      <c r="E374" t="s">
        <v>96</v>
      </c>
      <c r="G374">
        <v>4</v>
      </c>
      <c r="H374">
        <v>0.67200000000000004</v>
      </c>
      <c r="I374" t="s">
        <v>97</v>
      </c>
      <c r="J374">
        <v>460000</v>
      </c>
      <c r="K374">
        <v>309120</v>
      </c>
      <c r="L374" t="s">
        <v>10</v>
      </c>
      <c r="M374" t="s">
        <v>7</v>
      </c>
      <c r="N374" t="b">
        <v>0</v>
      </c>
    </row>
    <row r="375" spans="1:14" x14ac:dyDescent="0.3">
      <c r="A375" t="s">
        <v>19</v>
      </c>
      <c r="B375" t="s">
        <v>10</v>
      </c>
      <c r="C375">
        <v>33</v>
      </c>
      <c r="D375" t="s">
        <v>98</v>
      </c>
      <c r="E375" t="s">
        <v>99</v>
      </c>
      <c r="F375">
        <v>50</v>
      </c>
      <c r="G375">
        <v>8</v>
      </c>
      <c r="H375">
        <v>0.8</v>
      </c>
      <c r="I375" t="s">
        <v>100</v>
      </c>
      <c r="J375">
        <v>9739400</v>
      </c>
      <c r="K375">
        <v>7791520</v>
      </c>
      <c r="L375" t="s">
        <v>10</v>
      </c>
      <c r="M375" t="s">
        <v>7</v>
      </c>
      <c r="N375" t="b">
        <v>0</v>
      </c>
    </row>
    <row r="376" spans="1:14" x14ac:dyDescent="0.3">
      <c r="A376" t="s">
        <v>19</v>
      </c>
      <c r="B376" t="s">
        <v>10</v>
      </c>
      <c r="C376">
        <v>28</v>
      </c>
      <c r="E376" t="s">
        <v>101</v>
      </c>
      <c r="H376">
        <v>8</v>
      </c>
      <c r="I376" t="s">
        <v>102</v>
      </c>
      <c r="J376">
        <v>13000000</v>
      </c>
      <c r="K376">
        <v>104000000</v>
      </c>
      <c r="L376" t="s">
        <v>10</v>
      </c>
      <c r="M376" t="s">
        <v>7</v>
      </c>
      <c r="N376" t="b">
        <v>0</v>
      </c>
    </row>
    <row r="377" spans="1:14" x14ac:dyDescent="0.3">
      <c r="A377" t="s">
        <v>19</v>
      </c>
      <c r="B377" t="s">
        <v>10</v>
      </c>
      <c r="C377">
        <v>29</v>
      </c>
      <c r="E377" t="s">
        <v>107</v>
      </c>
      <c r="H377">
        <v>0</v>
      </c>
      <c r="I377" t="s">
        <v>108</v>
      </c>
      <c r="K377">
        <v>0</v>
      </c>
      <c r="L377" t="s">
        <v>10</v>
      </c>
      <c r="M377" t="s">
        <v>7</v>
      </c>
      <c r="N377" t="b">
        <v>0</v>
      </c>
    </row>
    <row r="378" spans="1:14" x14ac:dyDescent="0.3">
      <c r="A378" t="s">
        <v>19</v>
      </c>
      <c r="B378" t="s">
        <v>11</v>
      </c>
      <c r="C378">
        <v>1</v>
      </c>
      <c r="D378" t="s">
        <v>75</v>
      </c>
      <c r="E378" t="s">
        <v>109</v>
      </c>
      <c r="G378">
        <v>1</v>
      </c>
      <c r="H378">
        <v>9</v>
      </c>
      <c r="I378" t="s">
        <v>46</v>
      </c>
      <c r="J378">
        <v>5200000</v>
      </c>
      <c r="K378">
        <v>46800000</v>
      </c>
      <c r="L378" t="s">
        <v>11</v>
      </c>
      <c r="M378" t="s">
        <v>7</v>
      </c>
      <c r="N378" t="b">
        <v>0</v>
      </c>
    </row>
    <row r="379" spans="1:14" x14ac:dyDescent="0.3">
      <c r="A379" t="s">
        <v>19</v>
      </c>
      <c r="B379" t="s">
        <v>11</v>
      </c>
      <c r="C379">
        <v>4</v>
      </c>
      <c r="D379" t="s">
        <v>110</v>
      </c>
      <c r="E379" t="s">
        <v>111</v>
      </c>
      <c r="G379">
        <v>4</v>
      </c>
      <c r="H379">
        <v>0.5</v>
      </c>
      <c r="I379" t="s">
        <v>46</v>
      </c>
      <c r="J379">
        <v>22000000</v>
      </c>
      <c r="K379">
        <v>11000000</v>
      </c>
      <c r="L379" t="s">
        <v>11</v>
      </c>
      <c r="M379" t="s">
        <v>7</v>
      </c>
      <c r="N379" t="b">
        <v>0</v>
      </c>
    </row>
    <row r="380" spans="1:14" x14ac:dyDescent="0.3">
      <c r="A380" t="s">
        <v>19</v>
      </c>
      <c r="B380" t="s">
        <v>11</v>
      </c>
      <c r="C380">
        <v>5</v>
      </c>
      <c r="E380" t="s">
        <v>112</v>
      </c>
      <c r="G380">
        <v>20</v>
      </c>
      <c r="H380">
        <v>20</v>
      </c>
      <c r="I380" t="s">
        <v>61</v>
      </c>
      <c r="J380">
        <v>26000</v>
      </c>
      <c r="K380">
        <v>520000</v>
      </c>
      <c r="L380" t="s">
        <v>11</v>
      </c>
      <c r="M380" t="s">
        <v>7</v>
      </c>
      <c r="N380" t="b">
        <v>0</v>
      </c>
    </row>
    <row r="381" spans="1:14" x14ac:dyDescent="0.3">
      <c r="A381" t="s">
        <v>19</v>
      </c>
      <c r="B381" t="s">
        <v>11</v>
      </c>
      <c r="C381">
        <v>6</v>
      </c>
      <c r="E381" t="s">
        <v>113</v>
      </c>
      <c r="G381">
        <v>6</v>
      </c>
      <c r="H381">
        <v>6</v>
      </c>
      <c r="I381" t="s">
        <v>61</v>
      </c>
      <c r="J381">
        <v>195000</v>
      </c>
      <c r="K381">
        <v>1170000</v>
      </c>
      <c r="L381" t="s">
        <v>11</v>
      </c>
      <c r="M381" t="s">
        <v>7</v>
      </c>
      <c r="N381" t="b">
        <v>0</v>
      </c>
    </row>
    <row r="382" spans="1:14" x14ac:dyDescent="0.3">
      <c r="A382" t="s">
        <v>19</v>
      </c>
      <c r="B382" t="s">
        <v>11</v>
      </c>
      <c r="C382">
        <v>7</v>
      </c>
      <c r="E382" t="s">
        <v>114</v>
      </c>
      <c r="G382">
        <v>20</v>
      </c>
      <c r="H382">
        <v>20</v>
      </c>
      <c r="I382" t="s">
        <v>61</v>
      </c>
      <c r="J382">
        <v>13000</v>
      </c>
      <c r="K382">
        <v>260000</v>
      </c>
      <c r="L382" t="s">
        <v>11</v>
      </c>
      <c r="M382" t="s">
        <v>7</v>
      </c>
      <c r="N382" t="b">
        <v>0</v>
      </c>
    </row>
    <row r="383" spans="1:14" x14ac:dyDescent="0.3">
      <c r="A383" t="s">
        <v>19</v>
      </c>
      <c r="B383" t="s">
        <v>11</v>
      </c>
      <c r="C383">
        <v>8</v>
      </c>
      <c r="E383" t="s">
        <v>115</v>
      </c>
      <c r="G383">
        <v>20</v>
      </c>
      <c r="H383">
        <v>20</v>
      </c>
      <c r="I383" t="s">
        <v>61</v>
      </c>
      <c r="J383">
        <v>75000</v>
      </c>
      <c r="K383">
        <v>1500000</v>
      </c>
      <c r="L383" t="s">
        <v>11</v>
      </c>
      <c r="M383" t="s">
        <v>7</v>
      </c>
      <c r="N383" t="b">
        <v>0</v>
      </c>
    </row>
    <row r="384" spans="1:14" x14ac:dyDescent="0.3">
      <c r="A384" t="s">
        <v>19</v>
      </c>
      <c r="B384" t="s">
        <v>11</v>
      </c>
      <c r="C384">
        <v>9</v>
      </c>
      <c r="E384" t="s">
        <v>116</v>
      </c>
      <c r="G384">
        <v>1</v>
      </c>
      <c r="H384">
        <v>1</v>
      </c>
      <c r="I384" t="s">
        <v>61</v>
      </c>
      <c r="J384">
        <v>11250000</v>
      </c>
      <c r="K384">
        <v>11250000</v>
      </c>
      <c r="L384" t="s">
        <v>11</v>
      </c>
      <c r="M384" t="s">
        <v>7</v>
      </c>
      <c r="N384" t="b">
        <v>0</v>
      </c>
    </row>
    <row r="385" spans="1:14" x14ac:dyDescent="0.3">
      <c r="A385" t="s">
        <v>19</v>
      </c>
      <c r="B385" t="s">
        <v>11</v>
      </c>
      <c r="C385">
        <v>10</v>
      </c>
      <c r="E385" t="s">
        <v>117</v>
      </c>
      <c r="G385">
        <v>1</v>
      </c>
      <c r="H385">
        <v>1</v>
      </c>
      <c r="I385" t="s">
        <v>61</v>
      </c>
      <c r="J385">
        <v>7500000</v>
      </c>
      <c r="K385">
        <v>7500000</v>
      </c>
      <c r="L385" t="s">
        <v>11</v>
      </c>
      <c r="M385" t="s">
        <v>7</v>
      </c>
      <c r="N385" t="b">
        <v>0</v>
      </c>
    </row>
    <row r="386" spans="1:14" x14ac:dyDescent="0.3">
      <c r="A386" t="s">
        <v>19</v>
      </c>
      <c r="B386" t="s">
        <v>11</v>
      </c>
      <c r="C386">
        <v>11</v>
      </c>
      <c r="E386" t="s">
        <v>118</v>
      </c>
      <c r="G386">
        <v>2</v>
      </c>
      <c r="H386">
        <v>2</v>
      </c>
      <c r="I386" t="s">
        <v>61</v>
      </c>
      <c r="J386">
        <v>150000</v>
      </c>
      <c r="K386">
        <v>300000</v>
      </c>
      <c r="L386" t="s">
        <v>11</v>
      </c>
      <c r="M386" t="s">
        <v>7</v>
      </c>
      <c r="N386" t="b">
        <v>0</v>
      </c>
    </row>
    <row r="387" spans="1:14" x14ac:dyDescent="0.3">
      <c r="A387" t="s">
        <v>19</v>
      </c>
      <c r="B387" t="s">
        <v>11</v>
      </c>
      <c r="C387">
        <v>12</v>
      </c>
      <c r="E387" t="s">
        <v>119</v>
      </c>
      <c r="G387">
        <v>2</v>
      </c>
      <c r="H387">
        <v>2</v>
      </c>
      <c r="I387" t="s">
        <v>61</v>
      </c>
      <c r="J387">
        <v>100000</v>
      </c>
      <c r="K387">
        <v>200000</v>
      </c>
      <c r="L387" t="s">
        <v>11</v>
      </c>
      <c r="M387" t="s">
        <v>7</v>
      </c>
      <c r="N387" t="b">
        <v>0</v>
      </c>
    </row>
    <row r="388" spans="1:14" x14ac:dyDescent="0.3">
      <c r="A388" t="s">
        <v>19</v>
      </c>
      <c r="B388" t="s">
        <v>11</v>
      </c>
      <c r="C388">
        <v>13</v>
      </c>
      <c r="E388" t="s">
        <v>120</v>
      </c>
      <c r="G388">
        <v>4</v>
      </c>
      <c r="H388">
        <v>4</v>
      </c>
      <c r="I388" t="s">
        <v>61</v>
      </c>
      <c r="J388">
        <v>50000</v>
      </c>
      <c r="K388">
        <v>200000</v>
      </c>
      <c r="L388" t="s">
        <v>11</v>
      </c>
      <c r="M388" t="s">
        <v>7</v>
      </c>
      <c r="N388" t="b">
        <v>0</v>
      </c>
    </row>
    <row r="389" spans="1:14" x14ac:dyDescent="0.3">
      <c r="A389" t="s">
        <v>19</v>
      </c>
      <c r="B389" t="s">
        <v>11</v>
      </c>
      <c r="C389">
        <v>14</v>
      </c>
      <c r="E389" t="s">
        <v>121</v>
      </c>
      <c r="G389">
        <v>2</v>
      </c>
      <c r="H389">
        <v>2</v>
      </c>
      <c r="I389" t="s">
        <v>61</v>
      </c>
      <c r="J389">
        <v>100000</v>
      </c>
      <c r="K389">
        <v>200000</v>
      </c>
      <c r="L389" t="s">
        <v>11</v>
      </c>
      <c r="M389" t="s">
        <v>7</v>
      </c>
      <c r="N389" t="b">
        <v>0</v>
      </c>
    </row>
    <row r="390" spans="1:14" x14ac:dyDescent="0.3">
      <c r="A390" t="s">
        <v>19</v>
      </c>
      <c r="B390" t="s">
        <v>11</v>
      </c>
      <c r="C390">
        <v>15</v>
      </c>
      <c r="E390" t="s">
        <v>122</v>
      </c>
      <c r="G390">
        <v>1</v>
      </c>
      <c r="H390">
        <v>0.1</v>
      </c>
      <c r="I390" t="s">
        <v>46</v>
      </c>
      <c r="J390">
        <v>4200000</v>
      </c>
      <c r="K390">
        <v>420000</v>
      </c>
      <c r="L390" t="s">
        <v>11</v>
      </c>
      <c r="M390" t="s">
        <v>7</v>
      </c>
      <c r="N390" t="b">
        <v>0</v>
      </c>
    </row>
    <row r="391" spans="1:14" x14ac:dyDescent="0.3">
      <c r="A391" t="s">
        <v>19</v>
      </c>
      <c r="B391" t="s">
        <v>11</v>
      </c>
      <c r="C391">
        <v>16</v>
      </c>
      <c r="E391" t="s">
        <v>123</v>
      </c>
      <c r="G391">
        <v>1</v>
      </c>
      <c r="H391">
        <v>0.3</v>
      </c>
      <c r="I391" t="s">
        <v>97</v>
      </c>
      <c r="K391">
        <v>0</v>
      </c>
      <c r="L391" t="s">
        <v>11</v>
      </c>
      <c r="M391" t="s">
        <v>7</v>
      </c>
      <c r="N391" t="b">
        <v>0</v>
      </c>
    </row>
    <row r="392" spans="1:14" x14ac:dyDescent="0.3">
      <c r="A392" t="s">
        <v>19</v>
      </c>
      <c r="B392" t="s">
        <v>11</v>
      </c>
      <c r="C392">
        <v>17</v>
      </c>
      <c r="E392" t="s">
        <v>124</v>
      </c>
      <c r="G392">
        <v>1</v>
      </c>
      <c r="H392">
        <v>0.15</v>
      </c>
      <c r="I392" t="s">
        <v>97</v>
      </c>
      <c r="K392">
        <v>0</v>
      </c>
      <c r="L392" t="s">
        <v>11</v>
      </c>
      <c r="M392" t="s">
        <v>7</v>
      </c>
      <c r="N392" t="b">
        <v>0</v>
      </c>
    </row>
    <row r="393" spans="1:14" x14ac:dyDescent="0.3">
      <c r="A393" t="s">
        <v>19</v>
      </c>
      <c r="B393" t="s">
        <v>11</v>
      </c>
      <c r="C393">
        <v>18</v>
      </c>
      <c r="E393" t="s">
        <v>125</v>
      </c>
      <c r="G393">
        <v>1</v>
      </c>
      <c r="I393" t="s">
        <v>61</v>
      </c>
      <c r="K393">
        <v>0</v>
      </c>
      <c r="L393" t="s">
        <v>11</v>
      </c>
      <c r="M393" t="s">
        <v>7</v>
      </c>
      <c r="N393" t="b">
        <v>0</v>
      </c>
    </row>
    <row r="394" spans="1:14" x14ac:dyDescent="0.3">
      <c r="A394" t="s">
        <v>19</v>
      </c>
      <c r="B394" t="s">
        <v>11</v>
      </c>
      <c r="C394">
        <v>19</v>
      </c>
      <c r="E394" t="s">
        <v>126</v>
      </c>
      <c r="G394">
        <v>1</v>
      </c>
      <c r="I394" t="s">
        <v>61</v>
      </c>
      <c r="K394">
        <v>0</v>
      </c>
      <c r="L394" t="s">
        <v>11</v>
      </c>
      <c r="M394" t="s">
        <v>7</v>
      </c>
      <c r="N394" t="b">
        <v>0</v>
      </c>
    </row>
    <row r="395" spans="1:14" x14ac:dyDescent="0.3">
      <c r="A395" t="s">
        <v>19</v>
      </c>
      <c r="B395" t="s">
        <v>11</v>
      </c>
      <c r="C395">
        <v>20</v>
      </c>
      <c r="E395" t="s">
        <v>127</v>
      </c>
      <c r="G395">
        <v>1</v>
      </c>
      <c r="I395" t="s">
        <v>61</v>
      </c>
      <c r="K395">
        <v>0</v>
      </c>
      <c r="L395" t="s">
        <v>11</v>
      </c>
      <c r="M395" t="s">
        <v>7</v>
      </c>
      <c r="N395" t="b">
        <v>0</v>
      </c>
    </row>
    <row r="396" spans="1:14" x14ac:dyDescent="0.3">
      <c r="A396" t="s">
        <v>19</v>
      </c>
      <c r="B396" t="s">
        <v>11</v>
      </c>
      <c r="C396">
        <v>21</v>
      </c>
      <c r="E396" t="s">
        <v>128</v>
      </c>
      <c r="G396">
        <v>1</v>
      </c>
      <c r="H396">
        <v>1</v>
      </c>
      <c r="I396" t="s">
        <v>61</v>
      </c>
      <c r="J396">
        <v>74000000</v>
      </c>
      <c r="K396">
        <v>74000000</v>
      </c>
      <c r="L396" t="s">
        <v>11</v>
      </c>
      <c r="M396" t="s">
        <v>7</v>
      </c>
      <c r="N396" t="b">
        <v>0</v>
      </c>
    </row>
    <row r="397" spans="1:14" x14ac:dyDescent="0.3">
      <c r="A397" t="s">
        <v>19</v>
      </c>
      <c r="B397" t="s">
        <v>11</v>
      </c>
      <c r="C397">
        <v>7</v>
      </c>
      <c r="E397" t="s">
        <v>101</v>
      </c>
      <c r="H397">
        <v>5</v>
      </c>
      <c r="I397" t="s">
        <v>102</v>
      </c>
      <c r="J397">
        <v>13000000</v>
      </c>
      <c r="K397">
        <v>65000000</v>
      </c>
      <c r="L397" t="s">
        <v>11</v>
      </c>
      <c r="M397" t="s">
        <v>7</v>
      </c>
      <c r="N397" t="b">
        <v>0</v>
      </c>
    </row>
    <row r="398" spans="1:14" x14ac:dyDescent="0.3">
      <c r="A398" t="s">
        <v>19</v>
      </c>
      <c r="B398" t="s">
        <v>11</v>
      </c>
      <c r="C398">
        <v>8</v>
      </c>
      <c r="E398" t="s">
        <v>107</v>
      </c>
      <c r="H398">
        <v>0</v>
      </c>
      <c r="I398" t="s">
        <v>108</v>
      </c>
      <c r="K398">
        <v>0</v>
      </c>
      <c r="L398" t="s">
        <v>11</v>
      </c>
      <c r="M398" t="s">
        <v>7</v>
      </c>
      <c r="N398" t="b">
        <v>0</v>
      </c>
    </row>
    <row r="399" spans="1:14" x14ac:dyDescent="0.3">
      <c r="A399" t="s">
        <v>19</v>
      </c>
      <c r="B399" t="s">
        <v>12</v>
      </c>
      <c r="C399">
        <v>1</v>
      </c>
      <c r="D399" t="s">
        <v>129</v>
      </c>
      <c r="E399" t="s">
        <v>130</v>
      </c>
      <c r="G399">
        <v>1</v>
      </c>
      <c r="H399">
        <v>7</v>
      </c>
      <c r="I399" t="s">
        <v>131</v>
      </c>
      <c r="J399">
        <v>22500000</v>
      </c>
      <c r="K399">
        <v>157500000</v>
      </c>
      <c r="L399" t="s">
        <v>12</v>
      </c>
      <c r="M399" t="s">
        <v>7</v>
      </c>
      <c r="N399" t="b">
        <v>0</v>
      </c>
    </row>
    <row r="400" spans="1:14" x14ac:dyDescent="0.3">
      <c r="A400" t="s">
        <v>19</v>
      </c>
      <c r="B400" t="s">
        <v>12</v>
      </c>
      <c r="D400" t="s">
        <v>58</v>
      </c>
      <c r="E400" t="s">
        <v>60</v>
      </c>
      <c r="G400">
        <v>0</v>
      </c>
      <c r="H400">
        <v>8</v>
      </c>
      <c r="I400" t="s">
        <v>46</v>
      </c>
      <c r="J400">
        <v>3600000</v>
      </c>
      <c r="K400">
        <v>28800000</v>
      </c>
      <c r="L400" t="s">
        <v>12</v>
      </c>
      <c r="M400" t="s">
        <v>7</v>
      </c>
      <c r="N400" t="b">
        <v>0</v>
      </c>
    </row>
    <row r="401" spans="1:14" x14ac:dyDescent="0.3">
      <c r="A401" t="s">
        <v>19</v>
      </c>
      <c r="B401" t="s">
        <v>12</v>
      </c>
      <c r="C401">
        <v>3</v>
      </c>
      <c r="E401" t="s">
        <v>132</v>
      </c>
      <c r="G401">
        <v>16</v>
      </c>
      <c r="I401" t="s">
        <v>61</v>
      </c>
      <c r="J401">
        <v>50000</v>
      </c>
      <c r="K401">
        <v>800000</v>
      </c>
      <c r="L401" t="s">
        <v>12</v>
      </c>
      <c r="M401" t="s">
        <v>7</v>
      </c>
      <c r="N401" t="b">
        <v>0</v>
      </c>
    </row>
    <row r="402" spans="1:14" x14ac:dyDescent="0.3">
      <c r="A402" t="s">
        <v>19</v>
      </c>
      <c r="B402" t="s">
        <v>12</v>
      </c>
      <c r="C402">
        <v>4</v>
      </c>
      <c r="E402" t="s">
        <v>133</v>
      </c>
      <c r="G402">
        <v>16</v>
      </c>
      <c r="I402" t="s">
        <v>61</v>
      </c>
      <c r="J402">
        <v>15000</v>
      </c>
      <c r="K402">
        <v>240000</v>
      </c>
      <c r="L402" t="s">
        <v>12</v>
      </c>
      <c r="M402" t="s">
        <v>7</v>
      </c>
      <c r="N402" t="b">
        <v>0</v>
      </c>
    </row>
    <row r="403" spans="1:14" x14ac:dyDescent="0.3">
      <c r="A403" t="s">
        <v>19</v>
      </c>
      <c r="B403" t="s">
        <v>12</v>
      </c>
      <c r="C403">
        <v>5</v>
      </c>
      <c r="E403" t="s">
        <v>134</v>
      </c>
      <c r="G403">
        <v>32</v>
      </c>
      <c r="I403" t="s">
        <v>61</v>
      </c>
      <c r="J403">
        <v>5000</v>
      </c>
      <c r="K403">
        <v>160000</v>
      </c>
      <c r="L403" t="s">
        <v>12</v>
      </c>
      <c r="M403" t="s">
        <v>7</v>
      </c>
      <c r="N403" t="b">
        <v>0</v>
      </c>
    </row>
    <row r="404" spans="1:14" x14ac:dyDescent="0.3">
      <c r="A404" t="s">
        <v>19</v>
      </c>
      <c r="B404" t="s">
        <v>12</v>
      </c>
      <c r="C404">
        <v>6</v>
      </c>
      <c r="E404" t="s">
        <v>135</v>
      </c>
      <c r="G404">
        <v>16</v>
      </c>
      <c r="I404" t="s">
        <v>61</v>
      </c>
      <c r="J404">
        <v>5000</v>
      </c>
      <c r="K404">
        <v>80000</v>
      </c>
      <c r="L404" t="s">
        <v>12</v>
      </c>
      <c r="M404" t="s">
        <v>7</v>
      </c>
      <c r="N404" t="b">
        <v>0</v>
      </c>
    </row>
    <row r="405" spans="1:14" x14ac:dyDescent="0.3">
      <c r="A405" t="s">
        <v>19</v>
      </c>
      <c r="B405" t="s">
        <v>12</v>
      </c>
      <c r="C405">
        <v>7</v>
      </c>
      <c r="E405" t="s">
        <v>101</v>
      </c>
      <c r="H405">
        <v>1</v>
      </c>
      <c r="I405" t="s">
        <v>102</v>
      </c>
      <c r="J405">
        <v>13000000</v>
      </c>
      <c r="K405">
        <v>13000000</v>
      </c>
      <c r="L405" t="s">
        <v>12</v>
      </c>
      <c r="M405" t="s">
        <v>7</v>
      </c>
      <c r="N405" t="b">
        <v>0</v>
      </c>
    </row>
    <row r="406" spans="1:14" x14ac:dyDescent="0.3">
      <c r="A406" t="s">
        <v>19</v>
      </c>
      <c r="B406" t="s">
        <v>12</v>
      </c>
      <c r="C406">
        <v>8</v>
      </c>
      <c r="E406" t="s">
        <v>107</v>
      </c>
      <c r="H406">
        <v>0</v>
      </c>
      <c r="I406" t="s">
        <v>108</v>
      </c>
      <c r="K406">
        <v>0</v>
      </c>
      <c r="L406" t="s">
        <v>12</v>
      </c>
      <c r="M406" t="s">
        <v>7</v>
      </c>
      <c r="N406" t="b">
        <v>0</v>
      </c>
    </row>
    <row r="407" spans="1:14" x14ac:dyDescent="0.3">
      <c r="A407" t="s">
        <v>19</v>
      </c>
      <c r="B407" t="s">
        <v>13</v>
      </c>
      <c r="C407">
        <v>1</v>
      </c>
      <c r="D407" t="s">
        <v>73</v>
      </c>
      <c r="E407" t="s">
        <v>136</v>
      </c>
      <c r="G407">
        <v>1</v>
      </c>
      <c r="H407">
        <v>8</v>
      </c>
      <c r="I407" t="s">
        <v>46</v>
      </c>
      <c r="J407">
        <v>8500000</v>
      </c>
      <c r="K407">
        <v>68000000</v>
      </c>
      <c r="L407" t="s">
        <v>13</v>
      </c>
      <c r="M407" t="s">
        <v>7</v>
      </c>
      <c r="N407" t="b">
        <v>0</v>
      </c>
    </row>
    <row r="408" spans="1:14" x14ac:dyDescent="0.3">
      <c r="A408" t="s">
        <v>19</v>
      </c>
      <c r="B408" t="s">
        <v>13</v>
      </c>
      <c r="D408" t="s">
        <v>58</v>
      </c>
      <c r="E408" t="s">
        <v>60</v>
      </c>
      <c r="G408">
        <v>0</v>
      </c>
      <c r="H408">
        <v>8</v>
      </c>
      <c r="I408" t="s">
        <v>46</v>
      </c>
      <c r="J408">
        <v>3600000</v>
      </c>
      <c r="K408">
        <v>28800000</v>
      </c>
      <c r="L408" t="s">
        <v>13</v>
      </c>
      <c r="M408" t="s">
        <v>7</v>
      </c>
      <c r="N408" t="b">
        <v>0</v>
      </c>
    </row>
    <row r="409" spans="1:14" x14ac:dyDescent="0.3">
      <c r="A409" t="s">
        <v>19</v>
      </c>
      <c r="B409" t="s">
        <v>13</v>
      </c>
      <c r="C409">
        <v>3</v>
      </c>
      <c r="E409" t="s">
        <v>132</v>
      </c>
      <c r="G409">
        <v>4</v>
      </c>
      <c r="I409" t="s">
        <v>61</v>
      </c>
      <c r="J409">
        <v>50000</v>
      </c>
      <c r="K409">
        <v>200000</v>
      </c>
      <c r="L409" t="s">
        <v>13</v>
      </c>
      <c r="M409" t="s">
        <v>7</v>
      </c>
      <c r="N409" t="b">
        <v>0</v>
      </c>
    </row>
    <row r="410" spans="1:14" x14ac:dyDescent="0.3">
      <c r="A410" t="s">
        <v>19</v>
      </c>
      <c r="B410" t="s">
        <v>13</v>
      </c>
      <c r="C410">
        <v>4</v>
      </c>
      <c r="E410" t="s">
        <v>133</v>
      </c>
      <c r="G410">
        <v>4</v>
      </c>
      <c r="I410" t="s">
        <v>61</v>
      </c>
      <c r="J410">
        <v>15000</v>
      </c>
      <c r="K410">
        <v>60000</v>
      </c>
      <c r="L410" t="s">
        <v>13</v>
      </c>
      <c r="M410" t="s">
        <v>7</v>
      </c>
      <c r="N410" t="b">
        <v>0</v>
      </c>
    </row>
    <row r="411" spans="1:14" x14ac:dyDescent="0.3">
      <c r="A411" t="s">
        <v>19</v>
      </c>
      <c r="B411" t="s">
        <v>13</v>
      </c>
      <c r="C411">
        <v>5</v>
      </c>
      <c r="E411" t="s">
        <v>134</v>
      </c>
      <c r="G411">
        <v>8</v>
      </c>
      <c r="I411" t="s">
        <v>61</v>
      </c>
      <c r="J411">
        <v>5000</v>
      </c>
      <c r="K411">
        <v>40000</v>
      </c>
      <c r="L411" t="s">
        <v>13</v>
      </c>
      <c r="M411" t="s">
        <v>7</v>
      </c>
      <c r="N411" t="b">
        <v>0</v>
      </c>
    </row>
    <row r="412" spans="1:14" x14ac:dyDescent="0.3">
      <c r="A412" t="s">
        <v>19</v>
      </c>
      <c r="B412" t="s">
        <v>13</v>
      </c>
      <c r="C412">
        <v>6</v>
      </c>
      <c r="E412" t="s">
        <v>135</v>
      </c>
      <c r="G412">
        <v>4</v>
      </c>
      <c r="I412" t="s">
        <v>61</v>
      </c>
      <c r="J412">
        <v>5000</v>
      </c>
      <c r="K412">
        <v>20000</v>
      </c>
      <c r="L412" t="s">
        <v>13</v>
      </c>
      <c r="M412" t="s">
        <v>7</v>
      </c>
      <c r="N412" t="b">
        <v>0</v>
      </c>
    </row>
    <row r="413" spans="1:14" x14ac:dyDescent="0.3">
      <c r="A413" t="s">
        <v>19</v>
      </c>
      <c r="B413" t="s">
        <v>13</v>
      </c>
      <c r="C413">
        <v>7</v>
      </c>
      <c r="E413" t="s">
        <v>101</v>
      </c>
      <c r="H413">
        <v>5</v>
      </c>
      <c r="I413" t="s">
        <v>102</v>
      </c>
      <c r="J413">
        <v>13000000</v>
      </c>
      <c r="K413">
        <v>65000000</v>
      </c>
      <c r="L413" t="s">
        <v>13</v>
      </c>
      <c r="M413" t="s">
        <v>7</v>
      </c>
      <c r="N413" t="b">
        <v>0</v>
      </c>
    </row>
    <row r="414" spans="1:14" x14ac:dyDescent="0.3">
      <c r="A414" t="s">
        <v>19</v>
      </c>
      <c r="B414" t="s">
        <v>13</v>
      </c>
      <c r="C414">
        <v>8</v>
      </c>
      <c r="E414" t="s">
        <v>107</v>
      </c>
      <c r="H414">
        <v>0</v>
      </c>
      <c r="I414" t="s">
        <v>108</v>
      </c>
      <c r="K414">
        <v>0</v>
      </c>
      <c r="L414" t="s">
        <v>13</v>
      </c>
      <c r="M414" t="s">
        <v>7</v>
      </c>
      <c r="N414" t="b">
        <v>0</v>
      </c>
    </row>
    <row r="415" spans="1:14" x14ac:dyDescent="0.3">
      <c r="A415" t="s">
        <v>19</v>
      </c>
      <c r="B415" t="s">
        <v>14</v>
      </c>
      <c r="C415">
        <v>1</v>
      </c>
      <c r="D415" t="s">
        <v>73</v>
      </c>
      <c r="E415" t="s">
        <v>137</v>
      </c>
      <c r="G415">
        <v>1</v>
      </c>
      <c r="H415">
        <v>8</v>
      </c>
      <c r="I415" t="s">
        <v>46</v>
      </c>
      <c r="J415">
        <v>8500000</v>
      </c>
      <c r="K415">
        <v>68000000</v>
      </c>
      <c r="L415" t="s">
        <v>14</v>
      </c>
      <c r="M415" t="s">
        <v>7</v>
      </c>
      <c r="N415" t="b">
        <v>0</v>
      </c>
    </row>
    <row r="416" spans="1:14" x14ac:dyDescent="0.3">
      <c r="A416" t="s">
        <v>19</v>
      </c>
      <c r="B416" t="s">
        <v>14</v>
      </c>
      <c r="D416" t="s">
        <v>58</v>
      </c>
      <c r="E416" t="s">
        <v>60</v>
      </c>
      <c r="G416">
        <v>0</v>
      </c>
      <c r="H416">
        <v>8</v>
      </c>
      <c r="I416" t="s">
        <v>46</v>
      </c>
      <c r="J416">
        <v>3600000</v>
      </c>
      <c r="K416">
        <v>28800000</v>
      </c>
      <c r="L416" t="s">
        <v>14</v>
      </c>
      <c r="M416" t="s">
        <v>7</v>
      </c>
      <c r="N416" t="b">
        <v>0</v>
      </c>
    </row>
    <row r="417" spans="1:14" x14ac:dyDescent="0.3">
      <c r="A417" t="s">
        <v>19</v>
      </c>
      <c r="B417" t="s">
        <v>14</v>
      </c>
      <c r="C417">
        <v>3</v>
      </c>
      <c r="E417" t="s">
        <v>132</v>
      </c>
      <c r="G417">
        <v>16</v>
      </c>
      <c r="I417" t="s">
        <v>61</v>
      </c>
      <c r="J417">
        <v>50000</v>
      </c>
      <c r="K417">
        <v>800000</v>
      </c>
      <c r="L417" t="s">
        <v>14</v>
      </c>
      <c r="M417" t="s">
        <v>7</v>
      </c>
      <c r="N417" t="b">
        <v>0</v>
      </c>
    </row>
    <row r="418" spans="1:14" x14ac:dyDescent="0.3">
      <c r="A418" t="s">
        <v>19</v>
      </c>
      <c r="B418" t="s">
        <v>14</v>
      </c>
      <c r="C418">
        <v>4</v>
      </c>
      <c r="E418" t="s">
        <v>133</v>
      </c>
      <c r="G418">
        <v>16</v>
      </c>
      <c r="I418" t="s">
        <v>61</v>
      </c>
      <c r="J418">
        <v>15000</v>
      </c>
      <c r="K418">
        <v>240000</v>
      </c>
      <c r="L418" t="s">
        <v>14</v>
      </c>
      <c r="M418" t="s">
        <v>7</v>
      </c>
      <c r="N418" t="b">
        <v>0</v>
      </c>
    </row>
    <row r="419" spans="1:14" x14ac:dyDescent="0.3">
      <c r="A419" t="s">
        <v>19</v>
      </c>
      <c r="B419" t="s">
        <v>14</v>
      </c>
      <c r="C419">
        <v>5</v>
      </c>
      <c r="E419" t="s">
        <v>134</v>
      </c>
      <c r="G419">
        <v>32</v>
      </c>
      <c r="I419" t="s">
        <v>61</v>
      </c>
      <c r="J419">
        <v>5000</v>
      </c>
      <c r="K419">
        <v>160000</v>
      </c>
      <c r="L419" t="s">
        <v>14</v>
      </c>
      <c r="M419" t="s">
        <v>7</v>
      </c>
      <c r="N419" t="b">
        <v>0</v>
      </c>
    </row>
    <row r="420" spans="1:14" x14ac:dyDescent="0.3">
      <c r="A420" t="s">
        <v>19</v>
      </c>
      <c r="B420" t="s">
        <v>14</v>
      </c>
      <c r="C420">
        <v>6</v>
      </c>
      <c r="E420" t="s">
        <v>135</v>
      </c>
      <c r="G420">
        <v>16</v>
      </c>
      <c r="I420" t="s">
        <v>61</v>
      </c>
      <c r="J420">
        <v>5000</v>
      </c>
      <c r="K420">
        <v>80000</v>
      </c>
      <c r="L420" t="s">
        <v>14</v>
      </c>
      <c r="M420" t="s">
        <v>7</v>
      </c>
      <c r="N420" t="b">
        <v>0</v>
      </c>
    </row>
    <row r="421" spans="1:14" x14ac:dyDescent="0.3">
      <c r="A421" t="s">
        <v>19</v>
      </c>
      <c r="B421" t="s">
        <v>14</v>
      </c>
      <c r="C421">
        <v>7</v>
      </c>
      <c r="E421" t="s">
        <v>101</v>
      </c>
      <c r="H421">
        <v>5</v>
      </c>
      <c r="I421" t="s">
        <v>102</v>
      </c>
      <c r="J421">
        <v>13000000</v>
      </c>
      <c r="K421">
        <v>65000000</v>
      </c>
      <c r="L421" t="s">
        <v>14</v>
      </c>
      <c r="M421" t="s">
        <v>7</v>
      </c>
      <c r="N421" t="b">
        <v>0</v>
      </c>
    </row>
    <row r="422" spans="1:14" x14ac:dyDescent="0.3">
      <c r="A422" t="s">
        <v>19</v>
      </c>
      <c r="B422" t="s">
        <v>14</v>
      </c>
      <c r="C422">
        <v>8</v>
      </c>
      <c r="E422" t="s">
        <v>107</v>
      </c>
      <c r="H422">
        <v>0</v>
      </c>
      <c r="I422" t="s">
        <v>108</v>
      </c>
      <c r="K422">
        <v>0</v>
      </c>
      <c r="L422" t="s">
        <v>14</v>
      </c>
      <c r="M422" t="s">
        <v>7</v>
      </c>
      <c r="N422" t="b">
        <v>0</v>
      </c>
    </row>
    <row r="423" spans="1:14" x14ac:dyDescent="0.3">
      <c r="A423" t="s">
        <v>19</v>
      </c>
      <c r="B423" t="s">
        <v>15</v>
      </c>
      <c r="C423">
        <v>1</v>
      </c>
      <c r="D423" t="s">
        <v>75</v>
      </c>
      <c r="E423" t="s">
        <v>138</v>
      </c>
      <c r="G423">
        <v>1</v>
      </c>
      <c r="H423">
        <v>25</v>
      </c>
      <c r="I423" t="s">
        <v>46</v>
      </c>
      <c r="J423">
        <v>5200000</v>
      </c>
      <c r="K423">
        <v>130000000</v>
      </c>
      <c r="L423" t="s">
        <v>15</v>
      </c>
      <c r="M423" t="s">
        <v>7</v>
      </c>
      <c r="N423" t="b">
        <v>0</v>
      </c>
    </row>
    <row r="424" spans="1:14" x14ac:dyDescent="0.3">
      <c r="A424" t="s">
        <v>19</v>
      </c>
      <c r="B424" t="s">
        <v>15</v>
      </c>
      <c r="D424" t="s">
        <v>75</v>
      </c>
      <c r="E424" t="s">
        <v>139</v>
      </c>
      <c r="G424">
        <v>1</v>
      </c>
      <c r="I424" t="s">
        <v>46</v>
      </c>
      <c r="K424">
        <v>0</v>
      </c>
      <c r="L424" t="s">
        <v>15</v>
      </c>
      <c r="M424" t="s">
        <v>7</v>
      </c>
      <c r="N424" t="b">
        <v>0</v>
      </c>
    </row>
    <row r="425" spans="1:14" x14ac:dyDescent="0.3">
      <c r="A425" t="s">
        <v>19</v>
      </c>
      <c r="B425" t="s">
        <v>15</v>
      </c>
      <c r="C425">
        <v>3</v>
      </c>
      <c r="E425" t="s">
        <v>140</v>
      </c>
      <c r="G425">
        <v>32</v>
      </c>
      <c r="I425" t="s">
        <v>61</v>
      </c>
      <c r="J425">
        <v>10000</v>
      </c>
      <c r="K425">
        <v>320000</v>
      </c>
      <c r="L425" t="s">
        <v>15</v>
      </c>
      <c r="M425" t="s">
        <v>7</v>
      </c>
      <c r="N425" t="b">
        <v>0</v>
      </c>
    </row>
    <row r="426" spans="1:14" x14ac:dyDescent="0.3">
      <c r="A426" t="s">
        <v>19</v>
      </c>
      <c r="B426" t="s">
        <v>15</v>
      </c>
      <c r="C426">
        <v>4</v>
      </c>
      <c r="E426" t="s">
        <v>69</v>
      </c>
      <c r="G426">
        <v>32</v>
      </c>
      <c r="I426" t="s">
        <v>61</v>
      </c>
      <c r="J426">
        <v>60000</v>
      </c>
      <c r="K426">
        <v>1920000</v>
      </c>
      <c r="L426" t="s">
        <v>15</v>
      </c>
      <c r="M426" t="s">
        <v>7</v>
      </c>
      <c r="N426" t="b">
        <v>0</v>
      </c>
    </row>
    <row r="427" spans="1:14" x14ac:dyDescent="0.3">
      <c r="A427" t="s">
        <v>19</v>
      </c>
      <c r="B427" t="s">
        <v>15</v>
      </c>
      <c r="C427">
        <v>5</v>
      </c>
      <c r="E427" t="s">
        <v>141</v>
      </c>
      <c r="G427">
        <v>32</v>
      </c>
      <c r="I427" t="s">
        <v>61</v>
      </c>
      <c r="J427">
        <v>60000</v>
      </c>
      <c r="K427">
        <v>1920000</v>
      </c>
      <c r="L427" t="s">
        <v>15</v>
      </c>
      <c r="M427" t="s">
        <v>7</v>
      </c>
      <c r="N427" t="b">
        <v>0</v>
      </c>
    </row>
    <row r="428" spans="1:14" x14ac:dyDescent="0.3">
      <c r="A428" t="s">
        <v>19</v>
      </c>
      <c r="B428" t="s">
        <v>15</v>
      </c>
      <c r="C428">
        <v>6</v>
      </c>
      <c r="E428" t="s">
        <v>140</v>
      </c>
      <c r="G428">
        <v>12</v>
      </c>
      <c r="I428" t="s">
        <v>61</v>
      </c>
      <c r="J428">
        <v>10000</v>
      </c>
      <c r="K428">
        <v>120000</v>
      </c>
      <c r="L428" t="s">
        <v>15</v>
      </c>
      <c r="M428" t="s">
        <v>7</v>
      </c>
      <c r="N428" t="b">
        <v>0</v>
      </c>
    </row>
    <row r="429" spans="1:14" x14ac:dyDescent="0.3">
      <c r="A429" t="s">
        <v>19</v>
      </c>
      <c r="B429" t="s">
        <v>15</v>
      </c>
      <c r="C429">
        <v>7</v>
      </c>
      <c r="E429" t="s">
        <v>142</v>
      </c>
      <c r="G429">
        <v>12</v>
      </c>
      <c r="I429" t="s">
        <v>61</v>
      </c>
      <c r="J429">
        <v>10000</v>
      </c>
      <c r="K429">
        <v>120000</v>
      </c>
      <c r="L429" t="s">
        <v>15</v>
      </c>
      <c r="M429" t="s">
        <v>7</v>
      </c>
      <c r="N429" t="b">
        <v>0</v>
      </c>
    </row>
    <row r="430" spans="1:14" x14ac:dyDescent="0.3">
      <c r="A430" t="s">
        <v>19</v>
      </c>
      <c r="B430" t="s">
        <v>15</v>
      </c>
      <c r="C430">
        <v>8</v>
      </c>
      <c r="E430" t="s">
        <v>114</v>
      </c>
      <c r="G430">
        <v>12</v>
      </c>
      <c r="I430" t="s">
        <v>61</v>
      </c>
      <c r="J430">
        <v>60000</v>
      </c>
      <c r="K430">
        <v>720000</v>
      </c>
      <c r="L430" t="s">
        <v>15</v>
      </c>
      <c r="M430" t="s">
        <v>7</v>
      </c>
      <c r="N430" t="b">
        <v>0</v>
      </c>
    </row>
    <row r="431" spans="1:14" x14ac:dyDescent="0.3">
      <c r="A431" t="s">
        <v>19</v>
      </c>
      <c r="B431" t="s">
        <v>15</v>
      </c>
      <c r="C431">
        <v>9</v>
      </c>
      <c r="E431" t="s">
        <v>143</v>
      </c>
      <c r="G431">
        <v>32</v>
      </c>
      <c r="I431" t="s">
        <v>61</v>
      </c>
      <c r="J431">
        <v>10000</v>
      </c>
      <c r="K431">
        <v>320000</v>
      </c>
      <c r="L431" t="s">
        <v>15</v>
      </c>
      <c r="M431" t="s">
        <v>7</v>
      </c>
      <c r="N431" t="b">
        <v>0</v>
      </c>
    </row>
    <row r="432" spans="1:14" x14ac:dyDescent="0.3">
      <c r="A432" t="s">
        <v>19</v>
      </c>
      <c r="B432" t="s">
        <v>15</v>
      </c>
      <c r="C432">
        <v>10</v>
      </c>
      <c r="E432" t="s">
        <v>57</v>
      </c>
      <c r="G432">
        <v>25</v>
      </c>
      <c r="I432" t="s">
        <v>46</v>
      </c>
      <c r="J432">
        <v>1430000</v>
      </c>
      <c r="K432">
        <v>35750000</v>
      </c>
      <c r="L432" t="s">
        <v>15</v>
      </c>
      <c r="M432" t="s">
        <v>7</v>
      </c>
      <c r="N432" t="b">
        <v>0</v>
      </c>
    </row>
    <row r="433" spans="1:14" x14ac:dyDescent="0.3">
      <c r="A433" t="s">
        <v>19</v>
      </c>
      <c r="B433" t="s">
        <v>15</v>
      </c>
      <c r="E433" t="s">
        <v>96</v>
      </c>
      <c r="G433">
        <v>1</v>
      </c>
      <c r="H433">
        <v>6</v>
      </c>
      <c r="I433" t="s">
        <v>97</v>
      </c>
      <c r="J433">
        <v>460000</v>
      </c>
      <c r="K433">
        <v>2760000</v>
      </c>
      <c r="L433" t="s">
        <v>15</v>
      </c>
      <c r="M433" t="s">
        <v>7</v>
      </c>
      <c r="N433" t="b">
        <v>0</v>
      </c>
    </row>
    <row r="434" spans="1:14" x14ac:dyDescent="0.3">
      <c r="A434" t="s">
        <v>19</v>
      </c>
      <c r="B434" t="s">
        <v>15</v>
      </c>
      <c r="C434">
        <v>11</v>
      </c>
      <c r="E434" t="s">
        <v>101</v>
      </c>
      <c r="H434">
        <v>5</v>
      </c>
      <c r="I434" t="s">
        <v>102</v>
      </c>
      <c r="J434">
        <v>13000000</v>
      </c>
      <c r="K434">
        <v>65000000</v>
      </c>
      <c r="L434" t="s">
        <v>15</v>
      </c>
      <c r="M434" t="s">
        <v>7</v>
      </c>
      <c r="N434" t="b">
        <v>0</v>
      </c>
    </row>
    <row r="435" spans="1:14" x14ac:dyDescent="0.3">
      <c r="A435" t="s">
        <v>19</v>
      </c>
      <c r="B435" t="s">
        <v>15</v>
      </c>
      <c r="C435">
        <v>12</v>
      </c>
      <c r="E435" t="s">
        <v>107</v>
      </c>
      <c r="H435">
        <v>0</v>
      </c>
      <c r="I435" t="s">
        <v>108</v>
      </c>
      <c r="K435">
        <v>0</v>
      </c>
      <c r="L435" t="s">
        <v>15</v>
      </c>
      <c r="M435" t="s">
        <v>7</v>
      </c>
      <c r="N435" t="b">
        <v>0</v>
      </c>
    </row>
    <row r="436" spans="1:14" x14ac:dyDescent="0.3">
      <c r="A436" t="s">
        <v>19</v>
      </c>
      <c r="B436" t="s">
        <v>16</v>
      </c>
      <c r="C436">
        <v>1</v>
      </c>
      <c r="D436" t="s">
        <v>144</v>
      </c>
      <c r="E436" t="s">
        <v>145</v>
      </c>
      <c r="F436" t="s">
        <v>146</v>
      </c>
      <c r="G436">
        <v>2</v>
      </c>
      <c r="H436">
        <v>2.8296000000000001</v>
      </c>
      <c r="I436" t="s">
        <v>46</v>
      </c>
      <c r="J436">
        <v>800000</v>
      </c>
      <c r="K436">
        <v>2263680</v>
      </c>
      <c r="L436" t="s">
        <v>16</v>
      </c>
      <c r="M436" t="s">
        <v>7</v>
      </c>
      <c r="N436" t="b">
        <v>0</v>
      </c>
    </row>
    <row r="437" spans="1:14" x14ac:dyDescent="0.3">
      <c r="A437" t="s">
        <v>19</v>
      </c>
      <c r="B437" t="s">
        <v>16</v>
      </c>
      <c r="E437" t="s">
        <v>147</v>
      </c>
      <c r="F437" t="s">
        <v>148</v>
      </c>
      <c r="G437">
        <v>2</v>
      </c>
      <c r="H437">
        <v>0.94320000000000004</v>
      </c>
      <c r="I437" t="s">
        <v>46</v>
      </c>
      <c r="J437">
        <v>800000</v>
      </c>
      <c r="K437">
        <v>754560</v>
      </c>
      <c r="L437" t="s">
        <v>16</v>
      </c>
      <c r="M437" t="s">
        <v>7</v>
      </c>
      <c r="N437" t="b">
        <v>0</v>
      </c>
    </row>
    <row r="438" spans="1:14" x14ac:dyDescent="0.3">
      <c r="A438" t="s">
        <v>19</v>
      </c>
      <c r="B438" t="s">
        <v>16</v>
      </c>
      <c r="E438" t="s">
        <v>149</v>
      </c>
      <c r="G438">
        <v>2</v>
      </c>
      <c r="I438" t="s">
        <v>61</v>
      </c>
      <c r="J438">
        <v>5000000</v>
      </c>
      <c r="K438">
        <v>10000000</v>
      </c>
      <c r="L438" t="s">
        <v>16</v>
      </c>
      <c r="M438" t="s">
        <v>7</v>
      </c>
      <c r="N438" t="b">
        <v>0</v>
      </c>
    </row>
    <row r="439" spans="1:14" x14ac:dyDescent="0.3">
      <c r="A439" t="s">
        <v>19</v>
      </c>
      <c r="B439" t="s">
        <v>16</v>
      </c>
      <c r="C439">
        <v>2</v>
      </c>
      <c r="E439" t="s">
        <v>150</v>
      </c>
      <c r="F439">
        <v>260</v>
      </c>
      <c r="G439">
        <v>2</v>
      </c>
      <c r="H439">
        <v>0.52</v>
      </c>
      <c r="I439" t="s">
        <v>151</v>
      </c>
      <c r="J439">
        <v>2000000</v>
      </c>
      <c r="K439">
        <v>1040000</v>
      </c>
      <c r="L439" t="s">
        <v>16</v>
      </c>
      <c r="M439" t="s">
        <v>7</v>
      </c>
      <c r="N439" t="b">
        <v>0</v>
      </c>
    </row>
    <row r="440" spans="1:14" x14ac:dyDescent="0.3">
      <c r="A440" t="s">
        <v>19</v>
      </c>
      <c r="B440" t="s">
        <v>16</v>
      </c>
      <c r="E440" t="s">
        <v>152</v>
      </c>
      <c r="G440">
        <v>10</v>
      </c>
      <c r="I440" t="s">
        <v>61</v>
      </c>
      <c r="J440">
        <v>200000</v>
      </c>
      <c r="K440">
        <v>2000000</v>
      </c>
      <c r="L440" t="s">
        <v>16</v>
      </c>
      <c r="M440" t="s">
        <v>7</v>
      </c>
      <c r="N440" t="b">
        <v>0</v>
      </c>
    </row>
    <row r="441" spans="1:14" x14ac:dyDescent="0.3">
      <c r="A441" t="s">
        <v>19</v>
      </c>
      <c r="B441" t="s">
        <v>16</v>
      </c>
      <c r="C441">
        <v>7</v>
      </c>
      <c r="E441" t="s">
        <v>153</v>
      </c>
      <c r="G441">
        <v>4</v>
      </c>
      <c r="H441">
        <v>4</v>
      </c>
      <c r="I441" t="s">
        <v>61</v>
      </c>
      <c r="J441">
        <v>300000</v>
      </c>
      <c r="K441">
        <v>1200000</v>
      </c>
      <c r="L441" t="s">
        <v>16</v>
      </c>
      <c r="M441" t="s">
        <v>7</v>
      </c>
      <c r="N441" t="b">
        <v>0</v>
      </c>
    </row>
    <row r="442" spans="1:14" x14ac:dyDescent="0.3">
      <c r="A442" t="s">
        <v>19</v>
      </c>
      <c r="B442" t="s">
        <v>16</v>
      </c>
      <c r="C442">
        <v>8</v>
      </c>
      <c r="E442" t="s">
        <v>134</v>
      </c>
      <c r="G442">
        <v>10</v>
      </c>
      <c r="H442">
        <v>10</v>
      </c>
      <c r="I442" t="s">
        <v>61</v>
      </c>
      <c r="J442">
        <v>30000</v>
      </c>
      <c r="K442">
        <v>300000</v>
      </c>
      <c r="L442" t="s">
        <v>16</v>
      </c>
      <c r="M442" t="s">
        <v>7</v>
      </c>
      <c r="N442" t="b">
        <v>0</v>
      </c>
    </row>
    <row r="443" spans="1:14" x14ac:dyDescent="0.3">
      <c r="A443" t="s">
        <v>19</v>
      </c>
      <c r="B443" t="s">
        <v>16</v>
      </c>
      <c r="C443">
        <v>9</v>
      </c>
      <c r="E443" t="s">
        <v>154</v>
      </c>
      <c r="G443">
        <v>4</v>
      </c>
      <c r="H443">
        <v>4</v>
      </c>
      <c r="I443" t="s">
        <v>61</v>
      </c>
      <c r="J443">
        <v>30000</v>
      </c>
      <c r="K443">
        <v>120000</v>
      </c>
      <c r="L443" t="s">
        <v>16</v>
      </c>
      <c r="M443" t="s">
        <v>7</v>
      </c>
      <c r="N443" t="b">
        <v>0</v>
      </c>
    </row>
    <row r="444" spans="1:14" x14ac:dyDescent="0.3">
      <c r="A444" t="s">
        <v>19</v>
      </c>
      <c r="B444" t="s">
        <v>16</v>
      </c>
      <c r="C444">
        <v>12</v>
      </c>
      <c r="E444" t="s">
        <v>120</v>
      </c>
      <c r="G444">
        <v>4</v>
      </c>
      <c r="H444">
        <v>4</v>
      </c>
      <c r="I444" t="s">
        <v>61</v>
      </c>
      <c r="J444">
        <v>30000</v>
      </c>
      <c r="K444">
        <v>120000</v>
      </c>
      <c r="L444" t="s">
        <v>16</v>
      </c>
      <c r="M444" t="s">
        <v>7</v>
      </c>
      <c r="N444" t="b">
        <v>0</v>
      </c>
    </row>
    <row r="445" spans="1:14" x14ac:dyDescent="0.3">
      <c r="A445" t="s">
        <v>19</v>
      </c>
      <c r="B445" t="s">
        <v>16</v>
      </c>
      <c r="C445">
        <v>13</v>
      </c>
      <c r="E445" t="s">
        <v>101</v>
      </c>
      <c r="H445">
        <v>1</v>
      </c>
      <c r="I445" t="s">
        <v>102</v>
      </c>
      <c r="J445">
        <v>13000000</v>
      </c>
      <c r="K445">
        <v>13000000</v>
      </c>
      <c r="L445" t="s">
        <v>16</v>
      </c>
      <c r="M445" t="s">
        <v>7</v>
      </c>
      <c r="N445" t="b">
        <v>0</v>
      </c>
    </row>
    <row r="446" spans="1:14" x14ac:dyDescent="0.3">
      <c r="A446" t="s">
        <v>19</v>
      </c>
      <c r="B446" t="s">
        <v>16</v>
      </c>
      <c r="C446">
        <v>14</v>
      </c>
      <c r="E446" t="s">
        <v>107</v>
      </c>
      <c r="H446">
        <v>0</v>
      </c>
      <c r="I446" t="s">
        <v>108</v>
      </c>
      <c r="K446">
        <v>0</v>
      </c>
      <c r="L446" t="s">
        <v>16</v>
      </c>
      <c r="M446" t="s">
        <v>7</v>
      </c>
      <c r="N446" t="b">
        <v>0</v>
      </c>
    </row>
    <row r="447" spans="1:14" x14ac:dyDescent="0.3">
      <c r="A447" t="s">
        <v>19</v>
      </c>
      <c r="B447" t="s">
        <v>16</v>
      </c>
      <c r="E447" t="s">
        <v>155</v>
      </c>
      <c r="F447">
        <v>300</v>
      </c>
      <c r="G447">
        <v>200</v>
      </c>
      <c r="H447">
        <v>3</v>
      </c>
      <c r="I447">
        <v>7.86</v>
      </c>
      <c r="K447">
        <v>1.4148000000000001</v>
      </c>
      <c r="L447" t="s">
        <v>16</v>
      </c>
      <c r="M447" t="s">
        <v>7</v>
      </c>
      <c r="N447" t="b">
        <v>0</v>
      </c>
    </row>
    <row r="448" spans="1:14" x14ac:dyDescent="0.3">
      <c r="A448" t="s">
        <v>19</v>
      </c>
      <c r="B448" t="s">
        <v>16</v>
      </c>
      <c r="E448" t="s">
        <v>156</v>
      </c>
      <c r="F448">
        <v>200</v>
      </c>
      <c r="G448">
        <v>100</v>
      </c>
      <c r="H448">
        <v>3</v>
      </c>
      <c r="I448">
        <v>7.86</v>
      </c>
      <c r="K448">
        <v>0.47160000000000002</v>
      </c>
      <c r="L448" t="s">
        <v>16</v>
      </c>
      <c r="M448" t="s">
        <v>7</v>
      </c>
      <c r="N448" t="b">
        <v>0</v>
      </c>
    </row>
    <row r="449" spans="1:14" x14ac:dyDescent="0.3">
      <c r="A449" t="s">
        <v>19</v>
      </c>
      <c r="B449" t="s">
        <v>17</v>
      </c>
      <c r="C449">
        <v>1</v>
      </c>
      <c r="D449" t="s">
        <v>75</v>
      </c>
      <c r="E449" t="s">
        <v>157</v>
      </c>
      <c r="G449">
        <v>1</v>
      </c>
      <c r="H449">
        <v>1.6485000000000001</v>
      </c>
      <c r="I449" t="s">
        <v>46</v>
      </c>
      <c r="J449">
        <v>700000</v>
      </c>
      <c r="K449">
        <v>1153950</v>
      </c>
      <c r="L449" t="s">
        <v>17</v>
      </c>
      <c r="M449" t="s">
        <v>7</v>
      </c>
      <c r="N449" t="b">
        <v>0</v>
      </c>
    </row>
    <row r="450" spans="1:14" x14ac:dyDescent="0.3">
      <c r="A450" t="s">
        <v>19</v>
      </c>
      <c r="B450" t="s">
        <v>17</v>
      </c>
      <c r="C450">
        <v>2</v>
      </c>
      <c r="D450" t="s">
        <v>75</v>
      </c>
      <c r="E450" t="s">
        <v>158</v>
      </c>
      <c r="G450">
        <v>2</v>
      </c>
      <c r="I450" t="s">
        <v>151</v>
      </c>
      <c r="J450">
        <v>1200000</v>
      </c>
      <c r="K450">
        <v>2400000</v>
      </c>
      <c r="L450" t="s">
        <v>17</v>
      </c>
      <c r="M450" t="s">
        <v>7</v>
      </c>
      <c r="N450" t="b">
        <v>0</v>
      </c>
    </row>
    <row r="451" spans="1:14" x14ac:dyDescent="0.3">
      <c r="A451" t="s">
        <v>19</v>
      </c>
      <c r="B451" t="s">
        <v>17</v>
      </c>
      <c r="C451">
        <v>3</v>
      </c>
      <c r="E451" t="s">
        <v>159</v>
      </c>
      <c r="G451">
        <v>2</v>
      </c>
      <c r="I451" t="s">
        <v>61</v>
      </c>
      <c r="J451">
        <v>100000</v>
      </c>
      <c r="K451">
        <v>200000</v>
      </c>
      <c r="L451" t="s">
        <v>17</v>
      </c>
      <c r="M451" t="s">
        <v>7</v>
      </c>
      <c r="N451" t="b">
        <v>0</v>
      </c>
    </row>
    <row r="452" spans="1:14" x14ac:dyDescent="0.3">
      <c r="A452" t="s">
        <v>19</v>
      </c>
      <c r="B452" t="s">
        <v>17</v>
      </c>
      <c r="C452">
        <v>4</v>
      </c>
      <c r="E452" t="s">
        <v>133</v>
      </c>
      <c r="G452">
        <v>6</v>
      </c>
      <c r="I452" t="s">
        <v>61</v>
      </c>
      <c r="J452">
        <v>10000</v>
      </c>
      <c r="K452">
        <v>60000</v>
      </c>
      <c r="L452" t="s">
        <v>17</v>
      </c>
      <c r="M452" t="s">
        <v>7</v>
      </c>
      <c r="N452" t="b">
        <v>0</v>
      </c>
    </row>
    <row r="453" spans="1:14" x14ac:dyDescent="0.3">
      <c r="A453" t="s">
        <v>19</v>
      </c>
      <c r="B453" t="s">
        <v>17</v>
      </c>
      <c r="C453">
        <v>5</v>
      </c>
      <c r="E453" t="s">
        <v>134</v>
      </c>
      <c r="G453">
        <v>6</v>
      </c>
      <c r="I453" t="s">
        <v>61</v>
      </c>
      <c r="J453">
        <v>5000</v>
      </c>
      <c r="K453">
        <v>30000</v>
      </c>
      <c r="L453" t="s">
        <v>17</v>
      </c>
      <c r="M453" t="s">
        <v>7</v>
      </c>
      <c r="N453" t="b">
        <v>0</v>
      </c>
    </row>
    <row r="454" spans="1:14" x14ac:dyDescent="0.3">
      <c r="A454" t="s">
        <v>19</v>
      </c>
      <c r="B454" t="s">
        <v>17</v>
      </c>
      <c r="C454">
        <v>6</v>
      </c>
      <c r="E454" t="s">
        <v>160</v>
      </c>
      <c r="G454">
        <v>2</v>
      </c>
      <c r="I454" t="s">
        <v>61</v>
      </c>
      <c r="J454">
        <v>500000</v>
      </c>
      <c r="K454">
        <v>1000000</v>
      </c>
      <c r="L454" t="s">
        <v>17</v>
      </c>
      <c r="M454" t="s">
        <v>7</v>
      </c>
      <c r="N454" t="b">
        <v>0</v>
      </c>
    </row>
    <row r="455" spans="1:14" x14ac:dyDescent="0.3">
      <c r="A455" t="s">
        <v>19</v>
      </c>
      <c r="B455" t="s">
        <v>17</v>
      </c>
      <c r="C455">
        <v>7</v>
      </c>
      <c r="E455" t="s">
        <v>161</v>
      </c>
      <c r="G455">
        <v>2</v>
      </c>
      <c r="I455" t="s">
        <v>61</v>
      </c>
      <c r="J455">
        <v>10000</v>
      </c>
      <c r="K455">
        <v>20000</v>
      </c>
      <c r="L455" t="s">
        <v>17</v>
      </c>
      <c r="M455" t="s">
        <v>7</v>
      </c>
      <c r="N455" t="b">
        <v>0</v>
      </c>
    </row>
    <row r="456" spans="1:14" x14ac:dyDescent="0.3">
      <c r="A456" t="s">
        <v>19</v>
      </c>
      <c r="B456" t="s">
        <v>17</v>
      </c>
      <c r="C456">
        <v>8</v>
      </c>
      <c r="E456" t="s">
        <v>142</v>
      </c>
      <c r="G456">
        <v>2</v>
      </c>
      <c r="I456" t="s">
        <v>61</v>
      </c>
      <c r="J456">
        <v>5000</v>
      </c>
      <c r="K456">
        <v>10000</v>
      </c>
      <c r="L456" t="s">
        <v>17</v>
      </c>
      <c r="M456" t="s">
        <v>7</v>
      </c>
      <c r="N456" t="b">
        <v>0</v>
      </c>
    </row>
    <row r="457" spans="1:14" x14ac:dyDescent="0.3">
      <c r="A457" t="s">
        <v>19</v>
      </c>
      <c r="B457" t="s">
        <v>17</v>
      </c>
      <c r="C457">
        <v>9</v>
      </c>
      <c r="E457" t="s">
        <v>114</v>
      </c>
      <c r="G457">
        <v>2</v>
      </c>
      <c r="I457" t="s">
        <v>61</v>
      </c>
      <c r="J457">
        <v>60000</v>
      </c>
      <c r="K457">
        <v>120000</v>
      </c>
      <c r="L457" t="s">
        <v>17</v>
      </c>
      <c r="M457" t="s">
        <v>7</v>
      </c>
      <c r="N457" t="b">
        <v>0</v>
      </c>
    </row>
    <row r="458" spans="1:14" x14ac:dyDescent="0.3">
      <c r="A458" t="s">
        <v>19</v>
      </c>
      <c r="B458" t="s">
        <v>17</v>
      </c>
      <c r="C458">
        <v>10</v>
      </c>
      <c r="E458" t="s">
        <v>101</v>
      </c>
      <c r="H458">
        <v>3</v>
      </c>
      <c r="I458" t="s">
        <v>102</v>
      </c>
      <c r="J458">
        <v>13000000</v>
      </c>
      <c r="K458">
        <v>39000000</v>
      </c>
      <c r="L458" t="s">
        <v>17</v>
      </c>
      <c r="M458" t="s">
        <v>7</v>
      </c>
      <c r="N458" t="b">
        <v>0</v>
      </c>
    </row>
    <row r="459" spans="1:14" x14ac:dyDescent="0.3">
      <c r="A459" t="s">
        <v>19</v>
      </c>
      <c r="B459" t="s">
        <v>17</v>
      </c>
      <c r="C459">
        <v>11</v>
      </c>
      <c r="E459" t="s">
        <v>107</v>
      </c>
      <c r="H459">
        <v>0</v>
      </c>
      <c r="I459" t="s">
        <v>108</v>
      </c>
      <c r="K459">
        <v>0</v>
      </c>
      <c r="L459" t="s">
        <v>17</v>
      </c>
      <c r="M459" t="s">
        <v>7</v>
      </c>
      <c r="N459" t="b">
        <v>0</v>
      </c>
    </row>
    <row r="460" spans="1:14" x14ac:dyDescent="0.3">
      <c r="A460" t="s">
        <v>19</v>
      </c>
      <c r="B460" t="s">
        <v>18</v>
      </c>
      <c r="C460">
        <v>1</v>
      </c>
      <c r="D460" t="s">
        <v>144</v>
      </c>
      <c r="E460" t="s">
        <v>145</v>
      </c>
      <c r="F460" t="s">
        <v>162</v>
      </c>
      <c r="G460">
        <v>1</v>
      </c>
      <c r="H460">
        <v>0.58950000000000002</v>
      </c>
      <c r="I460" t="s">
        <v>46</v>
      </c>
      <c r="J460">
        <v>800000</v>
      </c>
      <c r="K460">
        <v>471600</v>
      </c>
      <c r="L460" t="s">
        <v>18</v>
      </c>
      <c r="M460" t="s">
        <v>7</v>
      </c>
      <c r="N460" t="b">
        <v>0</v>
      </c>
    </row>
    <row r="461" spans="1:14" x14ac:dyDescent="0.3">
      <c r="A461" t="s">
        <v>19</v>
      </c>
      <c r="B461" t="s">
        <v>18</v>
      </c>
      <c r="C461">
        <v>2</v>
      </c>
      <c r="D461" t="s">
        <v>73</v>
      </c>
      <c r="E461" t="s">
        <v>163</v>
      </c>
      <c r="F461" t="s">
        <v>164</v>
      </c>
      <c r="G461">
        <v>2</v>
      </c>
      <c r="H461">
        <v>1.2631449600000002</v>
      </c>
      <c r="I461" t="s">
        <v>46</v>
      </c>
      <c r="J461">
        <v>1500000</v>
      </c>
      <c r="K461">
        <v>3000000</v>
      </c>
      <c r="L461" t="s">
        <v>18</v>
      </c>
      <c r="M461" t="s">
        <v>7</v>
      </c>
      <c r="N461" t="b">
        <v>0</v>
      </c>
    </row>
    <row r="462" spans="1:14" x14ac:dyDescent="0.3">
      <c r="A462" t="s">
        <v>19</v>
      </c>
      <c r="B462" t="s">
        <v>18</v>
      </c>
      <c r="C462">
        <v>7</v>
      </c>
      <c r="E462" t="s">
        <v>66</v>
      </c>
      <c r="G462">
        <v>2</v>
      </c>
      <c r="H462">
        <v>2</v>
      </c>
      <c r="I462" t="s">
        <v>61</v>
      </c>
      <c r="J462">
        <v>50000</v>
      </c>
      <c r="K462">
        <v>100000</v>
      </c>
      <c r="L462" t="s">
        <v>18</v>
      </c>
      <c r="M462" t="s">
        <v>7</v>
      </c>
      <c r="N462" t="b">
        <v>0</v>
      </c>
    </row>
    <row r="463" spans="1:14" x14ac:dyDescent="0.3">
      <c r="A463" t="s">
        <v>19</v>
      </c>
      <c r="B463" t="s">
        <v>18</v>
      </c>
      <c r="C463">
        <v>8</v>
      </c>
      <c r="E463" t="s">
        <v>141</v>
      </c>
      <c r="G463">
        <v>4</v>
      </c>
      <c r="H463">
        <v>4</v>
      </c>
      <c r="I463" t="s">
        <v>61</v>
      </c>
      <c r="J463">
        <v>30000</v>
      </c>
      <c r="K463">
        <v>120000</v>
      </c>
      <c r="L463" t="s">
        <v>18</v>
      </c>
      <c r="M463" t="s">
        <v>7</v>
      </c>
      <c r="N463" t="b">
        <v>0</v>
      </c>
    </row>
    <row r="464" spans="1:14" x14ac:dyDescent="0.3">
      <c r="A464" t="s">
        <v>19</v>
      </c>
      <c r="B464" t="s">
        <v>18</v>
      </c>
      <c r="C464">
        <v>9</v>
      </c>
      <c r="E464" t="s">
        <v>165</v>
      </c>
      <c r="G464">
        <v>1</v>
      </c>
      <c r="H464">
        <v>1</v>
      </c>
      <c r="I464" t="s">
        <v>61</v>
      </c>
      <c r="J464">
        <v>30000</v>
      </c>
      <c r="K464">
        <v>30000</v>
      </c>
      <c r="L464" t="s">
        <v>18</v>
      </c>
      <c r="M464" t="s">
        <v>7</v>
      </c>
      <c r="N464" t="b">
        <v>0</v>
      </c>
    </row>
    <row r="465" spans="1:14" x14ac:dyDescent="0.3">
      <c r="A465" t="s">
        <v>19</v>
      </c>
      <c r="B465" t="s">
        <v>18</v>
      </c>
      <c r="C465">
        <v>13</v>
      </c>
      <c r="E465" t="s">
        <v>101</v>
      </c>
      <c r="H465">
        <v>1</v>
      </c>
      <c r="I465" t="s">
        <v>102</v>
      </c>
      <c r="J465">
        <v>13000000</v>
      </c>
      <c r="K465">
        <v>13000000</v>
      </c>
      <c r="L465" t="s">
        <v>18</v>
      </c>
      <c r="M465" t="s">
        <v>7</v>
      </c>
      <c r="N465" t="b">
        <v>0</v>
      </c>
    </row>
    <row r="466" spans="1:14" x14ac:dyDescent="0.3">
      <c r="A466" t="s">
        <v>19</v>
      </c>
      <c r="B466" t="s">
        <v>18</v>
      </c>
      <c r="C466">
        <v>14</v>
      </c>
      <c r="E466" t="s">
        <v>107</v>
      </c>
      <c r="H466">
        <v>0</v>
      </c>
      <c r="I466" t="s">
        <v>108</v>
      </c>
      <c r="K466">
        <v>0</v>
      </c>
      <c r="L466" t="s">
        <v>18</v>
      </c>
      <c r="M466" t="s">
        <v>7</v>
      </c>
      <c r="N466" t="b">
        <v>0</v>
      </c>
    </row>
    <row r="467" spans="1:14" x14ac:dyDescent="0.3">
      <c r="A467" t="s">
        <v>19</v>
      </c>
      <c r="B467" t="s">
        <v>18</v>
      </c>
      <c r="E467" t="s">
        <v>155</v>
      </c>
      <c r="F467">
        <v>300</v>
      </c>
      <c r="G467">
        <v>100</v>
      </c>
      <c r="H467">
        <v>2.5</v>
      </c>
      <c r="I467">
        <v>7.86</v>
      </c>
      <c r="K467">
        <v>0.58950000000000002</v>
      </c>
      <c r="L467" t="s">
        <v>18</v>
      </c>
      <c r="M467" t="s">
        <v>7</v>
      </c>
      <c r="N467" t="b">
        <v>0</v>
      </c>
    </row>
    <row r="468" spans="1:14" x14ac:dyDescent="0.3">
      <c r="A468" t="s">
        <v>21</v>
      </c>
      <c r="B468" t="s">
        <v>22</v>
      </c>
      <c r="C468">
        <v>1</v>
      </c>
      <c r="D468" t="s">
        <v>44</v>
      </c>
      <c r="E468" t="s">
        <v>45</v>
      </c>
      <c r="F468">
        <v>2735</v>
      </c>
      <c r="G468">
        <v>2</v>
      </c>
      <c r="H468">
        <v>7.6580000000000004</v>
      </c>
      <c r="I468" t="s">
        <v>46</v>
      </c>
      <c r="J468">
        <v>8500000</v>
      </c>
      <c r="K468">
        <v>65092999.999999993</v>
      </c>
      <c r="L468" t="s">
        <v>22</v>
      </c>
      <c r="M468" t="s">
        <v>7</v>
      </c>
      <c r="N468" t="b">
        <v>0</v>
      </c>
    </row>
    <row r="469" spans="1:14" x14ac:dyDescent="0.3">
      <c r="A469" t="s">
        <v>21</v>
      </c>
      <c r="B469" t="s">
        <v>22</v>
      </c>
      <c r="C469">
        <v>2</v>
      </c>
      <c r="E469" t="s">
        <v>47</v>
      </c>
      <c r="F469">
        <v>2735</v>
      </c>
      <c r="G469">
        <v>0</v>
      </c>
      <c r="H469">
        <v>0</v>
      </c>
      <c r="I469" t="s">
        <v>46</v>
      </c>
      <c r="J469">
        <v>8500000</v>
      </c>
      <c r="K469">
        <v>0</v>
      </c>
      <c r="L469" t="s">
        <v>22</v>
      </c>
      <c r="M469" t="s">
        <v>7</v>
      </c>
      <c r="N469" t="b">
        <v>0</v>
      </c>
    </row>
    <row r="470" spans="1:14" x14ac:dyDescent="0.3">
      <c r="A470" t="s">
        <v>21</v>
      </c>
      <c r="B470" t="s">
        <v>22</v>
      </c>
      <c r="C470">
        <v>3</v>
      </c>
      <c r="E470" t="s">
        <v>168</v>
      </c>
      <c r="F470">
        <v>2703</v>
      </c>
      <c r="G470">
        <v>2</v>
      </c>
      <c r="H470">
        <v>14.0556</v>
      </c>
      <c r="I470" t="s">
        <v>46</v>
      </c>
      <c r="J470">
        <v>8500000</v>
      </c>
      <c r="K470">
        <v>119472600</v>
      </c>
      <c r="L470" t="s">
        <v>22</v>
      </c>
      <c r="M470" t="s">
        <v>7</v>
      </c>
      <c r="N470" t="b">
        <v>0</v>
      </c>
    </row>
    <row r="471" spans="1:14" x14ac:dyDescent="0.3">
      <c r="A471" t="s">
        <v>21</v>
      </c>
      <c r="B471" t="s">
        <v>22</v>
      </c>
      <c r="C471">
        <v>4</v>
      </c>
      <c r="E471" t="s">
        <v>49</v>
      </c>
      <c r="F471">
        <v>120</v>
      </c>
      <c r="G471">
        <v>4</v>
      </c>
      <c r="H471">
        <v>0.48</v>
      </c>
      <c r="I471" t="s">
        <v>46</v>
      </c>
      <c r="J471">
        <v>8500000</v>
      </c>
      <c r="K471">
        <v>4080000</v>
      </c>
      <c r="L471" t="s">
        <v>22</v>
      </c>
      <c r="M471" t="s">
        <v>7</v>
      </c>
      <c r="N471" t="b">
        <v>0</v>
      </c>
    </row>
    <row r="472" spans="1:14" x14ac:dyDescent="0.3">
      <c r="A472" t="s">
        <v>21</v>
      </c>
      <c r="B472" t="s">
        <v>22</v>
      </c>
      <c r="C472">
        <v>5</v>
      </c>
      <c r="E472" t="s">
        <v>50</v>
      </c>
      <c r="F472">
        <v>180</v>
      </c>
      <c r="G472">
        <v>4</v>
      </c>
      <c r="H472">
        <v>1.376352</v>
      </c>
      <c r="I472" t="s">
        <v>46</v>
      </c>
      <c r="J472">
        <v>8500000</v>
      </c>
      <c r="K472">
        <v>11698992</v>
      </c>
      <c r="L472" t="s">
        <v>22</v>
      </c>
      <c r="M472" t="s">
        <v>7</v>
      </c>
      <c r="N472" t="b">
        <v>0</v>
      </c>
    </row>
    <row r="473" spans="1:14" x14ac:dyDescent="0.3">
      <c r="A473" t="s">
        <v>21</v>
      </c>
      <c r="B473" t="s">
        <v>22</v>
      </c>
      <c r="C473">
        <v>6</v>
      </c>
      <c r="E473" t="s">
        <v>51</v>
      </c>
      <c r="F473">
        <v>2970</v>
      </c>
      <c r="G473">
        <v>4</v>
      </c>
      <c r="H473">
        <v>33.872256000000007</v>
      </c>
      <c r="I473" t="s">
        <v>46</v>
      </c>
      <c r="J473">
        <v>8500000</v>
      </c>
      <c r="K473">
        <v>287914176.00000006</v>
      </c>
      <c r="L473" t="s">
        <v>22</v>
      </c>
      <c r="M473" t="s">
        <v>7</v>
      </c>
      <c r="N473" t="b">
        <v>0</v>
      </c>
    </row>
    <row r="474" spans="1:14" x14ac:dyDescent="0.3">
      <c r="A474" t="s">
        <v>21</v>
      </c>
      <c r="B474" t="s">
        <v>22</v>
      </c>
      <c r="C474">
        <v>7</v>
      </c>
      <c r="D474" t="s">
        <v>52</v>
      </c>
      <c r="E474" t="s">
        <v>53</v>
      </c>
      <c r="F474">
        <v>0.13</v>
      </c>
      <c r="G474">
        <v>4.5619199999999998</v>
      </c>
      <c r="H474">
        <v>4.5619199999999998</v>
      </c>
      <c r="I474" t="s">
        <v>54</v>
      </c>
      <c r="J474">
        <v>4275000</v>
      </c>
      <c r="K474">
        <v>19502208</v>
      </c>
      <c r="L474" t="s">
        <v>22</v>
      </c>
      <c r="M474" t="s">
        <v>7</v>
      </c>
      <c r="N474" t="b">
        <v>0</v>
      </c>
    </row>
    <row r="475" spans="1:14" x14ac:dyDescent="0.3">
      <c r="A475" t="s">
        <v>21</v>
      </c>
      <c r="B475" t="s">
        <v>22</v>
      </c>
      <c r="C475">
        <v>8</v>
      </c>
      <c r="E475" t="s">
        <v>55</v>
      </c>
      <c r="F475">
        <v>0.35</v>
      </c>
      <c r="G475">
        <v>2.0072448000000001</v>
      </c>
      <c r="H475">
        <v>2.0072448000000001</v>
      </c>
      <c r="I475" t="s">
        <v>46</v>
      </c>
      <c r="J475">
        <v>35750000</v>
      </c>
      <c r="K475">
        <v>71759001.600000009</v>
      </c>
      <c r="L475" t="s">
        <v>22</v>
      </c>
      <c r="M475" t="s">
        <v>7</v>
      </c>
      <c r="N475" t="b">
        <v>0</v>
      </c>
    </row>
    <row r="476" spans="1:14" x14ac:dyDescent="0.3">
      <c r="A476" t="s">
        <v>21</v>
      </c>
      <c r="B476" t="s">
        <v>22</v>
      </c>
      <c r="C476">
        <v>9</v>
      </c>
      <c r="E476" t="s">
        <v>55</v>
      </c>
      <c r="F476">
        <v>0.2</v>
      </c>
      <c r="G476">
        <v>0</v>
      </c>
      <c r="H476">
        <v>0</v>
      </c>
      <c r="I476" t="s">
        <v>46</v>
      </c>
      <c r="J476">
        <v>45760000</v>
      </c>
      <c r="K476">
        <v>0</v>
      </c>
      <c r="L476" t="s">
        <v>22</v>
      </c>
      <c r="M476" t="s">
        <v>7</v>
      </c>
      <c r="N476" t="b">
        <v>0</v>
      </c>
    </row>
    <row r="477" spans="1:14" x14ac:dyDescent="0.3">
      <c r="A477" t="s">
        <v>21</v>
      </c>
      <c r="B477" t="s">
        <v>22</v>
      </c>
      <c r="C477">
        <v>10</v>
      </c>
      <c r="D477" t="s">
        <v>56</v>
      </c>
      <c r="E477" t="s">
        <v>57</v>
      </c>
      <c r="G477">
        <v>21.7136</v>
      </c>
      <c r="H477">
        <v>21.7136</v>
      </c>
      <c r="I477" t="s">
        <v>46</v>
      </c>
      <c r="J477">
        <v>1430000</v>
      </c>
      <c r="K477">
        <v>31050448</v>
      </c>
      <c r="L477" t="s">
        <v>22</v>
      </c>
      <c r="M477" t="s">
        <v>7</v>
      </c>
      <c r="N477" t="b">
        <v>0</v>
      </c>
    </row>
    <row r="478" spans="1:14" x14ac:dyDescent="0.3">
      <c r="A478" t="s">
        <v>21</v>
      </c>
      <c r="B478" t="s">
        <v>22</v>
      </c>
      <c r="C478">
        <v>11</v>
      </c>
      <c r="D478" t="s">
        <v>58</v>
      </c>
      <c r="E478" t="s">
        <v>59</v>
      </c>
      <c r="G478">
        <v>8</v>
      </c>
      <c r="H478">
        <v>8</v>
      </c>
      <c r="I478" t="s">
        <v>46</v>
      </c>
      <c r="J478">
        <v>3000000</v>
      </c>
      <c r="K478">
        <v>24000000</v>
      </c>
      <c r="L478" t="s">
        <v>22</v>
      </c>
      <c r="M478" t="s">
        <v>7</v>
      </c>
      <c r="N478" t="b">
        <v>0</v>
      </c>
    </row>
    <row r="479" spans="1:14" x14ac:dyDescent="0.3">
      <c r="A479" t="s">
        <v>21</v>
      </c>
      <c r="B479" t="s">
        <v>22</v>
      </c>
      <c r="C479">
        <v>12</v>
      </c>
      <c r="E479" t="s">
        <v>60</v>
      </c>
      <c r="G479">
        <v>33.872256000000007</v>
      </c>
      <c r="H479">
        <v>33.872256000000007</v>
      </c>
      <c r="I479" t="s">
        <v>61</v>
      </c>
      <c r="J479">
        <v>3600000</v>
      </c>
      <c r="K479">
        <v>121940121.60000002</v>
      </c>
      <c r="L479" t="s">
        <v>22</v>
      </c>
      <c r="M479" t="s">
        <v>7</v>
      </c>
      <c r="N479" t="b">
        <v>0</v>
      </c>
    </row>
    <row r="480" spans="1:14" x14ac:dyDescent="0.3">
      <c r="A480" t="s">
        <v>21</v>
      </c>
      <c r="B480" t="s">
        <v>22</v>
      </c>
      <c r="C480">
        <v>13</v>
      </c>
      <c r="D480" t="s">
        <v>62</v>
      </c>
      <c r="E480" t="s">
        <v>63</v>
      </c>
      <c r="G480">
        <v>11.88</v>
      </c>
      <c r="H480">
        <v>11.88</v>
      </c>
      <c r="I480" t="s">
        <v>61</v>
      </c>
      <c r="J480">
        <v>3600000</v>
      </c>
      <c r="K480">
        <v>42768000</v>
      </c>
      <c r="L480" t="s">
        <v>22</v>
      </c>
      <c r="M480" t="s">
        <v>7</v>
      </c>
      <c r="N480" t="b">
        <v>0</v>
      </c>
    </row>
    <row r="481" spans="1:14" x14ac:dyDescent="0.3">
      <c r="A481" t="s">
        <v>21</v>
      </c>
      <c r="B481" t="s">
        <v>22</v>
      </c>
      <c r="C481">
        <v>14</v>
      </c>
      <c r="E481" t="s">
        <v>64</v>
      </c>
      <c r="G481">
        <v>0.1</v>
      </c>
      <c r="H481">
        <v>0.1</v>
      </c>
      <c r="I481" t="s">
        <v>61</v>
      </c>
      <c r="J481">
        <v>5500000</v>
      </c>
      <c r="K481">
        <v>550000</v>
      </c>
      <c r="L481" t="s">
        <v>22</v>
      </c>
      <c r="M481" t="s">
        <v>7</v>
      </c>
      <c r="N481" t="b">
        <v>0</v>
      </c>
    </row>
    <row r="482" spans="1:14" x14ac:dyDescent="0.3">
      <c r="A482" t="s">
        <v>21</v>
      </c>
      <c r="B482" t="s">
        <v>22</v>
      </c>
      <c r="C482">
        <v>15</v>
      </c>
      <c r="D482" t="s">
        <v>65</v>
      </c>
      <c r="E482" t="s">
        <v>66</v>
      </c>
      <c r="G482" t="s">
        <v>67</v>
      </c>
      <c r="H482" t="s">
        <v>67</v>
      </c>
      <c r="I482" t="s">
        <v>61</v>
      </c>
      <c r="J482">
        <v>200000</v>
      </c>
      <c r="K482">
        <v>16000000</v>
      </c>
      <c r="L482" t="s">
        <v>22</v>
      </c>
      <c r="M482" t="s">
        <v>7</v>
      </c>
      <c r="N482" t="b">
        <v>0</v>
      </c>
    </row>
    <row r="483" spans="1:14" x14ac:dyDescent="0.3">
      <c r="A483" t="s">
        <v>21</v>
      </c>
      <c r="B483" t="s">
        <v>22</v>
      </c>
      <c r="C483">
        <v>16</v>
      </c>
      <c r="E483" t="s">
        <v>68</v>
      </c>
      <c r="G483">
        <v>8</v>
      </c>
      <c r="H483">
        <v>8</v>
      </c>
      <c r="I483" t="s">
        <v>61</v>
      </c>
      <c r="J483">
        <v>200000</v>
      </c>
      <c r="K483">
        <v>1600000</v>
      </c>
      <c r="L483" t="s">
        <v>22</v>
      </c>
      <c r="M483" t="s">
        <v>7</v>
      </c>
      <c r="N483" t="b">
        <v>0</v>
      </c>
    </row>
    <row r="484" spans="1:14" x14ac:dyDescent="0.3">
      <c r="A484" t="s">
        <v>21</v>
      </c>
      <c r="B484" t="s">
        <v>22</v>
      </c>
      <c r="C484">
        <v>17</v>
      </c>
      <c r="E484" t="s">
        <v>69</v>
      </c>
      <c r="G484">
        <v>88</v>
      </c>
      <c r="H484">
        <v>88</v>
      </c>
      <c r="I484" t="s">
        <v>61</v>
      </c>
      <c r="J484">
        <v>200000</v>
      </c>
      <c r="K484">
        <v>17600000</v>
      </c>
      <c r="L484" t="s">
        <v>22</v>
      </c>
      <c r="M484" t="s">
        <v>7</v>
      </c>
      <c r="N484" t="b">
        <v>0</v>
      </c>
    </row>
    <row r="485" spans="1:14" x14ac:dyDescent="0.3">
      <c r="A485" t="s">
        <v>21</v>
      </c>
      <c r="B485" t="s">
        <v>22</v>
      </c>
      <c r="C485">
        <v>18</v>
      </c>
      <c r="E485" t="s">
        <v>70</v>
      </c>
      <c r="G485">
        <v>16</v>
      </c>
      <c r="H485">
        <v>16</v>
      </c>
      <c r="I485" t="s">
        <v>61</v>
      </c>
      <c r="J485">
        <v>400000</v>
      </c>
      <c r="K485">
        <v>6400000</v>
      </c>
      <c r="L485" t="s">
        <v>22</v>
      </c>
      <c r="M485" t="s">
        <v>7</v>
      </c>
      <c r="N485" t="b">
        <v>0</v>
      </c>
    </row>
    <row r="486" spans="1:14" x14ac:dyDescent="0.3">
      <c r="A486" t="s">
        <v>21</v>
      </c>
      <c r="B486" t="s">
        <v>22</v>
      </c>
      <c r="C486">
        <v>19</v>
      </c>
      <c r="E486" t="s">
        <v>71</v>
      </c>
      <c r="G486">
        <v>16</v>
      </c>
      <c r="H486">
        <v>16</v>
      </c>
      <c r="I486" t="s">
        <v>61</v>
      </c>
      <c r="J486">
        <v>120000</v>
      </c>
      <c r="K486">
        <v>1920000</v>
      </c>
      <c r="L486" t="s">
        <v>22</v>
      </c>
      <c r="M486" t="s">
        <v>7</v>
      </c>
      <c r="N486" t="b">
        <v>0</v>
      </c>
    </row>
    <row r="487" spans="1:14" x14ac:dyDescent="0.3">
      <c r="A487" t="s">
        <v>21</v>
      </c>
      <c r="B487" t="s">
        <v>22</v>
      </c>
      <c r="C487">
        <v>20</v>
      </c>
      <c r="E487" t="s">
        <v>72</v>
      </c>
      <c r="G487">
        <v>24</v>
      </c>
      <c r="H487">
        <v>24</v>
      </c>
      <c r="I487" t="s">
        <v>61</v>
      </c>
      <c r="J487">
        <v>400000</v>
      </c>
      <c r="K487">
        <v>9600000</v>
      </c>
      <c r="L487" t="s">
        <v>22</v>
      </c>
      <c r="M487" t="s">
        <v>7</v>
      </c>
      <c r="N487" t="b">
        <v>0</v>
      </c>
    </row>
    <row r="488" spans="1:14" x14ac:dyDescent="0.3">
      <c r="A488" t="s">
        <v>21</v>
      </c>
      <c r="B488" t="s">
        <v>22</v>
      </c>
      <c r="C488">
        <v>21</v>
      </c>
      <c r="D488" t="s">
        <v>73</v>
      </c>
      <c r="E488" t="s">
        <v>74</v>
      </c>
      <c r="F488">
        <v>132</v>
      </c>
      <c r="G488">
        <v>8</v>
      </c>
      <c r="H488">
        <v>4.9958092800000005</v>
      </c>
      <c r="I488" t="s">
        <v>46</v>
      </c>
      <c r="J488">
        <v>35000000</v>
      </c>
      <c r="K488">
        <v>174853324.80000001</v>
      </c>
      <c r="L488" t="s">
        <v>22</v>
      </c>
      <c r="M488" t="s">
        <v>7</v>
      </c>
      <c r="N488" t="b">
        <v>0</v>
      </c>
    </row>
    <row r="489" spans="1:14" x14ac:dyDescent="0.3">
      <c r="A489" t="s">
        <v>21</v>
      </c>
      <c r="B489" t="s">
        <v>22</v>
      </c>
      <c r="C489">
        <v>22</v>
      </c>
      <c r="D489" t="s">
        <v>75</v>
      </c>
      <c r="E489" t="s">
        <v>76</v>
      </c>
      <c r="F489" t="s">
        <v>77</v>
      </c>
      <c r="G489">
        <v>2</v>
      </c>
      <c r="H489">
        <v>1.8</v>
      </c>
      <c r="I489" t="s">
        <v>46</v>
      </c>
      <c r="J489">
        <v>5200000</v>
      </c>
      <c r="K489">
        <v>9360000</v>
      </c>
      <c r="L489" t="s">
        <v>22</v>
      </c>
      <c r="M489" t="s">
        <v>7</v>
      </c>
      <c r="N489" t="b">
        <v>0</v>
      </c>
    </row>
    <row r="490" spans="1:14" x14ac:dyDescent="0.3">
      <c r="A490" t="s">
        <v>21</v>
      </c>
      <c r="B490" t="s">
        <v>22</v>
      </c>
      <c r="C490">
        <v>23</v>
      </c>
      <c r="E490" t="s">
        <v>78</v>
      </c>
      <c r="F490" t="s">
        <v>79</v>
      </c>
      <c r="G490">
        <v>2</v>
      </c>
      <c r="H490">
        <v>1.2</v>
      </c>
      <c r="I490" t="s">
        <v>46</v>
      </c>
      <c r="J490">
        <v>5200000</v>
      </c>
      <c r="K490">
        <v>6240000</v>
      </c>
      <c r="L490" t="s">
        <v>22</v>
      </c>
      <c r="M490" t="s">
        <v>7</v>
      </c>
      <c r="N490" t="b">
        <v>0</v>
      </c>
    </row>
    <row r="491" spans="1:14" x14ac:dyDescent="0.3">
      <c r="A491" t="s">
        <v>21</v>
      </c>
      <c r="B491" t="s">
        <v>22</v>
      </c>
      <c r="C491">
        <v>24</v>
      </c>
      <c r="D491" t="s">
        <v>80</v>
      </c>
      <c r="E491" t="s">
        <v>81</v>
      </c>
      <c r="F491" t="s">
        <v>169</v>
      </c>
      <c r="G491">
        <v>2</v>
      </c>
      <c r="H491">
        <v>0.83378799999999997</v>
      </c>
      <c r="I491" t="s">
        <v>46</v>
      </c>
      <c r="J491">
        <v>8500000</v>
      </c>
      <c r="K491">
        <v>7087198</v>
      </c>
      <c r="L491" t="s">
        <v>22</v>
      </c>
      <c r="M491" t="s">
        <v>7</v>
      </c>
      <c r="N491" t="b">
        <v>0</v>
      </c>
    </row>
    <row r="492" spans="1:14" x14ac:dyDescent="0.3">
      <c r="A492" t="s">
        <v>21</v>
      </c>
      <c r="B492" t="s">
        <v>22</v>
      </c>
      <c r="C492">
        <v>25</v>
      </c>
      <c r="D492" t="s">
        <v>83</v>
      </c>
      <c r="E492" t="s">
        <v>84</v>
      </c>
      <c r="F492">
        <v>0.18</v>
      </c>
      <c r="G492" t="s">
        <v>85</v>
      </c>
      <c r="H492" t="s">
        <v>85</v>
      </c>
      <c r="I492" t="s">
        <v>61</v>
      </c>
      <c r="J492">
        <v>1014000</v>
      </c>
      <c r="K492">
        <v>2028000</v>
      </c>
      <c r="L492" t="s">
        <v>22</v>
      </c>
      <c r="M492" t="s">
        <v>7</v>
      </c>
      <c r="N492" t="b">
        <v>0</v>
      </c>
    </row>
    <row r="493" spans="1:14" x14ac:dyDescent="0.3">
      <c r="A493" t="s">
        <v>21</v>
      </c>
      <c r="B493" t="s">
        <v>22</v>
      </c>
      <c r="C493">
        <v>26</v>
      </c>
      <c r="E493" t="s">
        <v>86</v>
      </c>
      <c r="F493">
        <v>0.2</v>
      </c>
      <c r="G493" t="s">
        <v>87</v>
      </c>
      <c r="H493" t="s">
        <v>87</v>
      </c>
      <c r="I493" t="s">
        <v>61</v>
      </c>
      <c r="J493">
        <v>1014000</v>
      </c>
      <c r="K493">
        <v>3042000</v>
      </c>
      <c r="L493" t="s">
        <v>22</v>
      </c>
      <c r="M493" t="s">
        <v>7</v>
      </c>
      <c r="N493" t="b">
        <v>0</v>
      </c>
    </row>
    <row r="494" spans="1:14" x14ac:dyDescent="0.3">
      <c r="A494" t="s">
        <v>21</v>
      </c>
      <c r="B494" t="s">
        <v>22</v>
      </c>
      <c r="C494">
        <v>27</v>
      </c>
      <c r="D494" t="s">
        <v>88</v>
      </c>
      <c r="E494" t="s">
        <v>89</v>
      </c>
      <c r="F494" t="s">
        <v>90</v>
      </c>
      <c r="G494">
        <v>1</v>
      </c>
      <c r="H494">
        <v>1</v>
      </c>
      <c r="I494" t="s">
        <v>61</v>
      </c>
      <c r="J494">
        <v>100000</v>
      </c>
      <c r="K494">
        <v>100000</v>
      </c>
      <c r="L494" t="s">
        <v>22</v>
      </c>
      <c r="M494" t="s">
        <v>7</v>
      </c>
      <c r="N494" t="b">
        <v>0</v>
      </c>
    </row>
    <row r="495" spans="1:14" x14ac:dyDescent="0.3">
      <c r="A495" t="s">
        <v>21</v>
      </c>
      <c r="B495" t="s">
        <v>22</v>
      </c>
      <c r="C495">
        <v>28</v>
      </c>
      <c r="D495" t="s">
        <v>65</v>
      </c>
      <c r="E495" t="s">
        <v>91</v>
      </c>
      <c r="G495">
        <v>2</v>
      </c>
      <c r="H495">
        <v>2</v>
      </c>
      <c r="I495" t="s">
        <v>61</v>
      </c>
      <c r="J495">
        <v>2400000</v>
      </c>
      <c r="K495">
        <v>4800000</v>
      </c>
      <c r="L495" t="s">
        <v>22</v>
      </c>
      <c r="M495" t="s">
        <v>7</v>
      </c>
      <c r="N495" t="b">
        <v>0</v>
      </c>
    </row>
    <row r="496" spans="1:14" x14ac:dyDescent="0.3">
      <c r="A496" t="s">
        <v>21</v>
      </c>
      <c r="B496" t="s">
        <v>22</v>
      </c>
      <c r="C496">
        <v>29</v>
      </c>
      <c r="E496" t="s">
        <v>92</v>
      </c>
      <c r="G496">
        <v>2</v>
      </c>
      <c r="H496">
        <v>2</v>
      </c>
      <c r="I496" t="s">
        <v>61</v>
      </c>
      <c r="J496">
        <v>2400000</v>
      </c>
      <c r="K496">
        <v>4800000</v>
      </c>
      <c r="L496" t="s">
        <v>22</v>
      </c>
      <c r="M496" t="s">
        <v>7</v>
      </c>
      <c r="N496" t="b">
        <v>0</v>
      </c>
    </row>
    <row r="497" spans="1:14" x14ac:dyDescent="0.3">
      <c r="A497" t="s">
        <v>21</v>
      </c>
      <c r="B497" t="s">
        <v>22</v>
      </c>
      <c r="C497">
        <v>30</v>
      </c>
      <c r="E497" t="s">
        <v>93</v>
      </c>
      <c r="G497">
        <v>2</v>
      </c>
      <c r="H497">
        <v>2</v>
      </c>
      <c r="I497" t="s">
        <v>61</v>
      </c>
      <c r="J497">
        <v>3000000</v>
      </c>
      <c r="K497">
        <v>6000000</v>
      </c>
      <c r="L497" t="s">
        <v>22</v>
      </c>
      <c r="M497" t="s">
        <v>7</v>
      </c>
      <c r="N497" t="b">
        <v>0</v>
      </c>
    </row>
    <row r="498" spans="1:14" x14ac:dyDescent="0.3">
      <c r="A498" t="s">
        <v>21</v>
      </c>
      <c r="B498" t="s">
        <v>22</v>
      </c>
      <c r="C498">
        <v>31</v>
      </c>
      <c r="D498" t="s">
        <v>94</v>
      </c>
      <c r="E498" t="s">
        <v>95</v>
      </c>
      <c r="G498">
        <v>2</v>
      </c>
      <c r="H498">
        <v>2</v>
      </c>
      <c r="I498" t="s">
        <v>61</v>
      </c>
      <c r="J498">
        <v>1300000</v>
      </c>
      <c r="K498">
        <v>2600000</v>
      </c>
      <c r="L498" t="s">
        <v>22</v>
      </c>
      <c r="M498" t="s">
        <v>7</v>
      </c>
      <c r="N498" t="b">
        <v>0</v>
      </c>
    </row>
    <row r="499" spans="1:14" x14ac:dyDescent="0.3">
      <c r="A499" t="s">
        <v>21</v>
      </c>
      <c r="B499" t="s">
        <v>22</v>
      </c>
      <c r="C499">
        <v>32</v>
      </c>
      <c r="D499" t="s">
        <v>94</v>
      </c>
      <c r="E499" t="s">
        <v>96</v>
      </c>
      <c r="G499">
        <v>4</v>
      </c>
      <c r="H499">
        <v>10.811999999999999</v>
      </c>
      <c r="I499" t="s">
        <v>97</v>
      </c>
      <c r="J499">
        <v>460000</v>
      </c>
      <c r="K499">
        <v>4973520</v>
      </c>
      <c r="L499" t="s">
        <v>22</v>
      </c>
      <c r="M499" t="s">
        <v>7</v>
      </c>
      <c r="N499" t="b">
        <v>0</v>
      </c>
    </row>
    <row r="500" spans="1:14" x14ac:dyDescent="0.3">
      <c r="A500" t="s">
        <v>21</v>
      </c>
      <c r="B500" t="s">
        <v>22</v>
      </c>
      <c r="C500">
        <v>33</v>
      </c>
      <c r="D500" t="s">
        <v>98</v>
      </c>
      <c r="E500" t="s">
        <v>99</v>
      </c>
      <c r="F500">
        <v>50</v>
      </c>
      <c r="G500">
        <v>8</v>
      </c>
      <c r="H500">
        <v>0.8</v>
      </c>
      <c r="I500" t="s">
        <v>100</v>
      </c>
      <c r="J500">
        <v>12655280.000000002</v>
      </c>
      <c r="K500">
        <v>10124224.000000002</v>
      </c>
      <c r="L500" t="s">
        <v>22</v>
      </c>
      <c r="M500" t="s">
        <v>7</v>
      </c>
      <c r="N500" t="b">
        <v>0</v>
      </c>
    </row>
    <row r="501" spans="1:14" x14ac:dyDescent="0.3">
      <c r="A501" t="s">
        <v>21</v>
      </c>
      <c r="B501" t="s">
        <v>22</v>
      </c>
      <c r="C501">
        <v>28</v>
      </c>
      <c r="E501" t="s">
        <v>101</v>
      </c>
      <c r="H501">
        <v>8</v>
      </c>
      <c r="I501" t="s">
        <v>102</v>
      </c>
      <c r="J501">
        <v>13000000</v>
      </c>
      <c r="K501">
        <v>104000000</v>
      </c>
      <c r="L501" t="s">
        <v>22</v>
      </c>
      <c r="M501" t="s">
        <v>7</v>
      </c>
      <c r="N501" t="b">
        <v>0</v>
      </c>
    </row>
    <row r="502" spans="1:14" x14ac:dyDescent="0.3">
      <c r="A502" t="s">
        <v>21</v>
      </c>
      <c r="B502" t="s">
        <v>23</v>
      </c>
      <c r="C502">
        <v>1</v>
      </c>
      <c r="D502" t="s">
        <v>44</v>
      </c>
      <c r="E502" t="s">
        <v>45</v>
      </c>
      <c r="F502">
        <v>735</v>
      </c>
      <c r="G502">
        <v>2</v>
      </c>
      <c r="H502">
        <v>2.0579999999999998</v>
      </c>
      <c r="I502" t="s">
        <v>46</v>
      </c>
      <c r="J502">
        <v>8500000</v>
      </c>
      <c r="K502">
        <v>17493000</v>
      </c>
      <c r="L502" t="s">
        <v>23</v>
      </c>
      <c r="M502" t="s">
        <v>7</v>
      </c>
      <c r="N502" t="b">
        <v>0</v>
      </c>
    </row>
    <row r="503" spans="1:14" x14ac:dyDescent="0.3">
      <c r="A503" t="s">
        <v>21</v>
      </c>
      <c r="B503" t="s">
        <v>23</v>
      </c>
      <c r="C503">
        <v>2</v>
      </c>
      <c r="E503" t="s">
        <v>47</v>
      </c>
      <c r="F503">
        <v>735</v>
      </c>
      <c r="G503">
        <v>0</v>
      </c>
      <c r="H503">
        <v>0</v>
      </c>
      <c r="I503" t="s">
        <v>46</v>
      </c>
      <c r="J503">
        <v>8500000</v>
      </c>
      <c r="K503">
        <v>0</v>
      </c>
      <c r="L503" t="s">
        <v>23</v>
      </c>
      <c r="M503" t="s">
        <v>7</v>
      </c>
      <c r="N503" t="b">
        <v>0</v>
      </c>
    </row>
    <row r="504" spans="1:14" x14ac:dyDescent="0.3">
      <c r="A504" t="s">
        <v>21</v>
      </c>
      <c r="B504" t="s">
        <v>23</v>
      </c>
      <c r="C504">
        <v>3</v>
      </c>
      <c r="E504" t="s">
        <v>168</v>
      </c>
      <c r="F504">
        <v>703</v>
      </c>
      <c r="G504">
        <v>2</v>
      </c>
      <c r="H504">
        <v>3.6556000000000002</v>
      </c>
      <c r="I504" t="s">
        <v>46</v>
      </c>
      <c r="J504">
        <v>8500000</v>
      </c>
      <c r="K504">
        <v>31072599.999999996</v>
      </c>
      <c r="L504" t="s">
        <v>23</v>
      </c>
      <c r="M504" t="s">
        <v>7</v>
      </c>
      <c r="N504" t="b">
        <v>0</v>
      </c>
    </row>
    <row r="505" spans="1:14" x14ac:dyDescent="0.3">
      <c r="A505" t="s">
        <v>21</v>
      </c>
      <c r="B505" t="s">
        <v>23</v>
      </c>
      <c r="C505">
        <v>4</v>
      </c>
      <c r="E505" t="s">
        <v>49</v>
      </c>
      <c r="F505">
        <v>120</v>
      </c>
      <c r="G505">
        <v>4</v>
      </c>
      <c r="H505">
        <v>0.48</v>
      </c>
      <c r="I505" t="s">
        <v>46</v>
      </c>
      <c r="J505">
        <v>8500000</v>
      </c>
      <c r="K505">
        <v>4080000</v>
      </c>
      <c r="L505" t="s">
        <v>23</v>
      </c>
      <c r="M505" t="s">
        <v>7</v>
      </c>
      <c r="N505" t="b">
        <v>0</v>
      </c>
    </row>
    <row r="506" spans="1:14" x14ac:dyDescent="0.3">
      <c r="A506" t="s">
        <v>21</v>
      </c>
      <c r="B506" t="s">
        <v>23</v>
      </c>
      <c r="C506">
        <v>5</v>
      </c>
      <c r="E506" t="s">
        <v>50</v>
      </c>
      <c r="F506">
        <v>180</v>
      </c>
      <c r="G506">
        <v>4</v>
      </c>
      <c r="H506">
        <v>1.376352</v>
      </c>
      <c r="I506" t="s">
        <v>46</v>
      </c>
      <c r="J506">
        <v>8500000</v>
      </c>
      <c r="K506">
        <v>11698992</v>
      </c>
      <c r="L506" t="s">
        <v>23</v>
      </c>
      <c r="M506" t="s">
        <v>7</v>
      </c>
      <c r="N506" t="b">
        <v>0</v>
      </c>
    </row>
    <row r="507" spans="1:14" x14ac:dyDescent="0.3">
      <c r="A507" t="s">
        <v>21</v>
      </c>
      <c r="B507" t="s">
        <v>23</v>
      </c>
      <c r="C507">
        <v>6</v>
      </c>
      <c r="E507" t="s">
        <v>51</v>
      </c>
      <c r="F507">
        <v>970</v>
      </c>
      <c r="G507">
        <v>4</v>
      </c>
      <c r="H507">
        <v>11.062656</v>
      </c>
      <c r="I507" t="s">
        <v>46</v>
      </c>
      <c r="J507">
        <v>8500000</v>
      </c>
      <c r="K507">
        <v>94032576</v>
      </c>
      <c r="L507" t="s">
        <v>23</v>
      </c>
      <c r="M507" t="s">
        <v>7</v>
      </c>
      <c r="N507" t="b">
        <v>0</v>
      </c>
    </row>
    <row r="508" spans="1:14" x14ac:dyDescent="0.3">
      <c r="A508" t="s">
        <v>21</v>
      </c>
      <c r="B508" t="s">
        <v>23</v>
      </c>
      <c r="C508">
        <v>7</v>
      </c>
      <c r="D508" t="s">
        <v>52</v>
      </c>
      <c r="E508" t="s">
        <v>53</v>
      </c>
      <c r="F508">
        <v>0.13</v>
      </c>
      <c r="G508">
        <v>1.4899199999999999</v>
      </c>
      <c r="H508">
        <v>1.4899199999999999</v>
      </c>
      <c r="I508" t="s">
        <v>54</v>
      </c>
      <c r="J508">
        <v>4275000</v>
      </c>
      <c r="K508">
        <v>6369408.0000000009</v>
      </c>
      <c r="L508" t="s">
        <v>23</v>
      </c>
      <c r="M508" t="s">
        <v>7</v>
      </c>
      <c r="N508" t="b">
        <v>0</v>
      </c>
    </row>
    <row r="509" spans="1:14" x14ac:dyDescent="0.3">
      <c r="A509" t="s">
        <v>21</v>
      </c>
      <c r="B509" t="s">
        <v>23</v>
      </c>
      <c r="C509">
        <v>8</v>
      </c>
      <c r="E509" t="s">
        <v>55</v>
      </c>
      <c r="F509">
        <v>0.35</v>
      </c>
      <c r="G509">
        <v>0.65556479999999995</v>
      </c>
      <c r="H509">
        <v>0.65556479999999995</v>
      </c>
      <c r="I509" t="s">
        <v>46</v>
      </c>
      <c r="J509">
        <v>35750000</v>
      </c>
      <c r="K509">
        <v>23436441.600000001</v>
      </c>
      <c r="L509" t="s">
        <v>23</v>
      </c>
      <c r="M509" t="s">
        <v>7</v>
      </c>
      <c r="N509" t="b">
        <v>0</v>
      </c>
    </row>
    <row r="510" spans="1:14" x14ac:dyDescent="0.3">
      <c r="A510" t="s">
        <v>21</v>
      </c>
      <c r="B510" t="s">
        <v>23</v>
      </c>
      <c r="C510">
        <v>9</v>
      </c>
      <c r="E510" t="s">
        <v>55</v>
      </c>
      <c r="F510">
        <v>0.2</v>
      </c>
      <c r="G510">
        <v>0</v>
      </c>
      <c r="H510">
        <v>0</v>
      </c>
      <c r="I510" t="s">
        <v>46</v>
      </c>
      <c r="J510">
        <v>45760000</v>
      </c>
      <c r="K510">
        <v>0</v>
      </c>
      <c r="L510" t="s">
        <v>23</v>
      </c>
      <c r="M510" t="s">
        <v>7</v>
      </c>
      <c r="N510" t="b">
        <v>0</v>
      </c>
    </row>
    <row r="511" spans="1:14" x14ac:dyDescent="0.3">
      <c r="A511" t="s">
        <v>21</v>
      </c>
      <c r="B511" t="s">
        <v>23</v>
      </c>
      <c r="C511">
        <v>10</v>
      </c>
      <c r="D511" t="s">
        <v>56</v>
      </c>
      <c r="E511" t="s">
        <v>57</v>
      </c>
      <c r="G511">
        <v>5.7135999999999996</v>
      </c>
      <c r="H511">
        <v>5.7135999999999996</v>
      </c>
      <c r="I511" t="s">
        <v>46</v>
      </c>
      <c r="J511">
        <v>1430000</v>
      </c>
      <c r="K511">
        <v>8170447.9999999981</v>
      </c>
      <c r="L511" t="s">
        <v>23</v>
      </c>
      <c r="M511" t="s">
        <v>7</v>
      </c>
      <c r="N511" t="b">
        <v>0</v>
      </c>
    </row>
    <row r="512" spans="1:14" x14ac:dyDescent="0.3">
      <c r="A512" t="s">
        <v>21</v>
      </c>
      <c r="B512" t="s">
        <v>23</v>
      </c>
      <c r="C512">
        <v>11</v>
      </c>
      <c r="D512" t="s">
        <v>58</v>
      </c>
      <c r="E512" t="s">
        <v>59</v>
      </c>
      <c r="G512">
        <v>8</v>
      </c>
      <c r="H512">
        <v>8</v>
      </c>
      <c r="I512" t="s">
        <v>46</v>
      </c>
      <c r="J512">
        <v>3000000</v>
      </c>
      <c r="K512">
        <v>24000000</v>
      </c>
      <c r="L512" t="s">
        <v>23</v>
      </c>
      <c r="M512" t="s">
        <v>7</v>
      </c>
      <c r="N512" t="b">
        <v>0</v>
      </c>
    </row>
    <row r="513" spans="1:14" x14ac:dyDescent="0.3">
      <c r="A513" t="s">
        <v>21</v>
      </c>
      <c r="B513" t="s">
        <v>23</v>
      </c>
      <c r="C513">
        <v>12</v>
      </c>
      <c r="E513" t="s">
        <v>60</v>
      </c>
      <c r="G513">
        <v>11.062656</v>
      </c>
      <c r="H513">
        <v>11.062656</v>
      </c>
      <c r="I513" t="s">
        <v>61</v>
      </c>
      <c r="J513">
        <v>3600000</v>
      </c>
      <c r="K513">
        <v>39825561.600000001</v>
      </c>
      <c r="L513" t="s">
        <v>23</v>
      </c>
      <c r="M513" t="s">
        <v>7</v>
      </c>
      <c r="N513" t="b">
        <v>0</v>
      </c>
    </row>
    <row r="514" spans="1:14" x14ac:dyDescent="0.3">
      <c r="A514" t="s">
        <v>21</v>
      </c>
      <c r="B514" t="s">
        <v>23</v>
      </c>
      <c r="C514">
        <v>13</v>
      </c>
      <c r="D514" t="s">
        <v>62</v>
      </c>
      <c r="E514" t="s">
        <v>63</v>
      </c>
      <c r="G514">
        <v>3.88</v>
      </c>
      <c r="H514">
        <v>3.88</v>
      </c>
      <c r="I514" t="s">
        <v>61</v>
      </c>
      <c r="J514">
        <v>3600000</v>
      </c>
      <c r="K514">
        <v>13968000</v>
      </c>
      <c r="L514" t="s">
        <v>23</v>
      </c>
      <c r="M514" t="s">
        <v>7</v>
      </c>
      <c r="N514" t="b">
        <v>0</v>
      </c>
    </row>
    <row r="515" spans="1:14" x14ac:dyDescent="0.3">
      <c r="A515" t="s">
        <v>21</v>
      </c>
      <c r="B515" t="s">
        <v>23</v>
      </c>
      <c r="C515">
        <v>14</v>
      </c>
      <c r="E515" t="s">
        <v>64</v>
      </c>
      <c r="G515">
        <v>0.1</v>
      </c>
      <c r="H515">
        <v>0.1</v>
      </c>
      <c r="I515" t="s">
        <v>61</v>
      </c>
      <c r="J515">
        <v>5500000</v>
      </c>
      <c r="K515">
        <v>550000</v>
      </c>
      <c r="L515" t="s">
        <v>23</v>
      </c>
      <c r="M515" t="s">
        <v>7</v>
      </c>
      <c r="N515" t="b">
        <v>0</v>
      </c>
    </row>
    <row r="516" spans="1:14" x14ac:dyDescent="0.3">
      <c r="A516" t="s">
        <v>21</v>
      </c>
      <c r="B516" t="s">
        <v>23</v>
      </c>
      <c r="C516">
        <v>15</v>
      </c>
      <c r="D516" t="s">
        <v>65</v>
      </c>
      <c r="E516" t="s">
        <v>66</v>
      </c>
      <c r="G516" t="s">
        <v>67</v>
      </c>
      <c r="H516" t="s">
        <v>67</v>
      </c>
      <c r="I516" t="s">
        <v>61</v>
      </c>
      <c r="J516">
        <v>200000</v>
      </c>
      <c r="K516">
        <v>16000000</v>
      </c>
      <c r="L516" t="s">
        <v>23</v>
      </c>
      <c r="M516" t="s">
        <v>7</v>
      </c>
      <c r="N516" t="b">
        <v>0</v>
      </c>
    </row>
    <row r="517" spans="1:14" x14ac:dyDescent="0.3">
      <c r="A517" t="s">
        <v>21</v>
      </c>
      <c r="B517" t="s">
        <v>23</v>
      </c>
      <c r="C517">
        <v>16</v>
      </c>
      <c r="E517" t="s">
        <v>68</v>
      </c>
      <c r="G517">
        <v>8</v>
      </c>
      <c r="H517">
        <v>8</v>
      </c>
      <c r="I517" t="s">
        <v>61</v>
      </c>
      <c r="J517">
        <v>200000</v>
      </c>
      <c r="K517">
        <v>1600000</v>
      </c>
      <c r="L517" t="s">
        <v>23</v>
      </c>
      <c r="M517" t="s">
        <v>7</v>
      </c>
      <c r="N517" t="b">
        <v>0</v>
      </c>
    </row>
    <row r="518" spans="1:14" x14ac:dyDescent="0.3">
      <c r="A518" t="s">
        <v>21</v>
      </c>
      <c r="B518" t="s">
        <v>23</v>
      </c>
      <c r="C518">
        <v>17</v>
      </c>
      <c r="E518" t="s">
        <v>69</v>
      </c>
      <c r="G518">
        <v>88</v>
      </c>
      <c r="H518">
        <v>88</v>
      </c>
      <c r="I518" t="s">
        <v>61</v>
      </c>
      <c r="J518">
        <v>200000</v>
      </c>
      <c r="K518">
        <v>17600000</v>
      </c>
      <c r="L518" t="s">
        <v>23</v>
      </c>
      <c r="M518" t="s">
        <v>7</v>
      </c>
      <c r="N518" t="b">
        <v>0</v>
      </c>
    </row>
    <row r="519" spans="1:14" x14ac:dyDescent="0.3">
      <c r="A519" t="s">
        <v>21</v>
      </c>
      <c r="B519" t="s">
        <v>23</v>
      </c>
      <c r="C519">
        <v>18</v>
      </c>
      <c r="E519" t="s">
        <v>70</v>
      </c>
      <c r="G519">
        <v>16</v>
      </c>
      <c r="H519">
        <v>16</v>
      </c>
      <c r="I519" t="s">
        <v>61</v>
      </c>
      <c r="J519">
        <v>400000</v>
      </c>
      <c r="K519">
        <v>6400000</v>
      </c>
      <c r="L519" t="s">
        <v>23</v>
      </c>
      <c r="M519" t="s">
        <v>7</v>
      </c>
      <c r="N519" t="b">
        <v>0</v>
      </c>
    </row>
    <row r="520" spans="1:14" x14ac:dyDescent="0.3">
      <c r="A520" t="s">
        <v>21</v>
      </c>
      <c r="B520" t="s">
        <v>23</v>
      </c>
      <c r="C520">
        <v>19</v>
      </c>
      <c r="E520" t="s">
        <v>71</v>
      </c>
      <c r="G520">
        <v>16</v>
      </c>
      <c r="H520">
        <v>16</v>
      </c>
      <c r="I520" t="s">
        <v>61</v>
      </c>
      <c r="J520">
        <v>120000</v>
      </c>
      <c r="K520">
        <v>1920000</v>
      </c>
      <c r="L520" t="s">
        <v>23</v>
      </c>
      <c r="M520" t="s">
        <v>7</v>
      </c>
      <c r="N520" t="b">
        <v>0</v>
      </c>
    </row>
    <row r="521" spans="1:14" x14ac:dyDescent="0.3">
      <c r="A521" t="s">
        <v>21</v>
      </c>
      <c r="B521" t="s">
        <v>23</v>
      </c>
      <c r="C521">
        <v>20</v>
      </c>
      <c r="E521" t="s">
        <v>72</v>
      </c>
      <c r="G521">
        <v>24</v>
      </c>
      <c r="H521">
        <v>24</v>
      </c>
      <c r="I521" t="s">
        <v>61</v>
      </c>
      <c r="J521">
        <v>400000</v>
      </c>
      <c r="K521">
        <v>9600000</v>
      </c>
      <c r="L521" t="s">
        <v>23</v>
      </c>
      <c r="M521" t="s">
        <v>7</v>
      </c>
      <c r="N521" t="b">
        <v>0</v>
      </c>
    </row>
    <row r="522" spans="1:14" x14ac:dyDescent="0.3">
      <c r="A522" t="s">
        <v>21</v>
      </c>
      <c r="B522" t="s">
        <v>23</v>
      </c>
      <c r="C522">
        <v>21</v>
      </c>
      <c r="D522" t="s">
        <v>73</v>
      </c>
      <c r="E522" t="s">
        <v>74</v>
      </c>
      <c r="F522">
        <v>132</v>
      </c>
      <c r="G522">
        <v>8</v>
      </c>
      <c r="H522">
        <v>4.9958092800000005</v>
      </c>
      <c r="I522" t="s">
        <v>46</v>
      </c>
      <c r="J522">
        <v>35000000</v>
      </c>
      <c r="K522">
        <v>174853324.80000001</v>
      </c>
      <c r="L522" t="s">
        <v>23</v>
      </c>
      <c r="M522" t="s">
        <v>7</v>
      </c>
      <c r="N522" t="b">
        <v>0</v>
      </c>
    </row>
    <row r="523" spans="1:14" x14ac:dyDescent="0.3">
      <c r="A523" t="s">
        <v>21</v>
      </c>
      <c r="B523" t="s">
        <v>23</v>
      </c>
      <c r="C523">
        <v>22</v>
      </c>
      <c r="D523" t="s">
        <v>75</v>
      </c>
      <c r="E523" t="s">
        <v>76</v>
      </c>
      <c r="F523" t="s">
        <v>77</v>
      </c>
      <c r="G523">
        <v>2</v>
      </c>
      <c r="H523">
        <v>1.8</v>
      </c>
      <c r="I523" t="s">
        <v>46</v>
      </c>
      <c r="J523">
        <v>5200000</v>
      </c>
      <c r="K523">
        <v>9360000</v>
      </c>
      <c r="L523" t="s">
        <v>23</v>
      </c>
      <c r="M523" t="s">
        <v>7</v>
      </c>
      <c r="N523" t="b">
        <v>0</v>
      </c>
    </row>
    <row r="524" spans="1:14" x14ac:dyDescent="0.3">
      <c r="A524" t="s">
        <v>21</v>
      </c>
      <c r="B524" t="s">
        <v>23</v>
      </c>
      <c r="C524">
        <v>23</v>
      </c>
      <c r="E524" t="s">
        <v>78</v>
      </c>
      <c r="F524" t="s">
        <v>79</v>
      </c>
      <c r="G524">
        <v>2</v>
      </c>
      <c r="H524">
        <v>1.2</v>
      </c>
      <c r="I524" t="s">
        <v>46</v>
      </c>
      <c r="J524">
        <v>5200000</v>
      </c>
      <c r="K524">
        <v>6240000</v>
      </c>
      <c r="L524" t="s">
        <v>23</v>
      </c>
      <c r="M524" t="s">
        <v>7</v>
      </c>
      <c r="N524" t="b">
        <v>0</v>
      </c>
    </row>
    <row r="525" spans="1:14" x14ac:dyDescent="0.3">
      <c r="A525" t="s">
        <v>21</v>
      </c>
      <c r="B525" t="s">
        <v>23</v>
      </c>
      <c r="C525">
        <v>24</v>
      </c>
      <c r="D525" t="s">
        <v>80</v>
      </c>
      <c r="E525" t="s">
        <v>81</v>
      </c>
      <c r="F525" t="s">
        <v>169</v>
      </c>
      <c r="G525">
        <v>2</v>
      </c>
      <c r="H525">
        <v>0.83378799999999997</v>
      </c>
      <c r="I525" t="s">
        <v>46</v>
      </c>
      <c r="J525">
        <v>8500000</v>
      </c>
      <c r="K525">
        <v>7087198</v>
      </c>
      <c r="L525" t="s">
        <v>23</v>
      </c>
      <c r="M525" t="s">
        <v>7</v>
      </c>
      <c r="N525" t="b">
        <v>0</v>
      </c>
    </row>
    <row r="526" spans="1:14" x14ac:dyDescent="0.3">
      <c r="A526" t="s">
        <v>21</v>
      </c>
      <c r="B526" t="s">
        <v>23</v>
      </c>
      <c r="C526">
        <v>25</v>
      </c>
      <c r="D526" t="s">
        <v>83</v>
      </c>
      <c r="E526" t="s">
        <v>84</v>
      </c>
      <c r="F526">
        <v>0.18</v>
      </c>
      <c r="G526" t="s">
        <v>85</v>
      </c>
      <c r="H526" t="s">
        <v>85</v>
      </c>
      <c r="I526" t="s">
        <v>61</v>
      </c>
      <c r="J526">
        <v>1014000</v>
      </c>
      <c r="K526">
        <v>2028000</v>
      </c>
      <c r="L526" t="s">
        <v>23</v>
      </c>
      <c r="M526" t="s">
        <v>7</v>
      </c>
      <c r="N526" t="b">
        <v>0</v>
      </c>
    </row>
    <row r="527" spans="1:14" x14ac:dyDescent="0.3">
      <c r="A527" t="s">
        <v>21</v>
      </c>
      <c r="B527" t="s">
        <v>23</v>
      </c>
      <c r="C527">
        <v>26</v>
      </c>
      <c r="E527" t="s">
        <v>86</v>
      </c>
      <c r="F527">
        <v>0.2</v>
      </c>
      <c r="G527" t="s">
        <v>87</v>
      </c>
      <c r="H527" t="s">
        <v>87</v>
      </c>
      <c r="I527" t="s">
        <v>61</v>
      </c>
      <c r="J527">
        <v>1014000</v>
      </c>
      <c r="K527">
        <v>3042000</v>
      </c>
      <c r="L527" t="s">
        <v>23</v>
      </c>
      <c r="M527" t="s">
        <v>7</v>
      </c>
      <c r="N527" t="b">
        <v>0</v>
      </c>
    </row>
    <row r="528" spans="1:14" x14ac:dyDescent="0.3">
      <c r="A528" t="s">
        <v>21</v>
      </c>
      <c r="B528" t="s">
        <v>23</v>
      </c>
      <c r="C528">
        <v>27</v>
      </c>
      <c r="D528" t="s">
        <v>88</v>
      </c>
      <c r="E528" t="s">
        <v>89</v>
      </c>
      <c r="F528" t="s">
        <v>90</v>
      </c>
      <c r="G528">
        <v>1</v>
      </c>
      <c r="H528">
        <v>1</v>
      </c>
      <c r="I528" t="s">
        <v>61</v>
      </c>
      <c r="J528">
        <v>100000</v>
      </c>
      <c r="K528">
        <v>100000</v>
      </c>
      <c r="L528" t="s">
        <v>23</v>
      </c>
      <c r="M528" t="s">
        <v>7</v>
      </c>
      <c r="N528" t="b">
        <v>0</v>
      </c>
    </row>
    <row r="529" spans="1:14" x14ac:dyDescent="0.3">
      <c r="A529" t="s">
        <v>21</v>
      </c>
      <c r="B529" t="s">
        <v>23</v>
      </c>
      <c r="C529">
        <v>28</v>
      </c>
      <c r="D529" t="s">
        <v>65</v>
      </c>
      <c r="E529" t="s">
        <v>91</v>
      </c>
      <c r="G529">
        <v>2</v>
      </c>
      <c r="H529">
        <v>2</v>
      </c>
      <c r="I529" t="s">
        <v>61</v>
      </c>
      <c r="J529">
        <v>2400000</v>
      </c>
      <c r="K529">
        <v>4800000</v>
      </c>
      <c r="L529" t="s">
        <v>23</v>
      </c>
      <c r="M529" t="s">
        <v>7</v>
      </c>
      <c r="N529" t="b">
        <v>0</v>
      </c>
    </row>
    <row r="530" spans="1:14" x14ac:dyDescent="0.3">
      <c r="A530" t="s">
        <v>21</v>
      </c>
      <c r="B530" t="s">
        <v>23</v>
      </c>
      <c r="C530">
        <v>29</v>
      </c>
      <c r="E530" t="s">
        <v>92</v>
      </c>
      <c r="G530">
        <v>2</v>
      </c>
      <c r="H530">
        <v>2</v>
      </c>
      <c r="I530" t="s">
        <v>61</v>
      </c>
      <c r="J530">
        <v>2400000</v>
      </c>
      <c r="K530">
        <v>4800000</v>
      </c>
      <c r="L530" t="s">
        <v>23</v>
      </c>
      <c r="M530" t="s">
        <v>7</v>
      </c>
      <c r="N530" t="b">
        <v>0</v>
      </c>
    </row>
    <row r="531" spans="1:14" x14ac:dyDescent="0.3">
      <c r="A531" t="s">
        <v>21</v>
      </c>
      <c r="B531" t="s">
        <v>23</v>
      </c>
      <c r="C531">
        <v>30</v>
      </c>
      <c r="E531" t="s">
        <v>93</v>
      </c>
      <c r="G531">
        <v>2</v>
      </c>
      <c r="H531">
        <v>2</v>
      </c>
      <c r="I531" t="s">
        <v>61</v>
      </c>
      <c r="J531">
        <v>3000000</v>
      </c>
      <c r="K531">
        <v>6000000</v>
      </c>
      <c r="L531" t="s">
        <v>23</v>
      </c>
      <c r="M531" t="s">
        <v>7</v>
      </c>
      <c r="N531" t="b">
        <v>0</v>
      </c>
    </row>
    <row r="532" spans="1:14" x14ac:dyDescent="0.3">
      <c r="A532" t="s">
        <v>21</v>
      </c>
      <c r="B532" t="s">
        <v>23</v>
      </c>
      <c r="C532">
        <v>31</v>
      </c>
      <c r="D532" t="s">
        <v>94</v>
      </c>
      <c r="E532" t="s">
        <v>95</v>
      </c>
      <c r="G532">
        <v>2</v>
      </c>
      <c r="H532">
        <v>2</v>
      </c>
      <c r="I532" t="s">
        <v>61</v>
      </c>
      <c r="J532">
        <v>1300000</v>
      </c>
      <c r="K532">
        <v>2600000</v>
      </c>
      <c r="L532" t="s">
        <v>23</v>
      </c>
      <c r="M532" t="s">
        <v>7</v>
      </c>
      <c r="N532" t="b">
        <v>0</v>
      </c>
    </row>
    <row r="533" spans="1:14" x14ac:dyDescent="0.3">
      <c r="A533" t="s">
        <v>21</v>
      </c>
      <c r="B533" t="s">
        <v>23</v>
      </c>
      <c r="C533">
        <v>32</v>
      </c>
      <c r="D533" t="s">
        <v>94</v>
      </c>
      <c r="E533" t="s">
        <v>96</v>
      </c>
      <c r="G533">
        <v>4</v>
      </c>
      <c r="H533">
        <v>2.8119999999999998</v>
      </c>
      <c r="I533" t="s">
        <v>97</v>
      </c>
      <c r="J533">
        <v>460000</v>
      </c>
      <c r="K533">
        <v>1293520</v>
      </c>
      <c r="L533" t="s">
        <v>23</v>
      </c>
      <c r="M533" t="s">
        <v>7</v>
      </c>
      <c r="N533" t="b">
        <v>0</v>
      </c>
    </row>
    <row r="534" spans="1:14" x14ac:dyDescent="0.3">
      <c r="A534" t="s">
        <v>21</v>
      </c>
      <c r="B534" t="s">
        <v>23</v>
      </c>
      <c r="C534">
        <v>33</v>
      </c>
      <c r="D534" t="s">
        <v>98</v>
      </c>
      <c r="E534" t="s">
        <v>99</v>
      </c>
      <c r="F534">
        <v>50</v>
      </c>
      <c r="G534">
        <v>8</v>
      </c>
      <c r="H534">
        <v>0.8</v>
      </c>
      <c r="I534" t="s">
        <v>100</v>
      </c>
      <c r="J534">
        <v>12655280.000000002</v>
      </c>
      <c r="K534">
        <v>10124224.000000002</v>
      </c>
      <c r="L534" t="s">
        <v>23</v>
      </c>
      <c r="M534" t="s">
        <v>7</v>
      </c>
      <c r="N534" t="b">
        <v>0</v>
      </c>
    </row>
    <row r="535" spans="1:14" x14ac:dyDescent="0.3">
      <c r="A535" t="s">
        <v>21</v>
      </c>
      <c r="B535" t="s">
        <v>23</v>
      </c>
      <c r="C535">
        <v>28</v>
      </c>
      <c r="E535" t="s">
        <v>101</v>
      </c>
      <c r="H535">
        <v>8</v>
      </c>
      <c r="I535" t="s">
        <v>102</v>
      </c>
      <c r="J535">
        <v>8500000</v>
      </c>
      <c r="K535">
        <v>68000000</v>
      </c>
      <c r="L535" t="s">
        <v>23</v>
      </c>
      <c r="M535" t="s">
        <v>7</v>
      </c>
      <c r="N535" t="b">
        <v>0</v>
      </c>
    </row>
    <row r="536" spans="1:14" x14ac:dyDescent="0.3">
      <c r="A536" t="s">
        <v>21</v>
      </c>
      <c r="B536" t="s">
        <v>24</v>
      </c>
      <c r="C536">
        <v>1</v>
      </c>
      <c r="D536" t="s">
        <v>44</v>
      </c>
      <c r="E536" t="s">
        <v>45</v>
      </c>
      <c r="F536">
        <v>735</v>
      </c>
      <c r="G536">
        <v>2</v>
      </c>
      <c r="H536">
        <v>2.0579999999999998</v>
      </c>
      <c r="I536" t="s">
        <v>46</v>
      </c>
      <c r="J536">
        <v>8500000</v>
      </c>
      <c r="K536">
        <v>17493000</v>
      </c>
      <c r="L536" t="s">
        <v>24</v>
      </c>
      <c r="M536" t="s">
        <v>7</v>
      </c>
      <c r="N536" t="b">
        <v>0</v>
      </c>
    </row>
    <row r="537" spans="1:14" x14ac:dyDescent="0.3">
      <c r="A537" t="s">
        <v>21</v>
      </c>
      <c r="B537" t="s">
        <v>24</v>
      </c>
      <c r="C537">
        <v>2</v>
      </c>
      <c r="E537" t="s">
        <v>47</v>
      </c>
      <c r="F537">
        <v>2735</v>
      </c>
      <c r="G537">
        <v>0</v>
      </c>
      <c r="H537">
        <v>0</v>
      </c>
      <c r="I537" t="s">
        <v>46</v>
      </c>
      <c r="J537">
        <v>8500000</v>
      </c>
      <c r="K537">
        <v>0</v>
      </c>
      <c r="L537" t="s">
        <v>24</v>
      </c>
      <c r="M537" t="s">
        <v>7</v>
      </c>
      <c r="N537" t="b">
        <v>0</v>
      </c>
    </row>
    <row r="538" spans="1:14" x14ac:dyDescent="0.3">
      <c r="A538" t="s">
        <v>21</v>
      </c>
      <c r="B538" t="s">
        <v>24</v>
      </c>
      <c r="C538">
        <v>3</v>
      </c>
      <c r="E538" t="s">
        <v>168</v>
      </c>
      <c r="F538">
        <v>703</v>
      </c>
      <c r="G538">
        <v>2</v>
      </c>
      <c r="H538">
        <v>3.6556000000000002</v>
      </c>
      <c r="I538" t="s">
        <v>46</v>
      </c>
      <c r="J538">
        <v>8500000</v>
      </c>
      <c r="K538">
        <v>31072599.999999996</v>
      </c>
      <c r="L538" t="s">
        <v>24</v>
      </c>
      <c r="M538" t="s">
        <v>7</v>
      </c>
      <c r="N538" t="b">
        <v>0</v>
      </c>
    </row>
    <row r="539" spans="1:14" x14ac:dyDescent="0.3">
      <c r="A539" t="s">
        <v>21</v>
      </c>
      <c r="B539" t="s">
        <v>24</v>
      </c>
      <c r="C539">
        <v>4</v>
      </c>
      <c r="E539" t="s">
        <v>49</v>
      </c>
      <c r="F539">
        <v>120</v>
      </c>
      <c r="G539">
        <v>4</v>
      </c>
      <c r="H539">
        <v>0.48</v>
      </c>
      <c r="I539" t="s">
        <v>46</v>
      </c>
      <c r="J539">
        <v>8500000</v>
      </c>
      <c r="K539">
        <v>4080000</v>
      </c>
      <c r="L539" t="s">
        <v>24</v>
      </c>
      <c r="M539" t="s">
        <v>7</v>
      </c>
      <c r="N539" t="b">
        <v>0</v>
      </c>
    </row>
    <row r="540" spans="1:14" x14ac:dyDescent="0.3">
      <c r="A540" t="s">
        <v>21</v>
      </c>
      <c r="B540" t="s">
        <v>24</v>
      </c>
      <c r="C540">
        <v>5</v>
      </c>
      <c r="E540" t="s">
        <v>50</v>
      </c>
      <c r="F540">
        <v>180</v>
      </c>
      <c r="G540">
        <v>4</v>
      </c>
      <c r="H540">
        <v>1.376352</v>
      </c>
      <c r="I540" t="s">
        <v>46</v>
      </c>
      <c r="J540">
        <v>8500000</v>
      </c>
      <c r="K540">
        <v>11698992</v>
      </c>
      <c r="L540" t="s">
        <v>24</v>
      </c>
      <c r="M540" t="s">
        <v>7</v>
      </c>
      <c r="N540" t="b">
        <v>0</v>
      </c>
    </row>
    <row r="541" spans="1:14" x14ac:dyDescent="0.3">
      <c r="A541" t="s">
        <v>21</v>
      </c>
      <c r="B541" t="s">
        <v>24</v>
      </c>
      <c r="C541">
        <v>6</v>
      </c>
      <c r="E541" t="s">
        <v>51</v>
      </c>
      <c r="F541">
        <v>970</v>
      </c>
      <c r="G541">
        <v>5</v>
      </c>
      <c r="H541">
        <v>13.82832</v>
      </c>
      <c r="I541" t="s">
        <v>46</v>
      </c>
      <c r="J541">
        <v>8500000</v>
      </c>
      <c r="K541">
        <v>117540720</v>
      </c>
      <c r="L541" t="s">
        <v>24</v>
      </c>
      <c r="M541" t="s">
        <v>7</v>
      </c>
      <c r="N541" t="b">
        <v>0</v>
      </c>
    </row>
    <row r="542" spans="1:14" x14ac:dyDescent="0.3">
      <c r="A542" t="s">
        <v>21</v>
      </c>
      <c r="B542" t="s">
        <v>24</v>
      </c>
      <c r="C542">
        <v>7</v>
      </c>
      <c r="D542" t="s">
        <v>52</v>
      </c>
      <c r="E542" t="s">
        <v>53</v>
      </c>
      <c r="F542">
        <v>0.13</v>
      </c>
      <c r="G542">
        <v>1.8624000000000001</v>
      </c>
      <c r="H542">
        <v>1.8624000000000001</v>
      </c>
      <c r="I542" t="s">
        <v>54</v>
      </c>
      <c r="J542">
        <v>4275000</v>
      </c>
      <c r="K542">
        <v>7961760</v>
      </c>
      <c r="L542" t="s">
        <v>24</v>
      </c>
      <c r="M542" t="s">
        <v>7</v>
      </c>
      <c r="N542" t="b">
        <v>0</v>
      </c>
    </row>
    <row r="543" spans="1:14" x14ac:dyDescent="0.3">
      <c r="A543" t="s">
        <v>21</v>
      </c>
      <c r="B543" t="s">
        <v>24</v>
      </c>
      <c r="C543">
        <v>8</v>
      </c>
      <c r="E543" t="s">
        <v>55</v>
      </c>
      <c r="F543">
        <v>0.35</v>
      </c>
      <c r="G543">
        <v>0.81945599999999996</v>
      </c>
      <c r="H543">
        <v>0.81945599999999996</v>
      </c>
      <c r="I543" t="s">
        <v>46</v>
      </c>
      <c r="J543">
        <v>35750000</v>
      </c>
      <c r="K543">
        <v>29295552</v>
      </c>
      <c r="L543" t="s">
        <v>24</v>
      </c>
      <c r="M543" t="s">
        <v>7</v>
      </c>
      <c r="N543" t="b">
        <v>0</v>
      </c>
    </row>
    <row r="544" spans="1:14" x14ac:dyDescent="0.3">
      <c r="A544" t="s">
        <v>21</v>
      </c>
      <c r="B544" t="s">
        <v>24</v>
      </c>
      <c r="C544">
        <v>9</v>
      </c>
      <c r="E544" t="s">
        <v>55</v>
      </c>
      <c r="F544">
        <v>0.2</v>
      </c>
      <c r="G544">
        <v>0</v>
      </c>
      <c r="H544">
        <v>0</v>
      </c>
      <c r="I544" t="s">
        <v>46</v>
      </c>
      <c r="J544">
        <v>45760000</v>
      </c>
      <c r="K544">
        <v>0</v>
      </c>
      <c r="L544" t="s">
        <v>24</v>
      </c>
      <c r="M544" t="s">
        <v>7</v>
      </c>
      <c r="N544" t="b">
        <v>0</v>
      </c>
    </row>
    <row r="545" spans="1:14" x14ac:dyDescent="0.3">
      <c r="A545" t="s">
        <v>21</v>
      </c>
      <c r="B545" t="s">
        <v>24</v>
      </c>
      <c r="C545">
        <v>10</v>
      </c>
      <c r="D545" t="s">
        <v>56</v>
      </c>
      <c r="E545" t="s">
        <v>57</v>
      </c>
      <c r="G545">
        <v>5.7135999999999996</v>
      </c>
      <c r="H545">
        <v>5.7135999999999996</v>
      </c>
      <c r="I545" t="s">
        <v>46</v>
      </c>
      <c r="J545">
        <v>1430000</v>
      </c>
      <c r="K545">
        <v>8170447.9999999981</v>
      </c>
      <c r="L545" t="s">
        <v>24</v>
      </c>
      <c r="M545" t="s">
        <v>7</v>
      </c>
      <c r="N545" t="b">
        <v>0</v>
      </c>
    </row>
    <row r="546" spans="1:14" x14ac:dyDescent="0.3">
      <c r="A546" t="s">
        <v>21</v>
      </c>
      <c r="B546" t="s">
        <v>24</v>
      </c>
      <c r="C546">
        <v>11</v>
      </c>
      <c r="D546" t="s">
        <v>58</v>
      </c>
      <c r="E546" t="s">
        <v>59</v>
      </c>
      <c r="G546">
        <v>10</v>
      </c>
      <c r="H546">
        <v>10</v>
      </c>
      <c r="I546" t="s">
        <v>46</v>
      </c>
      <c r="J546">
        <v>3000000</v>
      </c>
      <c r="K546">
        <v>30000000</v>
      </c>
      <c r="L546" t="s">
        <v>24</v>
      </c>
      <c r="M546" t="s">
        <v>7</v>
      </c>
      <c r="N546" t="b">
        <v>0</v>
      </c>
    </row>
    <row r="547" spans="1:14" x14ac:dyDescent="0.3">
      <c r="A547" t="s">
        <v>21</v>
      </c>
      <c r="B547" t="s">
        <v>24</v>
      </c>
      <c r="C547">
        <v>12</v>
      </c>
      <c r="E547" t="s">
        <v>60</v>
      </c>
      <c r="G547">
        <v>13.82832</v>
      </c>
      <c r="H547">
        <v>13.82832</v>
      </c>
      <c r="I547" t="s">
        <v>61</v>
      </c>
      <c r="J547">
        <v>3600000</v>
      </c>
      <c r="K547">
        <v>49781952.000000007</v>
      </c>
      <c r="L547" t="s">
        <v>24</v>
      </c>
      <c r="M547" t="s">
        <v>7</v>
      </c>
      <c r="N547" t="b">
        <v>0</v>
      </c>
    </row>
    <row r="548" spans="1:14" x14ac:dyDescent="0.3">
      <c r="A548" t="s">
        <v>21</v>
      </c>
      <c r="B548" t="s">
        <v>24</v>
      </c>
      <c r="C548">
        <v>13</v>
      </c>
      <c r="D548" t="s">
        <v>62</v>
      </c>
      <c r="E548" t="s">
        <v>63</v>
      </c>
      <c r="G548">
        <v>4.8499999999999996</v>
      </c>
      <c r="H548">
        <v>4.8499999999999996</v>
      </c>
      <c r="I548" t="s">
        <v>61</v>
      </c>
      <c r="J548">
        <v>3600000</v>
      </c>
      <c r="K548">
        <v>17460000</v>
      </c>
      <c r="L548" t="s">
        <v>24</v>
      </c>
      <c r="M548" t="s">
        <v>7</v>
      </c>
      <c r="N548" t="b">
        <v>0</v>
      </c>
    </row>
    <row r="549" spans="1:14" x14ac:dyDescent="0.3">
      <c r="A549" t="s">
        <v>21</v>
      </c>
      <c r="B549" t="s">
        <v>24</v>
      </c>
      <c r="C549">
        <v>14</v>
      </c>
      <c r="E549" t="s">
        <v>64</v>
      </c>
      <c r="G549">
        <v>0.1</v>
      </c>
      <c r="H549">
        <v>0.1</v>
      </c>
      <c r="I549" t="s">
        <v>61</v>
      </c>
      <c r="J549">
        <v>5500000</v>
      </c>
      <c r="K549">
        <v>550000</v>
      </c>
      <c r="L549" t="s">
        <v>24</v>
      </c>
      <c r="M549" t="s">
        <v>7</v>
      </c>
      <c r="N549" t="b">
        <v>0</v>
      </c>
    </row>
    <row r="550" spans="1:14" x14ac:dyDescent="0.3">
      <c r="A550" t="s">
        <v>21</v>
      </c>
      <c r="B550" t="s">
        <v>24</v>
      </c>
      <c r="C550">
        <v>15</v>
      </c>
      <c r="D550" t="s">
        <v>65</v>
      </c>
      <c r="E550" t="s">
        <v>66</v>
      </c>
      <c r="G550" t="s">
        <v>67</v>
      </c>
      <c r="H550" t="s">
        <v>67</v>
      </c>
      <c r="I550" t="s">
        <v>61</v>
      </c>
      <c r="J550">
        <v>200000</v>
      </c>
      <c r="K550">
        <v>16000000</v>
      </c>
      <c r="L550" t="s">
        <v>24</v>
      </c>
      <c r="M550" t="s">
        <v>7</v>
      </c>
      <c r="N550" t="b">
        <v>0</v>
      </c>
    </row>
    <row r="551" spans="1:14" x14ac:dyDescent="0.3">
      <c r="A551" t="s">
        <v>21</v>
      </c>
      <c r="B551" t="s">
        <v>24</v>
      </c>
      <c r="C551">
        <v>16</v>
      </c>
      <c r="E551" t="s">
        <v>68</v>
      </c>
      <c r="G551">
        <v>8</v>
      </c>
      <c r="H551">
        <v>8</v>
      </c>
      <c r="I551" t="s">
        <v>61</v>
      </c>
      <c r="J551">
        <v>200000</v>
      </c>
      <c r="K551">
        <v>1600000</v>
      </c>
      <c r="L551" t="s">
        <v>24</v>
      </c>
      <c r="M551" t="s">
        <v>7</v>
      </c>
      <c r="N551" t="b">
        <v>0</v>
      </c>
    </row>
    <row r="552" spans="1:14" x14ac:dyDescent="0.3">
      <c r="A552" t="s">
        <v>21</v>
      </c>
      <c r="B552" t="s">
        <v>24</v>
      </c>
      <c r="C552">
        <v>17</v>
      </c>
      <c r="E552" t="s">
        <v>69</v>
      </c>
      <c r="G552">
        <v>88</v>
      </c>
      <c r="H552">
        <v>88</v>
      </c>
      <c r="I552" t="s">
        <v>61</v>
      </c>
      <c r="J552">
        <v>200000</v>
      </c>
      <c r="K552">
        <v>17600000</v>
      </c>
      <c r="L552" t="s">
        <v>24</v>
      </c>
      <c r="M552" t="s">
        <v>7</v>
      </c>
      <c r="N552" t="b">
        <v>0</v>
      </c>
    </row>
    <row r="553" spans="1:14" x14ac:dyDescent="0.3">
      <c r="A553" t="s">
        <v>21</v>
      </c>
      <c r="B553" t="s">
        <v>24</v>
      </c>
      <c r="C553">
        <v>18</v>
      </c>
      <c r="E553" t="s">
        <v>70</v>
      </c>
      <c r="G553">
        <v>16</v>
      </c>
      <c r="H553">
        <v>16</v>
      </c>
      <c r="I553" t="s">
        <v>61</v>
      </c>
      <c r="J553">
        <v>400000</v>
      </c>
      <c r="K553">
        <v>6400000</v>
      </c>
      <c r="L553" t="s">
        <v>24</v>
      </c>
      <c r="M553" t="s">
        <v>7</v>
      </c>
      <c r="N553" t="b">
        <v>0</v>
      </c>
    </row>
    <row r="554" spans="1:14" x14ac:dyDescent="0.3">
      <c r="A554" t="s">
        <v>21</v>
      </c>
      <c r="B554" t="s">
        <v>24</v>
      </c>
      <c r="C554">
        <v>19</v>
      </c>
      <c r="E554" t="s">
        <v>71</v>
      </c>
      <c r="G554">
        <v>16</v>
      </c>
      <c r="H554">
        <v>16</v>
      </c>
      <c r="I554" t="s">
        <v>61</v>
      </c>
      <c r="J554">
        <v>120000</v>
      </c>
      <c r="K554">
        <v>1920000</v>
      </c>
      <c r="L554" t="s">
        <v>24</v>
      </c>
      <c r="M554" t="s">
        <v>7</v>
      </c>
      <c r="N554" t="b">
        <v>0</v>
      </c>
    </row>
    <row r="555" spans="1:14" x14ac:dyDescent="0.3">
      <c r="A555" t="s">
        <v>21</v>
      </c>
      <c r="B555" t="s">
        <v>24</v>
      </c>
      <c r="C555">
        <v>20</v>
      </c>
      <c r="E555" t="s">
        <v>72</v>
      </c>
      <c r="G555">
        <v>24</v>
      </c>
      <c r="H555">
        <v>24</v>
      </c>
      <c r="I555" t="s">
        <v>61</v>
      </c>
      <c r="J555">
        <v>400000</v>
      </c>
      <c r="K555">
        <v>9600000</v>
      </c>
      <c r="L555" t="s">
        <v>24</v>
      </c>
      <c r="M555" t="s">
        <v>7</v>
      </c>
      <c r="N555" t="b">
        <v>0</v>
      </c>
    </row>
    <row r="556" spans="1:14" x14ac:dyDescent="0.3">
      <c r="A556" t="s">
        <v>21</v>
      </c>
      <c r="B556" t="s">
        <v>24</v>
      </c>
      <c r="C556">
        <v>21</v>
      </c>
      <c r="D556" t="s">
        <v>73</v>
      </c>
      <c r="E556" t="s">
        <v>74</v>
      </c>
      <c r="F556">
        <v>132</v>
      </c>
      <c r="G556">
        <v>10</v>
      </c>
      <c r="H556">
        <v>6.2447616000000004</v>
      </c>
      <c r="I556" t="s">
        <v>46</v>
      </c>
      <c r="J556">
        <v>35000000</v>
      </c>
      <c r="K556">
        <v>218566656</v>
      </c>
      <c r="L556" t="s">
        <v>24</v>
      </c>
      <c r="M556" t="s">
        <v>7</v>
      </c>
      <c r="N556" t="b">
        <v>0</v>
      </c>
    </row>
    <row r="557" spans="1:14" x14ac:dyDescent="0.3">
      <c r="A557" t="s">
        <v>21</v>
      </c>
      <c r="B557" t="s">
        <v>24</v>
      </c>
      <c r="C557">
        <v>22</v>
      </c>
      <c r="D557" t="s">
        <v>75</v>
      </c>
      <c r="E557" t="s">
        <v>76</v>
      </c>
      <c r="F557" t="s">
        <v>77</v>
      </c>
      <c r="G557">
        <v>2</v>
      </c>
      <c r="H557">
        <v>1.8</v>
      </c>
      <c r="I557" t="s">
        <v>46</v>
      </c>
      <c r="J557">
        <v>5200000</v>
      </c>
      <c r="K557">
        <v>9360000</v>
      </c>
      <c r="L557" t="s">
        <v>24</v>
      </c>
      <c r="M557" t="s">
        <v>7</v>
      </c>
      <c r="N557" t="b">
        <v>0</v>
      </c>
    </row>
    <row r="558" spans="1:14" x14ac:dyDescent="0.3">
      <c r="A558" t="s">
        <v>21</v>
      </c>
      <c r="B558" t="s">
        <v>24</v>
      </c>
      <c r="C558">
        <v>23</v>
      </c>
      <c r="E558" t="s">
        <v>78</v>
      </c>
      <c r="F558" t="s">
        <v>79</v>
      </c>
      <c r="G558">
        <v>2</v>
      </c>
      <c r="H558">
        <v>1.2</v>
      </c>
      <c r="I558" t="s">
        <v>46</v>
      </c>
      <c r="J558">
        <v>5200000</v>
      </c>
      <c r="K558">
        <v>6240000</v>
      </c>
      <c r="L558" t="s">
        <v>24</v>
      </c>
      <c r="M558" t="s">
        <v>7</v>
      </c>
      <c r="N558" t="b">
        <v>0</v>
      </c>
    </row>
    <row r="559" spans="1:14" x14ac:dyDescent="0.3">
      <c r="A559" t="s">
        <v>21</v>
      </c>
      <c r="B559" t="s">
        <v>24</v>
      </c>
      <c r="C559">
        <v>24</v>
      </c>
      <c r="D559" t="s">
        <v>80</v>
      </c>
      <c r="E559" t="s">
        <v>81</v>
      </c>
      <c r="F559" t="s">
        <v>169</v>
      </c>
      <c r="G559">
        <v>2</v>
      </c>
      <c r="H559">
        <v>0.83378799999999997</v>
      </c>
      <c r="I559" t="s">
        <v>46</v>
      </c>
      <c r="J559">
        <v>8500000</v>
      </c>
      <c r="K559">
        <v>7087198</v>
      </c>
      <c r="L559" t="s">
        <v>24</v>
      </c>
      <c r="M559" t="s">
        <v>7</v>
      </c>
      <c r="N559" t="b">
        <v>0</v>
      </c>
    </row>
    <row r="560" spans="1:14" x14ac:dyDescent="0.3">
      <c r="A560" t="s">
        <v>21</v>
      </c>
      <c r="B560" t="s">
        <v>24</v>
      </c>
      <c r="C560">
        <v>25</v>
      </c>
      <c r="D560" t="s">
        <v>83</v>
      </c>
      <c r="E560" t="s">
        <v>84</v>
      </c>
      <c r="F560">
        <v>0.18</v>
      </c>
      <c r="G560" t="s">
        <v>85</v>
      </c>
      <c r="H560" t="s">
        <v>85</v>
      </c>
      <c r="I560" t="s">
        <v>61</v>
      </c>
      <c r="J560">
        <v>1014000</v>
      </c>
      <c r="K560">
        <v>2028000</v>
      </c>
      <c r="L560" t="s">
        <v>24</v>
      </c>
      <c r="M560" t="s">
        <v>7</v>
      </c>
      <c r="N560" t="b">
        <v>0</v>
      </c>
    </row>
    <row r="561" spans="1:14" x14ac:dyDescent="0.3">
      <c r="A561" t="s">
        <v>21</v>
      </c>
      <c r="B561" t="s">
        <v>24</v>
      </c>
      <c r="C561">
        <v>26</v>
      </c>
      <c r="E561" t="s">
        <v>86</v>
      </c>
      <c r="F561">
        <v>0.2</v>
      </c>
      <c r="G561">
        <v>4</v>
      </c>
      <c r="H561">
        <v>4</v>
      </c>
      <c r="I561" t="s">
        <v>61</v>
      </c>
      <c r="J561">
        <v>1014000</v>
      </c>
      <c r="K561">
        <v>4056000</v>
      </c>
      <c r="L561" t="s">
        <v>24</v>
      </c>
      <c r="M561" t="s">
        <v>7</v>
      </c>
      <c r="N561" t="b">
        <v>0</v>
      </c>
    </row>
    <row r="562" spans="1:14" x14ac:dyDescent="0.3">
      <c r="A562" t="s">
        <v>21</v>
      </c>
      <c r="B562" t="s">
        <v>24</v>
      </c>
      <c r="C562">
        <v>27</v>
      </c>
      <c r="D562" t="s">
        <v>88</v>
      </c>
      <c r="E562" t="s">
        <v>89</v>
      </c>
      <c r="F562" t="s">
        <v>90</v>
      </c>
      <c r="G562">
        <v>1</v>
      </c>
      <c r="H562">
        <v>1</v>
      </c>
      <c r="I562" t="s">
        <v>61</v>
      </c>
      <c r="J562">
        <v>100000</v>
      </c>
      <c r="K562">
        <v>100000</v>
      </c>
      <c r="L562" t="s">
        <v>24</v>
      </c>
      <c r="M562" t="s">
        <v>7</v>
      </c>
      <c r="N562" t="b">
        <v>0</v>
      </c>
    </row>
    <row r="563" spans="1:14" x14ac:dyDescent="0.3">
      <c r="A563" t="s">
        <v>21</v>
      </c>
      <c r="B563" t="s">
        <v>24</v>
      </c>
      <c r="C563">
        <v>28</v>
      </c>
      <c r="D563" t="s">
        <v>65</v>
      </c>
      <c r="E563" t="s">
        <v>91</v>
      </c>
      <c r="G563">
        <v>2</v>
      </c>
      <c r="H563">
        <v>2</v>
      </c>
      <c r="I563" t="s">
        <v>61</v>
      </c>
      <c r="J563">
        <v>2400000</v>
      </c>
      <c r="K563">
        <v>4800000</v>
      </c>
      <c r="L563" t="s">
        <v>24</v>
      </c>
      <c r="M563" t="s">
        <v>7</v>
      </c>
      <c r="N563" t="b">
        <v>0</v>
      </c>
    </row>
    <row r="564" spans="1:14" x14ac:dyDescent="0.3">
      <c r="A564" t="s">
        <v>21</v>
      </c>
      <c r="B564" t="s">
        <v>24</v>
      </c>
      <c r="C564">
        <v>29</v>
      </c>
      <c r="E564" t="s">
        <v>92</v>
      </c>
      <c r="G564">
        <v>2</v>
      </c>
      <c r="H564">
        <v>2</v>
      </c>
      <c r="I564" t="s">
        <v>61</v>
      </c>
      <c r="J564">
        <v>2400000</v>
      </c>
      <c r="K564">
        <v>4800000</v>
      </c>
      <c r="L564" t="s">
        <v>24</v>
      </c>
      <c r="M564" t="s">
        <v>7</v>
      </c>
      <c r="N564" t="b">
        <v>0</v>
      </c>
    </row>
    <row r="565" spans="1:14" x14ac:dyDescent="0.3">
      <c r="A565" t="s">
        <v>21</v>
      </c>
      <c r="B565" t="s">
        <v>24</v>
      </c>
      <c r="C565">
        <v>30</v>
      </c>
      <c r="E565" t="s">
        <v>93</v>
      </c>
      <c r="G565">
        <v>2</v>
      </c>
      <c r="H565">
        <v>2</v>
      </c>
      <c r="I565" t="s">
        <v>61</v>
      </c>
      <c r="J565">
        <v>3000000</v>
      </c>
      <c r="K565">
        <v>6000000</v>
      </c>
      <c r="L565" t="s">
        <v>24</v>
      </c>
      <c r="M565" t="s">
        <v>7</v>
      </c>
      <c r="N565" t="b">
        <v>0</v>
      </c>
    </row>
    <row r="566" spans="1:14" x14ac:dyDescent="0.3">
      <c r="A566" t="s">
        <v>21</v>
      </c>
      <c r="B566" t="s">
        <v>24</v>
      </c>
      <c r="C566">
        <v>31</v>
      </c>
      <c r="D566" t="s">
        <v>94</v>
      </c>
      <c r="E566" t="s">
        <v>95</v>
      </c>
      <c r="G566">
        <v>2</v>
      </c>
      <c r="H566">
        <v>2</v>
      </c>
      <c r="I566" t="s">
        <v>61</v>
      </c>
      <c r="J566">
        <v>1300000</v>
      </c>
      <c r="K566">
        <v>2600000</v>
      </c>
      <c r="L566" t="s">
        <v>24</v>
      </c>
      <c r="M566" t="s">
        <v>7</v>
      </c>
      <c r="N566" t="b">
        <v>0</v>
      </c>
    </row>
    <row r="567" spans="1:14" x14ac:dyDescent="0.3">
      <c r="A567" t="s">
        <v>21</v>
      </c>
      <c r="B567" t="s">
        <v>24</v>
      </c>
      <c r="C567">
        <v>32</v>
      </c>
      <c r="D567" t="s">
        <v>94</v>
      </c>
      <c r="E567" t="s">
        <v>96</v>
      </c>
      <c r="G567">
        <v>4</v>
      </c>
      <c r="H567">
        <v>2.8119999999999998</v>
      </c>
      <c r="I567" t="s">
        <v>97</v>
      </c>
      <c r="J567">
        <v>460000</v>
      </c>
      <c r="K567">
        <v>1293520</v>
      </c>
      <c r="L567" t="s">
        <v>24</v>
      </c>
      <c r="M567" t="s">
        <v>7</v>
      </c>
      <c r="N567" t="b">
        <v>0</v>
      </c>
    </row>
    <row r="568" spans="1:14" x14ac:dyDescent="0.3">
      <c r="A568" t="s">
        <v>21</v>
      </c>
      <c r="B568" t="s">
        <v>24</v>
      </c>
      <c r="C568">
        <v>33</v>
      </c>
      <c r="D568" t="s">
        <v>98</v>
      </c>
      <c r="E568" t="s">
        <v>99</v>
      </c>
      <c r="F568">
        <v>50</v>
      </c>
      <c r="G568">
        <v>10</v>
      </c>
      <c r="H568">
        <v>1</v>
      </c>
      <c r="I568" t="s">
        <v>100</v>
      </c>
      <c r="J568">
        <v>12655280.000000002</v>
      </c>
      <c r="K568">
        <v>12655280.000000002</v>
      </c>
      <c r="L568" t="s">
        <v>24</v>
      </c>
      <c r="M568" t="s">
        <v>7</v>
      </c>
      <c r="N568" t="b">
        <v>0</v>
      </c>
    </row>
    <row r="569" spans="1:14" x14ac:dyDescent="0.3">
      <c r="A569" t="s">
        <v>21</v>
      </c>
      <c r="B569" t="s">
        <v>24</v>
      </c>
      <c r="C569">
        <v>28</v>
      </c>
      <c r="E569" t="s">
        <v>101</v>
      </c>
      <c r="H569">
        <v>8</v>
      </c>
      <c r="I569" t="s">
        <v>102</v>
      </c>
      <c r="J569">
        <v>13000000</v>
      </c>
      <c r="K569">
        <v>104000000</v>
      </c>
      <c r="L569" t="s">
        <v>24</v>
      </c>
      <c r="M569" t="s">
        <v>7</v>
      </c>
      <c r="N569" t="b">
        <v>0</v>
      </c>
    </row>
    <row r="570" spans="1:14" x14ac:dyDescent="0.3">
      <c r="A570" t="s">
        <v>21</v>
      </c>
      <c r="B570" t="s">
        <v>8</v>
      </c>
      <c r="C570">
        <v>1</v>
      </c>
      <c r="D570" t="s">
        <v>44</v>
      </c>
      <c r="E570" t="s">
        <v>45</v>
      </c>
      <c r="F570">
        <v>0.76800000000000002</v>
      </c>
      <c r="G570">
        <v>2</v>
      </c>
      <c r="H570">
        <v>2.1503999999999999</v>
      </c>
      <c r="I570" t="s">
        <v>46</v>
      </c>
      <c r="J570">
        <v>8500000</v>
      </c>
      <c r="K570">
        <v>18278400</v>
      </c>
      <c r="L570" t="s">
        <v>8</v>
      </c>
      <c r="M570" t="s">
        <v>7</v>
      </c>
      <c r="N570" t="b">
        <v>0</v>
      </c>
    </row>
    <row r="571" spans="1:14" x14ac:dyDescent="0.3">
      <c r="A571" t="s">
        <v>21</v>
      </c>
      <c r="B571" t="s">
        <v>8</v>
      </c>
      <c r="C571">
        <v>2</v>
      </c>
      <c r="E571" t="s">
        <v>47</v>
      </c>
      <c r="F571">
        <v>0</v>
      </c>
      <c r="G571">
        <v>0</v>
      </c>
      <c r="H571">
        <v>0</v>
      </c>
      <c r="I571" t="s">
        <v>46</v>
      </c>
      <c r="J571">
        <v>8500000</v>
      </c>
      <c r="K571">
        <v>0</v>
      </c>
      <c r="L571" t="s">
        <v>8</v>
      </c>
      <c r="M571" t="s">
        <v>7</v>
      </c>
      <c r="N571" t="b">
        <v>0</v>
      </c>
    </row>
    <row r="572" spans="1:14" x14ac:dyDescent="0.3">
      <c r="A572" t="s">
        <v>21</v>
      </c>
      <c r="B572" t="s">
        <v>8</v>
      </c>
      <c r="C572">
        <v>3</v>
      </c>
      <c r="E572" t="s">
        <v>168</v>
      </c>
      <c r="F572">
        <v>0.70299999999999996</v>
      </c>
      <c r="G572">
        <v>2</v>
      </c>
      <c r="H572">
        <v>3.6556000000000002</v>
      </c>
      <c r="I572" t="s">
        <v>46</v>
      </c>
      <c r="J572">
        <v>8500000</v>
      </c>
      <c r="K572">
        <v>31072599.999999996</v>
      </c>
      <c r="L572" t="s">
        <v>8</v>
      </c>
      <c r="M572" t="s">
        <v>7</v>
      </c>
      <c r="N572" t="b">
        <v>0</v>
      </c>
    </row>
    <row r="573" spans="1:14" x14ac:dyDescent="0.3">
      <c r="A573" t="s">
        <v>21</v>
      </c>
      <c r="B573" t="s">
        <v>8</v>
      </c>
      <c r="C573">
        <v>4</v>
      </c>
      <c r="E573" t="s">
        <v>49</v>
      </c>
      <c r="F573">
        <v>120</v>
      </c>
      <c r="G573">
        <v>4</v>
      </c>
      <c r="H573">
        <v>0.48</v>
      </c>
      <c r="I573" t="s">
        <v>46</v>
      </c>
      <c r="J573">
        <v>8500000</v>
      </c>
      <c r="K573">
        <v>4080000</v>
      </c>
      <c r="L573" t="s">
        <v>8</v>
      </c>
      <c r="M573" t="s">
        <v>7</v>
      </c>
      <c r="N573" t="b">
        <v>0</v>
      </c>
    </row>
    <row r="574" spans="1:14" x14ac:dyDescent="0.3">
      <c r="A574" t="s">
        <v>21</v>
      </c>
      <c r="B574" t="s">
        <v>8</v>
      </c>
      <c r="C574">
        <v>5</v>
      </c>
      <c r="E574" t="s">
        <v>50</v>
      </c>
      <c r="F574">
        <v>180</v>
      </c>
      <c r="G574">
        <v>4</v>
      </c>
      <c r="H574">
        <v>1.376352</v>
      </c>
      <c r="I574" t="s">
        <v>46</v>
      </c>
      <c r="J574">
        <v>8500000</v>
      </c>
      <c r="K574">
        <v>11698992</v>
      </c>
      <c r="L574" t="s">
        <v>8</v>
      </c>
      <c r="M574" t="s">
        <v>7</v>
      </c>
      <c r="N574" t="b">
        <v>0</v>
      </c>
    </row>
    <row r="575" spans="1:14" x14ac:dyDescent="0.3">
      <c r="A575" t="s">
        <v>21</v>
      </c>
      <c r="B575" t="s">
        <v>8</v>
      </c>
      <c r="C575">
        <v>6</v>
      </c>
      <c r="E575" t="s">
        <v>51</v>
      </c>
      <c r="F575">
        <v>0.96299999999999997</v>
      </c>
      <c r="G575">
        <v>4</v>
      </c>
      <c r="H575">
        <v>10.982822400000002</v>
      </c>
      <c r="I575" t="s">
        <v>46</v>
      </c>
      <c r="J575">
        <v>8500000</v>
      </c>
      <c r="K575">
        <v>93353990.400000021</v>
      </c>
      <c r="L575" t="s">
        <v>8</v>
      </c>
      <c r="M575" t="s">
        <v>7</v>
      </c>
      <c r="N575" t="b">
        <v>0</v>
      </c>
    </row>
    <row r="576" spans="1:14" x14ac:dyDescent="0.3">
      <c r="A576" t="s">
        <v>21</v>
      </c>
      <c r="B576" t="s">
        <v>8</v>
      </c>
      <c r="C576">
        <v>7</v>
      </c>
      <c r="D576" t="s">
        <v>52</v>
      </c>
      <c r="E576" t="s">
        <v>53</v>
      </c>
      <c r="F576">
        <v>0.13</v>
      </c>
      <c r="G576">
        <v>1.4791679999999998</v>
      </c>
      <c r="H576">
        <v>1.4791679999999998</v>
      </c>
      <c r="I576" t="s">
        <v>54</v>
      </c>
      <c r="J576">
        <v>4275000</v>
      </c>
      <c r="K576">
        <v>6323443.1999999993</v>
      </c>
      <c r="L576" t="s">
        <v>8</v>
      </c>
      <c r="M576" t="s">
        <v>7</v>
      </c>
      <c r="N576" t="b">
        <v>0</v>
      </c>
    </row>
    <row r="577" spans="1:14" x14ac:dyDescent="0.3">
      <c r="A577" t="s">
        <v>21</v>
      </c>
      <c r="B577" t="s">
        <v>8</v>
      </c>
      <c r="C577">
        <v>8</v>
      </c>
      <c r="E577" t="s">
        <v>55</v>
      </c>
      <c r="F577">
        <v>0.35</v>
      </c>
      <c r="G577">
        <v>0</v>
      </c>
      <c r="H577">
        <v>0</v>
      </c>
      <c r="I577" t="s">
        <v>46</v>
      </c>
      <c r="J577">
        <v>35750000</v>
      </c>
      <c r="K577">
        <v>0</v>
      </c>
      <c r="L577" t="s">
        <v>8</v>
      </c>
      <c r="M577" t="s">
        <v>7</v>
      </c>
      <c r="N577" t="b">
        <v>0</v>
      </c>
    </row>
    <row r="578" spans="1:14" x14ac:dyDescent="0.3">
      <c r="A578" t="s">
        <v>21</v>
      </c>
      <c r="B578" t="s">
        <v>8</v>
      </c>
      <c r="C578">
        <v>9</v>
      </c>
      <c r="E578" t="s">
        <v>55</v>
      </c>
      <c r="F578">
        <v>0.2</v>
      </c>
      <c r="G578">
        <v>0.7395839999999998</v>
      </c>
      <c r="H578">
        <v>0.7395839999999998</v>
      </c>
      <c r="I578" t="s">
        <v>46</v>
      </c>
      <c r="J578">
        <v>45760000</v>
      </c>
      <c r="K578">
        <v>33843363.839999996</v>
      </c>
      <c r="L578" t="s">
        <v>8</v>
      </c>
      <c r="M578" t="s">
        <v>7</v>
      </c>
      <c r="N578" t="b">
        <v>0</v>
      </c>
    </row>
    <row r="579" spans="1:14" x14ac:dyDescent="0.3">
      <c r="A579" t="s">
        <v>21</v>
      </c>
      <c r="B579" t="s">
        <v>8</v>
      </c>
      <c r="C579">
        <v>10</v>
      </c>
      <c r="D579" t="s">
        <v>56</v>
      </c>
      <c r="E579" t="s">
        <v>57</v>
      </c>
      <c r="G579">
        <v>5.8059999999999992</v>
      </c>
      <c r="H579">
        <v>5.8059999999999992</v>
      </c>
      <c r="I579" t="s">
        <v>61</v>
      </c>
      <c r="J579">
        <v>1430000</v>
      </c>
      <c r="K579">
        <v>8302579.9999999981</v>
      </c>
      <c r="L579" t="s">
        <v>8</v>
      </c>
      <c r="M579" t="s">
        <v>7</v>
      </c>
      <c r="N579" t="b">
        <v>0</v>
      </c>
    </row>
    <row r="580" spans="1:14" x14ac:dyDescent="0.3">
      <c r="A580" t="s">
        <v>21</v>
      </c>
      <c r="B580" t="s">
        <v>8</v>
      </c>
      <c r="C580">
        <v>11</v>
      </c>
      <c r="D580" t="s">
        <v>58</v>
      </c>
      <c r="E580" t="s">
        <v>59</v>
      </c>
      <c r="G580" t="s">
        <v>103</v>
      </c>
      <c r="H580" t="s">
        <v>103</v>
      </c>
      <c r="I580" t="s">
        <v>46</v>
      </c>
      <c r="J580">
        <v>3000000</v>
      </c>
      <c r="K580">
        <v>24000000</v>
      </c>
      <c r="L580" t="s">
        <v>8</v>
      </c>
      <c r="M580" t="s">
        <v>7</v>
      </c>
      <c r="N580" t="b">
        <v>0</v>
      </c>
    </row>
    <row r="581" spans="1:14" x14ac:dyDescent="0.3">
      <c r="A581" t="s">
        <v>21</v>
      </c>
      <c r="B581" t="s">
        <v>8</v>
      </c>
      <c r="C581">
        <v>12</v>
      </c>
      <c r="E581" t="s">
        <v>60</v>
      </c>
      <c r="G581">
        <v>10.982822400000002</v>
      </c>
      <c r="H581">
        <v>10.982822400000002</v>
      </c>
      <c r="I581" t="s">
        <v>61</v>
      </c>
      <c r="J581">
        <v>3600000</v>
      </c>
      <c r="K581">
        <v>39538160.640000008</v>
      </c>
      <c r="L581" t="s">
        <v>8</v>
      </c>
      <c r="M581" t="s">
        <v>7</v>
      </c>
      <c r="N581" t="b">
        <v>0</v>
      </c>
    </row>
    <row r="582" spans="1:14" x14ac:dyDescent="0.3">
      <c r="A582" t="s">
        <v>21</v>
      </c>
      <c r="B582" t="s">
        <v>8</v>
      </c>
      <c r="C582">
        <v>13</v>
      </c>
      <c r="D582" t="s">
        <v>62</v>
      </c>
      <c r="E582" t="s">
        <v>63</v>
      </c>
      <c r="G582">
        <v>3.8519999999999999</v>
      </c>
      <c r="H582">
        <v>3.8519999999999999</v>
      </c>
      <c r="I582" t="s">
        <v>61</v>
      </c>
      <c r="J582">
        <v>3600000</v>
      </c>
      <c r="K582">
        <v>13867200</v>
      </c>
      <c r="L582" t="s">
        <v>8</v>
      </c>
      <c r="M582" t="s">
        <v>7</v>
      </c>
      <c r="N582" t="b">
        <v>0</v>
      </c>
    </row>
    <row r="583" spans="1:14" x14ac:dyDescent="0.3">
      <c r="A583" t="s">
        <v>21</v>
      </c>
      <c r="B583" t="s">
        <v>8</v>
      </c>
      <c r="C583">
        <v>14</v>
      </c>
      <c r="E583" t="s">
        <v>64</v>
      </c>
      <c r="G583">
        <v>0.1</v>
      </c>
      <c r="H583">
        <v>0.1</v>
      </c>
      <c r="I583" t="s">
        <v>61</v>
      </c>
      <c r="J583">
        <v>5500000</v>
      </c>
      <c r="K583">
        <v>550000</v>
      </c>
      <c r="L583" t="s">
        <v>8</v>
      </c>
      <c r="M583" t="s">
        <v>7</v>
      </c>
      <c r="N583" t="b">
        <v>0</v>
      </c>
    </row>
    <row r="584" spans="1:14" x14ac:dyDescent="0.3">
      <c r="A584" t="s">
        <v>21</v>
      </c>
      <c r="B584" t="s">
        <v>8</v>
      </c>
      <c r="C584">
        <v>15</v>
      </c>
      <c r="D584" t="s">
        <v>65</v>
      </c>
      <c r="E584" t="s">
        <v>66</v>
      </c>
      <c r="G584">
        <v>20</v>
      </c>
      <c r="H584">
        <v>20</v>
      </c>
      <c r="I584" t="s">
        <v>61</v>
      </c>
      <c r="J584">
        <v>200000</v>
      </c>
      <c r="K584">
        <v>4000000</v>
      </c>
      <c r="L584" t="s">
        <v>8</v>
      </c>
      <c r="M584" t="s">
        <v>7</v>
      </c>
      <c r="N584" t="b">
        <v>0</v>
      </c>
    </row>
    <row r="585" spans="1:14" x14ac:dyDescent="0.3">
      <c r="A585" t="s">
        <v>21</v>
      </c>
      <c r="B585" t="s">
        <v>8</v>
      </c>
      <c r="C585">
        <v>16</v>
      </c>
      <c r="E585" t="s">
        <v>68</v>
      </c>
      <c r="G585">
        <v>8</v>
      </c>
      <c r="H585">
        <v>8</v>
      </c>
      <c r="I585" t="s">
        <v>61</v>
      </c>
      <c r="J585">
        <v>200000</v>
      </c>
      <c r="K585">
        <v>1600000</v>
      </c>
      <c r="L585" t="s">
        <v>8</v>
      </c>
      <c r="M585" t="s">
        <v>7</v>
      </c>
      <c r="N585" t="b">
        <v>0</v>
      </c>
    </row>
    <row r="586" spans="1:14" x14ac:dyDescent="0.3">
      <c r="A586" t="s">
        <v>21</v>
      </c>
      <c r="B586" t="s">
        <v>8</v>
      </c>
      <c r="C586">
        <v>17</v>
      </c>
      <c r="E586" t="s">
        <v>69</v>
      </c>
      <c r="G586">
        <v>28</v>
      </c>
      <c r="H586">
        <v>28</v>
      </c>
      <c r="I586" t="s">
        <v>61</v>
      </c>
      <c r="J586">
        <v>200000</v>
      </c>
      <c r="K586">
        <v>5600000</v>
      </c>
      <c r="L586" t="s">
        <v>8</v>
      </c>
      <c r="M586" t="s">
        <v>7</v>
      </c>
      <c r="N586" t="b">
        <v>0</v>
      </c>
    </row>
    <row r="587" spans="1:14" x14ac:dyDescent="0.3">
      <c r="A587" t="s">
        <v>21</v>
      </c>
      <c r="B587" t="s">
        <v>8</v>
      </c>
      <c r="C587">
        <v>18</v>
      </c>
      <c r="E587" t="s">
        <v>70</v>
      </c>
      <c r="G587">
        <v>16</v>
      </c>
      <c r="H587">
        <v>16</v>
      </c>
      <c r="I587" t="s">
        <v>61</v>
      </c>
      <c r="J587">
        <v>400000</v>
      </c>
      <c r="K587">
        <v>6400000</v>
      </c>
      <c r="L587" t="s">
        <v>8</v>
      </c>
      <c r="M587" t="s">
        <v>7</v>
      </c>
      <c r="N587" t="b">
        <v>0</v>
      </c>
    </row>
    <row r="588" spans="1:14" x14ac:dyDescent="0.3">
      <c r="A588" t="s">
        <v>21</v>
      </c>
      <c r="B588" t="s">
        <v>8</v>
      </c>
      <c r="C588">
        <v>19</v>
      </c>
      <c r="E588" t="s">
        <v>71</v>
      </c>
      <c r="G588">
        <v>16</v>
      </c>
      <c r="H588">
        <v>16</v>
      </c>
      <c r="I588" t="s">
        <v>61</v>
      </c>
      <c r="J588">
        <v>120000</v>
      </c>
      <c r="K588">
        <v>1920000</v>
      </c>
      <c r="L588" t="s">
        <v>8</v>
      </c>
      <c r="M588" t="s">
        <v>7</v>
      </c>
      <c r="N588" t="b">
        <v>0</v>
      </c>
    </row>
    <row r="589" spans="1:14" x14ac:dyDescent="0.3">
      <c r="A589" t="s">
        <v>21</v>
      </c>
      <c r="B589" t="s">
        <v>8</v>
      </c>
      <c r="C589">
        <v>20</v>
      </c>
      <c r="E589" t="s">
        <v>72</v>
      </c>
      <c r="G589">
        <v>24</v>
      </c>
      <c r="H589">
        <v>24</v>
      </c>
      <c r="I589" t="s">
        <v>61</v>
      </c>
      <c r="J589">
        <v>400000</v>
      </c>
      <c r="K589">
        <v>9600000</v>
      </c>
      <c r="L589" t="s">
        <v>8</v>
      </c>
      <c r="M589" t="s">
        <v>7</v>
      </c>
      <c r="N589" t="b">
        <v>0</v>
      </c>
    </row>
    <row r="590" spans="1:14" x14ac:dyDescent="0.3">
      <c r="A590" t="s">
        <v>21</v>
      </c>
      <c r="B590" t="s">
        <v>8</v>
      </c>
      <c r="C590">
        <v>21</v>
      </c>
      <c r="D590" t="s">
        <v>73</v>
      </c>
      <c r="E590" t="s">
        <v>74</v>
      </c>
      <c r="F590">
        <v>132</v>
      </c>
      <c r="G590" t="s">
        <v>103</v>
      </c>
      <c r="H590">
        <v>4.9958092800000005</v>
      </c>
      <c r="I590" t="s">
        <v>46</v>
      </c>
      <c r="J590">
        <v>35000000</v>
      </c>
      <c r="K590">
        <v>174853324.80000001</v>
      </c>
      <c r="L590" t="s">
        <v>8</v>
      </c>
      <c r="M590" t="s">
        <v>7</v>
      </c>
      <c r="N590" t="b">
        <v>0</v>
      </c>
    </row>
    <row r="591" spans="1:14" x14ac:dyDescent="0.3">
      <c r="A591" t="s">
        <v>21</v>
      </c>
      <c r="B591" t="s">
        <v>8</v>
      </c>
      <c r="C591">
        <v>22</v>
      </c>
      <c r="D591" t="s">
        <v>75</v>
      </c>
      <c r="E591" t="s">
        <v>76</v>
      </c>
      <c r="F591" t="s">
        <v>77</v>
      </c>
      <c r="G591">
        <v>2</v>
      </c>
      <c r="H591">
        <v>1.8</v>
      </c>
      <c r="I591" t="s">
        <v>46</v>
      </c>
      <c r="J591">
        <v>5200000</v>
      </c>
      <c r="K591">
        <v>9360000</v>
      </c>
      <c r="L591" t="s">
        <v>8</v>
      </c>
      <c r="M591" t="s">
        <v>7</v>
      </c>
      <c r="N591" t="b">
        <v>0</v>
      </c>
    </row>
    <row r="592" spans="1:14" x14ac:dyDescent="0.3">
      <c r="A592" t="s">
        <v>21</v>
      </c>
      <c r="B592" t="s">
        <v>8</v>
      </c>
      <c r="C592">
        <v>23</v>
      </c>
      <c r="E592" t="s">
        <v>78</v>
      </c>
      <c r="F592" t="s">
        <v>79</v>
      </c>
      <c r="G592">
        <v>2</v>
      </c>
      <c r="H592">
        <v>1.2</v>
      </c>
      <c r="I592" t="s">
        <v>46</v>
      </c>
      <c r="J592">
        <v>5200000</v>
      </c>
      <c r="K592">
        <v>6240000</v>
      </c>
      <c r="L592" t="s">
        <v>8</v>
      </c>
      <c r="M592" t="s">
        <v>7</v>
      </c>
      <c r="N592" t="b">
        <v>0</v>
      </c>
    </row>
    <row r="593" spans="1:14" x14ac:dyDescent="0.3">
      <c r="A593" t="s">
        <v>21</v>
      </c>
      <c r="B593" t="s">
        <v>8</v>
      </c>
      <c r="C593">
        <v>24</v>
      </c>
      <c r="D593" t="s">
        <v>80</v>
      </c>
      <c r="E593" t="s">
        <v>81</v>
      </c>
      <c r="F593" t="s">
        <v>169</v>
      </c>
      <c r="G593">
        <v>2</v>
      </c>
      <c r="H593">
        <v>0.83378799999999997</v>
      </c>
      <c r="I593" t="s">
        <v>46</v>
      </c>
      <c r="J593">
        <v>8500000</v>
      </c>
      <c r="K593">
        <v>7087198</v>
      </c>
      <c r="L593" t="s">
        <v>8</v>
      </c>
      <c r="M593" t="s">
        <v>7</v>
      </c>
      <c r="N593" t="b">
        <v>0</v>
      </c>
    </row>
    <row r="594" spans="1:14" x14ac:dyDescent="0.3">
      <c r="A594" t="s">
        <v>21</v>
      </c>
      <c r="B594" t="s">
        <v>8</v>
      </c>
      <c r="C594">
        <v>25</v>
      </c>
      <c r="D594" t="s">
        <v>83</v>
      </c>
      <c r="E594" t="s">
        <v>84</v>
      </c>
      <c r="F594">
        <v>0.18</v>
      </c>
      <c r="G594">
        <v>2</v>
      </c>
      <c r="H594">
        <v>2</v>
      </c>
      <c r="I594" t="s">
        <v>61</v>
      </c>
      <c r="J594">
        <v>1014000</v>
      </c>
      <c r="K594">
        <v>2028000</v>
      </c>
      <c r="L594" t="s">
        <v>8</v>
      </c>
      <c r="M594" t="s">
        <v>7</v>
      </c>
      <c r="N594" t="b">
        <v>0</v>
      </c>
    </row>
    <row r="595" spans="1:14" x14ac:dyDescent="0.3">
      <c r="A595" t="s">
        <v>21</v>
      </c>
      <c r="B595" t="s">
        <v>8</v>
      </c>
      <c r="C595">
        <v>26</v>
      </c>
      <c r="E595" t="s">
        <v>86</v>
      </c>
      <c r="F595">
        <v>0.2</v>
      </c>
      <c r="G595">
        <v>3</v>
      </c>
      <c r="H595">
        <v>3</v>
      </c>
      <c r="I595" t="s">
        <v>61</v>
      </c>
      <c r="J595">
        <v>1014000</v>
      </c>
      <c r="K595">
        <v>3042000</v>
      </c>
      <c r="L595" t="s">
        <v>8</v>
      </c>
      <c r="M595" t="s">
        <v>7</v>
      </c>
      <c r="N595" t="b">
        <v>0</v>
      </c>
    </row>
    <row r="596" spans="1:14" x14ac:dyDescent="0.3">
      <c r="A596" t="s">
        <v>21</v>
      </c>
      <c r="B596" t="s">
        <v>8</v>
      </c>
      <c r="C596">
        <v>27</v>
      </c>
      <c r="D596" t="s">
        <v>88</v>
      </c>
      <c r="E596" t="s">
        <v>89</v>
      </c>
      <c r="F596" t="s">
        <v>90</v>
      </c>
      <c r="G596">
        <v>1</v>
      </c>
      <c r="H596">
        <v>1</v>
      </c>
      <c r="I596" t="s">
        <v>61</v>
      </c>
      <c r="J596">
        <v>100000</v>
      </c>
      <c r="K596">
        <v>100000</v>
      </c>
      <c r="L596" t="s">
        <v>8</v>
      </c>
      <c r="M596" t="s">
        <v>7</v>
      </c>
      <c r="N596" t="b">
        <v>0</v>
      </c>
    </row>
    <row r="597" spans="1:14" x14ac:dyDescent="0.3">
      <c r="A597" t="s">
        <v>21</v>
      </c>
      <c r="B597" t="s">
        <v>8</v>
      </c>
      <c r="C597">
        <v>28</v>
      </c>
      <c r="D597" t="s">
        <v>65</v>
      </c>
      <c r="E597" t="s">
        <v>91</v>
      </c>
      <c r="G597">
        <v>2</v>
      </c>
      <c r="H597">
        <v>2</v>
      </c>
      <c r="I597" t="s">
        <v>61</v>
      </c>
      <c r="J597">
        <v>2400000</v>
      </c>
      <c r="K597">
        <v>4800000</v>
      </c>
      <c r="L597" t="s">
        <v>8</v>
      </c>
      <c r="M597" t="s">
        <v>7</v>
      </c>
      <c r="N597" t="b">
        <v>0</v>
      </c>
    </row>
    <row r="598" spans="1:14" x14ac:dyDescent="0.3">
      <c r="A598" t="s">
        <v>21</v>
      </c>
      <c r="B598" t="s">
        <v>8</v>
      </c>
      <c r="C598">
        <v>29</v>
      </c>
      <c r="E598" t="s">
        <v>92</v>
      </c>
      <c r="G598">
        <v>2</v>
      </c>
      <c r="H598">
        <v>2</v>
      </c>
      <c r="I598" t="s">
        <v>61</v>
      </c>
      <c r="J598">
        <v>2400000</v>
      </c>
      <c r="K598">
        <v>4800000</v>
      </c>
      <c r="L598" t="s">
        <v>8</v>
      </c>
      <c r="M598" t="s">
        <v>7</v>
      </c>
      <c r="N598" t="b">
        <v>0</v>
      </c>
    </row>
    <row r="599" spans="1:14" x14ac:dyDescent="0.3">
      <c r="A599" t="s">
        <v>21</v>
      </c>
      <c r="B599" t="s">
        <v>8</v>
      </c>
      <c r="C599">
        <v>30</v>
      </c>
      <c r="E599" t="s">
        <v>93</v>
      </c>
      <c r="G599">
        <v>2</v>
      </c>
      <c r="H599">
        <v>2</v>
      </c>
      <c r="I599" t="s">
        <v>61</v>
      </c>
      <c r="J599">
        <v>3000000</v>
      </c>
      <c r="K599">
        <v>6000000</v>
      </c>
      <c r="L599" t="s">
        <v>8</v>
      </c>
      <c r="M599" t="s">
        <v>7</v>
      </c>
      <c r="N599" t="b">
        <v>0</v>
      </c>
    </row>
    <row r="600" spans="1:14" x14ac:dyDescent="0.3">
      <c r="A600" t="s">
        <v>21</v>
      </c>
      <c r="B600" t="s">
        <v>8</v>
      </c>
      <c r="C600">
        <v>31</v>
      </c>
      <c r="D600" t="s">
        <v>104</v>
      </c>
      <c r="E600" t="s">
        <v>105</v>
      </c>
      <c r="G600">
        <v>1</v>
      </c>
      <c r="H600">
        <v>2</v>
      </c>
      <c r="I600" t="s">
        <v>61</v>
      </c>
      <c r="J600">
        <v>30000000</v>
      </c>
      <c r="K600">
        <v>60000000</v>
      </c>
      <c r="L600" t="s">
        <v>8</v>
      </c>
      <c r="M600" t="s">
        <v>7</v>
      </c>
      <c r="N600" t="b">
        <v>0</v>
      </c>
    </row>
    <row r="601" spans="1:14" x14ac:dyDescent="0.3">
      <c r="A601" t="s">
        <v>21</v>
      </c>
      <c r="B601" t="s">
        <v>8</v>
      </c>
      <c r="C601">
        <v>32</v>
      </c>
      <c r="E601" t="s">
        <v>106</v>
      </c>
      <c r="G601">
        <v>1</v>
      </c>
      <c r="H601">
        <v>4</v>
      </c>
      <c r="J601">
        <v>19000000</v>
      </c>
      <c r="K601">
        <v>76000000</v>
      </c>
      <c r="L601" t="s">
        <v>8</v>
      </c>
      <c r="M601" t="s">
        <v>7</v>
      </c>
      <c r="N601" t="b">
        <v>0</v>
      </c>
    </row>
    <row r="602" spans="1:14" x14ac:dyDescent="0.3">
      <c r="A602" t="s">
        <v>21</v>
      </c>
      <c r="B602" t="s">
        <v>8</v>
      </c>
      <c r="C602">
        <v>33</v>
      </c>
      <c r="D602" t="s">
        <v>94</v>
      </c>
      <c r="E602" t="s">
        <v>95</v>
      </c>
      <c r="G602">
        <v>2</v>
      </c>
      <c r="H602">
        <v>2</v>
      </c>
      <c r="I602" t="s">
        <v>61</v>
      </c>
      <c r="J602">
        <v>1300000</v>
      </c>
      <c r="K602">
        <v>2600000</v>
      </c>
      <c r="L602" t="s">
        <v>8</v>
      </c>
      <c r="M602" t="s">
        <v>7</v>
      </c>
      <c r="N602" t="b">
        <v>0</v>
      </c>
    </row>
    <row r="603" spans="1:14" x14ac:dyDescent="0.3">
      <c r="A603" t="s">
        <v>21</v>
      </c>
      <c r="B603" t="s">
        <v>8</v>
      </c>
      <c r="C603">
        <v>34</v>
      </c>
      <c r="D603" t="s">
        <v>94</v>
      </c>
      <c r="E603" t="s">
        <v>96</v>
      </c>
      <c r="G603">
        <v>4</v>
      </c>
      <c r="H603">
        <v>2.8119999999999998</v>
      </c>
      <c r="I603" t="s">
        <v>97</v>
      </c>
      <c r="J603">
        <v>460000</v>
      </c>
      <c r="K603">
        <v>1293520</v>
      </c>
      <c r="L603" t="s">
        <v>8</v>
      </c>
      <c r="M603" t="s">
        <v>7</v>
      </c>
      <c r="N603" t="b">
        <v>0</v>
      </c>
    </row>
    <row r="604" spans="1:14" x14ac:dyDescent="0.3">
      <c r="A604" t="s">
        <v>21</v>
      </c>
      <c r="B604" t="s">
        <v>8</v>
      </c>
      <c r="C604">
        <v>35</v>
      </c>
      <c r="D604" t="s">
        <v>98</v>
      </c>
      <c r="E604" t="s">
        <v>99</v>
      </c>
      <c r="F604">
        <v>50</v>
      </c>
      <c r="G604">
        <v>8</v>
      </c>
      <c r="H604">
        <v>0.8</v>
      </c>
      <c r="I604" t="s">
        <v>100</v>
      </c>
      <c r="J604">
        <v>12655280.000000002</v>
      </c>
      <c r="K604">
        <v>10124224.000000002</v>
      </c>
      <c r="L604" t="s">
        <v>8</v>
      </c>
      <c r="M604" t="s">
        <v>7</v>
      </c>
      <c r="N604" t="b">
        <v>0</v>
      </c>
    </row>
    <row r="605" spans="1:14" x14ac:dyDescent="0.3">
      <c r="A605" t="s">
        <v>21</v>
      </c>
      <c r="B605" t="s">
        <v>8</v>
      </c>
      <c r="C605">
        <v>28</v>
      </c>
      <c r="E605" t="s">
        <v>101</v>
      </c>
      <c r="H605">
        <v>10</v>
      </c>
      <c r="I605" t="s">
        <v>102</v>
      </c>
      <c r="J605">
        <v>13000000</v>
      </c>
      <c r="K605">
        <v>130000000</v>
      </c>
      <c r="L605" t="s">
        <v>8</v>
      </c>
      <c r="M605" t="s">
        <v>7</v>
      </c>
      <c r="N605" t="b">
        <v>0</v>
      </c>
    </row>
    <row r="606" spans="1:14" x14ac:dyDescent="0.3">
      <c r="A606" t="s">
        <v>21</v>
      </c>
      <c r="B606" t="s">
        <v>8</v>
      </c>
      <c r="C606">
        <v>29</v>
      </c>
      <c r="E606" t="s">
        <v>107</v>
      </c>
      <c r="H606">
        <v>0</v>
      </c>
      <c r="I606" t="s">
        <v>108</v>
      </c>
      <c r="K606">
        <v>0</v>
      </c>
      <c r="L606" t="s">
        <v>8</v>
      </c>
      <c r="M606" t="s">
        <v>7</v>
      </c>
      <c r="N606" t="b">
        <v>0</v>
      </c>
    </row>
    <row r="607" spans="1:14" x14ac:dyDescent="0.3">
      <c r="A607" t="s">
        <v>21</v>
      </c>
      <c r="B607" t="s">
        <v>9</v>
      </c>
      <c r="C607">
        <v>1</v>
      </c>
      <c r="D607" t="s">
        <v>44</v>
      </c>
      <c r="E607" t="s">
        <v>45</v>
      </c>
      <c r="F607">
        <v>0.33500000000000002</v>
      </c>
      <c r="G607">
        <v>2</v>
      </c>
      <c r="H607">
        <v>0.93799999999999994</v>
      </c>
      <c r="I607" t="s">
        <v>46</v>
      </c>
      <c r="J607">
        <v>8500000</v>
      </c>
      <c r="K607">
        <v>7972999.9999999981</v>
      </c>
      <c r="L607" t="s">
        <v>9</v>
      </c>
      <c r="M607" t="s">
        <v>7</v>
      </c>
      <c r="N607" t="b">
        <v>0</v>
      </c>
    </row>
    <row r="608" spans="1:14" x14ac:dyDescent="0.3">
      <c r="A608" t="s">
        <v>21</v>
      </c>
      <c r="B608" t="s">
        <v>9</v>
      </c>
      <c r="C608">
        <v>2</v>
      </c>
      <c r="E608" t="s">
        <v>47</v>
      </c>
      <c r="F608">
        <v>0</v>
      </c>
      <c r="G608">
        <v>0</v>
      </c>
      <c r="H608">
        <v>0</v>
      </c>
      <c r="I608" t="s">
        <v>46</v>
      </c>
      <c r="J608">
        <v>8500000</v>
      </c>
      <c r="K608">
        <v>0</v>
      </c>
      <c r="L608" t="s">
        <v>9</v>
      </c>
      <c r="M608" t="s">
        <v>7</v>
      </c>
      <c r="N608" t="b">
        <v>0</v>
      </c>
    </row>
    <row r="609" spans="1:14" x14ac:dyDescent="0.3">
      <c r="A609" t="s">
        <v>21</v>
      </c>
      <c r="B609" t="s">
        <v>9</v>
      </c>
      <c r="C609">
        <v>3</v>
      </c>
      <c r="E609" t="s">
        <v>168</v>
      </c>
      <c r="F609">
        <v>0.33500000000000002</v>
      </c>
      <c r="G609">
        <v>2</v>
      </c>
      <c r="H609">
        <v>1.7420000000000002</v>
      </c>
      <c r="I609" t="s">
        <v>46</v>
      </c>
      <c r="J609">
        <v>8500000</v>
      </c>
      <c r="K609">
        <v>14807000.000000002</v>
      </c>
      <c r="L609" t="s">
        <v>9</v>
      </c>
      <c r="M609" t="s">
        <v>7</v>
      </c>
      <c r="N609" t="b">
        <v>0</v>
      </c>
    </row>
    <row r="610" spans="1:14" x14ac:dyDescent="0.3">
      <c r="A610" t="s">
        <v>21</v>
      </c>
      <c r="B610" t="s">
        <v>9</v>
      </c>
      <c r="C610">
        <v>4</v>
      </c>
      <c r="E610" t="s">
        <v>49</v>
      </c>
      <c r="F610">
        <v>120</v>
      </c>
      <c r="G610">
        <v>4</v>
      </c>
      <c r="H610">
        <v>0.48</v>
      </c>
      <c r="I610" t="s">
        <v>46</v>
      </c>
      <c r="J610">
        <v>8500000</v>
      </c>
      <c r="K610">
        <v>4080000</v>
      </c>
      <c r="L610" t="s">
        <v>9</v>
      </c>
      <c r="M610" t="s">
        <v>7</v>
      </c>
      <c r="N610" t="b">
        <v>0</v>
      </c>
    </row>
    <row r="611" spans="1:14" x14ac:dyDescent="0.3">
      <c r="A611" t="s">
        <v>21</v>
      </c>
      <c r="B611" t="s">
        <v>9</v>
      </c>
      <c r="C611">
        <v>5</v>
      </c>
      <c r="E611" t="s">
        <v>50</v>
      </c>
      <c r="F611">
        <v>180</v>
      </c>
      <c r="G611">
        <v>4</v>
      </c>
      <c r="H611">
        <v>1.376352</v>
      </c>
      <c r="I611" t="s">
        <v>46</v>
      </c>
      <c r="J611">
        <v>8500000</v>
      </c>
      <c r="K611">
        <v>11698992</v>
      </c>
      <c r="L611" t="s">
        <v>9</v>
      </c>
      <c r="M611" t="s">
        <v>7</v>
      </c>
      <c r="N611" t="b">
        <v>0</v>
      </c>
    </row>
    <row r="612" spans="1:14" x14ac:dyDescent="0.3">
      <c r="A612" t="s">
        <v>21</v>
      </c>
      <c r="B612" t="s">
        <v>9</v>
      </c>
      <c r="C612">
        <v>6</v>
      </c>
      <c r="E612" t="s">
        <v>51</v>
      </c>
      <c r="F612">
        <v>0.55800000000000005</v>
      </c>
      <c r="G612">
        <v>4</v>
      </c>
      <c r="H612">
        <v>6.3638783999999999</v>
      </c>
      <c r="I612" t="s">
        <v>46</v>
      </c>
      <c r="J612">
        <v>8500000</v>
      </c>
      <c r="K612">
        <v>54092966.399999999</v>
      </c>
      <c r="L612" t="s">
        <v>9</v>
      </c>
      <c r="M612" t="s">
        <v>7</v>
      </c>
      <c r="N612" t="b">
        <v>0</v>
      </c>
    </row>
    <row r="613" spans="1:14" x14ac:dyDescent="0.3">
      <c r="A613" t="s">
        <v>21</v>
      </c>
      <c r="B613" t="s">
        <v>9</v>
      </c>
      <c r="C613">
        <v>7</v>
      </c>
      <c r="D613" t="s">
        <v>52</v>
      </c>
      <c r="E613" t="s">
        <v>53</v>
      </c>
      <c r="F613">
        <v>0.13</v>
      </c>
      <c r="G613">
        <v>0.85708799999999996</v>
      </c>
      <c r="H613">
        <v>0.85708799999999996</v>
      </c>
      <c r="I613" t="s">
        <v>54</v>
      </c>
      <c r="J613">
        <v>4275000</v>
      </c>
      <c r="K613">
        <v>3664051.2</v>
      </c>
      <c r="L613" t="s">
        <v>9</v>
      </c>
      <c r="M613" t="s">
        <v>7</v>
      </c>
      <c r="N613" t="b">
        <v>0</v>
      </c>
    </row>
    <row r="614" spans="1:14" x14ac:dyDescent="0.3">
      <c r="A614" t="s">
        <v>21</v>
      </c>
      <c r="B614" t="s">
        <v>9</v>
      </c>
      <c r="C614">
        <v>8</v>
      </c>
      <c r="E614" t="s">
        <v>55</v>
      </c>
      <c r="F614">
        <v>0.35</v>
      </c>
      <c r="G614">
        <v>0</v>
      </c>
      <c r="H614">
        <v>0</v>
      </c>
      <c r="I614" t="s">
        <v>46</v>
      </c>
      <c r="J614">
        <v>35750000</v>
      </c>
      <c r="K614">
        <v>0</v>
      </c>
      <c r="L614" t="s">
        <v>9</v>
      </c>
      <c r="M614" t="s">
        <v>7</v>
      </c>
      <c r="N614" t="b">
        <v>0</v>
      </c>
    </row>
    <row r="615" spans="1:14" x14ac:dyDescent="0.3">
      <c r="A615" t="s">
        <v>21</v>
      </c>
      <c r="B615" t="s">
        <v>9</v>
      </c>
      <c r="C615">
        <v>9</v>
      </c>
      <c r="E615" t="s">
        <v>55</v>
      </c>
      <c r="F615">
        <v>0.2</v>
      </c>
      <c r="G615">
        <v>0.42854399999999998</v>
      </c>
      <c r="H615">
        <v>0.42854399999999998</v>
      </c>
      <c r="I615" t="s">
        <v>46</v>
      </c>
      <c r="J615">
        <v>45760000</v>
      </c>
      <c r="K615">
        <v>19610173.440000001</v>
      </c>
      <c r="L615" t="s">
        <v>9</v>
      </c>
      <c r="M615" t="s">
        <v>7</v>
      </c>
      <c r="N615" t="b">
        <v>0</v>
      </c>
    </row>
    <row r="616" spans="1:14" x14ac:dyDescent="0.3">
      <c r="A616" t="s">
        <v>21</v>
      </c>
      <c r="B616" t="s">
        <v>9</v>
      </c>
      <c r="C616">
        <v>10</v>
      </c>
      <c r="D616" t="s">
        <v>56</v>
      </c>
      <c r="E616" t="s">
        <v>57</v>
      </c>
      <c r="G616">
        <v>2.68</v>
      </c>
      <c r="H616">
        <v>2.68</v>
      </c>
      <c r="I616" t="s">
        <v>61</v>
      </c>
      <c r="J616">
        <v>1430000</v>
      </c>
      <c r="K616">
        <v>3832400</v>
      </c>
      <c r="L616" t="s">
        <v>9</v>
      </c>
      <c r="M616" t="s">
        <v>7</v>
      </c>
      <c r="N616" t="b">
        <v>0</v>
      </c>
    </row>
    <row r="617" spans="1:14" x14ac:dyDescent="0.3">
      <c r="A617" t="s">
        <v>21</v>
      </c>
      <c r="B617" t="s">
        <v>9</v>
      </c>
      <c r="C617">
        <v>11</v>
      </c>
      <c r="D617" t="s">
        <v>58</v>
      </c>
      <c r="E617" t="s">
        <v>59</v>
      </c>
      <c r="G617" t="s">
        <v>103</v>
      </c>
      <c r="H617" t="s">
        <v>103</v>
      </c>
      <c r="I617" t="s">
        <v>46</v>
      </c>
      <c r="J617">
        <v>3000000</v>
      </c>
      <c r="K617">
        <v>24000000</v>
      </c>
      <c r="L617" t="s">
        <v>9</v>
      </c>
      <c r="M617" t="s">
        <v>7</v>
      </c>
      <c r="N617" t="b">
        <v>0</v>
      </c>
    </row>
    <row r="618" spans="1:14" x14ac:dyDescent="0.3">
      <c r="A618" t="s">
        <v>21</v>
      </c>
      <c r="B618" t="s">
        <v>9</v>
      </c>
      <c r="C618">
        <v>12</v>
      </c>
      <c r="E618" t="s">
        <v>60</v>
      </c>
      <c r="G618">
        <v>6.3638783999999999</v>
      </c>
      <c r="H618">
        <v>6.3638783999999999</v>
      </c>
      <c r="I618" t="s">
        <v>61</v>
      </c>
      <c r="J618">
        <v>3600000</v>
      </c>
      <c r="K618">
        <v>22909962.239999998</v>
      </c>
      <c r="L618" t="s">
        <v>9</v>
      </c>
      <c r="M618" t="s">
        <v>7</v>
      </c>
      <c r="N618" t="b">
        <v>0</v>
      </c>
    </row>
    <row r="619" spans="1:14" x14ac:dyDescent="0.3">
      <c r="A619" t="s">
        <v>21</v>
      </c>
      <c r="B619" t="s">
        <v>9</v>
      </c>
      <c r="C619">
        <v>13</v>
      </c>
      <c r="D619" t="s">
        <v>62</v>
      </c>
      <c r="E619" t="s">
        <v>63</v>
      </c>
      <c r="G619">
        <v>2.2320000000000002</v>
      </c>
      <c r="H619">
        <v>2.2320000000000002</v>
      </c>
      <c r="I619" t="s">
        <v>61</v>
      </c>
      <c r="J619">
        <v>3600000</v>
      </c>
      <c r="K619">
        <v>8035200.0000000019</v>
      </c>
      <c r="L619" t="s">
        <v>9</v>
      </c>
      <c r="M619" t="s">
        <v>7</v>
      </c>
      <c r="N619" t="b">
        <v>0</v>
      </c>
    </row>
    <row r="620" spans="1:14" x14ac:dyDescent="0.3">
      <c r="A620" t="s">
        <v>21</v>
      </c>
      <c r="B620" t="s">
        <v>9</v>
      </c>
      <c r="C620">
        <v>14</v>
      </c>
      <c r="E620" t="s">
        <v>64</v>
      </c>
      <c r="G620">
        <v>0.1</v>
      </c>
      <c r="H620">
        <v>0.1</v>
      </c>
      <c r="I620" t="s">
        <v>61</v>
      </c>
      <c r="J620">
        <v>5500000</v>
      </c>
      <c r="K620">
        <v>550000</v>
      </c>
      <c r="L620" t="s">
        <v>9</v>
      </c>
      <c r="M620" t="s">
        <v>7</v>
      </c>
      <c r="N620" t="b">
        <v>0</v>
      </c>
    </row>
    <row r="621" spans="1:14" x14ac:dyDescent="0.3">
      <c r="A621" t="s">
        <v>21</v>
      </c>
      <c r="B621" t="s">
        <v>9</v>
      </c>
      <c r="C621">
        <v>15</v>
      </c>
      <c r="D621" t="s">
        <v>65</v>
      </c>
      <c r="E621" t="s">
        <v>66</v>
      </c>
      <c r="G621">
        <v>20</v>
      </c>
      <c r="H621">
        <v>20</v>
      </c>
      <c r="I621" t="s">
        <v>61</v>
      </c>
      <c r="J621">
        <v>200000</v>
      </c>
      <c r="K621">
        <v>4000000</v>
      </c>
      <c r="L621" t="s">
        <v>9</v>
      </c>
      <c r="M621" t="s">
        <v>7</v>
      </c>
      <c r="N621" t="b">
        <v>0</v>
      </c>
    </row>
    <row r="622" spans="1:14" x14ac:dyDescent="0.3">
      <c r="A622" t="s">
        <v>21</v>
      </c>
      <c r="B622" t="s">
        <v>9</v>
      </c>
      <c r="C622">
        <v>16</v>
      </c>
      <c r="E622" t="s">
        <v>68</v>
      </c>
      <c r="G622">
        <v>8</v>
      </c>
      <c r="H622">
        <v>8</v>
      </c>
      <c r="I622" t="s">
        <v>61</v>
      </c>
      <c r="J622">
        <v>200000</v>
      </c>
      <c r="K622">
        <v>1600000</v>
      </c>
      <c r="L622" t="s">
        <v>9</v>
      </c>
      <c r="M622" t="s">
        <v>7</v>
      </c>
      <c r="N622" t="b">
        <v>0</v>
      </c>
    </row>
    <row r="623" spans="1:14" x14ac:dyDescent="0.3">
      <c r="A623" t="s">
        <v>21</v>
      </c>
      <c r="B623" t="s">
        <v>9</v>
      </c>
      <c r="C623">
        <v>17</v>
      </c>
      <c r="E623" t="s">
        <v>69</v>
      </c>
      <c r="G623">
        <v>16</v>
      </c>
      <c r="H623">
        <v>16</v>
      </c>
      <c r="I623" t="s">
        <v>61</v>
      </c>
      <c r="J623">
        <v>200000</v>
      </c>
      <c r="K623">
        <v>3200000</v>
      </c>
      <c r="L623" t="s">
        <v>9</v>
      </c>
      <c r="M623" t="s">
        <v>7</v>
      </c>
      <c r="N623" t="b">
        <v>0</v>
      </c>
    </row>
    <row r="624" spans="1:14" x14ac:dyDescent="0.3">
      <c r="A624" t="s">
        <v>21</v>
      </c>
      <c r="B624" t="s">
        <v>9</v>
      </c>
      <c r="C624">
        <v>18</v>
      </c>
      <c r="E624" t="s">
        <v>70</v>
      </c>
      <c r="G624">
        <v>16</v>
      </c>
      <c r="H624">
        <v>16</v>
      </c>
      <c r="I624" t="s">
        <v>61</v>
      </c>
      <c r="J624">
        <v>400000</v>
      </c>
      <c r="K624">
        <v>6400000</v>
      </c>
      <c r="L624" t="s">
        <v>9</v>
      </c>
      <c r="M624" t="s">
        <v>7</v>
      </c>
      <c r="N624" t="b">
        <v>0</v>
      </c>
    </row>
    <row r="625" spans="1:14" x14ac:dyDescent="0.3">
      <c r="A625" t="s">
        <v>21</v>
      </c>
      <c r="B625" t="s">
        <v>9</v>
      </c>
      <c r="C625">
        <v>19</v>
      </c>
      <c r="E625" t="s">
        <v>71</v>
      </c>
      <c r="G625">
        <v>16</v>
      </c>
      <c r="H625">
        <v>16</v>
      </c>
      <c r="I625" t="s">
        <v>61</v>
      </c>
      <c r="J625">
        <v>120000</v>
      </c>
      <c r="K625">
        <v>1920000</v>
      </c>
      <c r="L625" t="s">
        <v>9</v>
      </c>
      <c r="M625" t="s">
        <v>7</v>
      </c>
      <c r="N625" t="b">
        <v>0</v>
      </c>
    </row>
    <row r="626" spans="1:14" x14ac:dyDescent="0.3">
      <c r="A626" t="s">
        <v>21</v>
      </c>
      <c r="B626" t="s">
        <v>9</v>
      </c>
      <c r="C626">
        <v>20</v>
      </c>
      <c r="E626" t="s">
        <v>72</v>
      </c>
      <c r="G626">
        <v>24</v>
      </c>
      <c r="H626">
        <v>24</v>
      </c>
      <c r="I626" t="s">
        <v>61</v>
      </c>
      <c r="J626">
        <v>400000</v>
      </c>
      <c r="K626">
        <v>9600000</v>
      </c>
      <c r="L626" t="s">
        <v>9</v>
      </c>
      <c r="M626" t="s">
        <v>7</v>
      </c>
      <c r="N626" t="b">
        <v>0</v>
      </c>
    </row>
    <row r="627" spans="1:14" x14ac:dyDescent="0.3">
      <c r="A627" t="s">
        <v>21</v>
      </c>
      <c r="B627" t="s">
        <v>9</v>
      </c>
      <c r="C627">
        <v>21</v>
      </c>
      <c r="D627" t="s">
        <v>73</v>
      </c>
      <c r="E627" t="s">
        <v>74</v>
      </c>
      <c r="F627">
        <v>132</v>
      </c>
      <c r="G627" t="s">
        <v>103</v>
      </c>
      <c r="H627">
        <v>4.9958092800000005</v>
      </c>
      <c r="I627" t="s">
        <v>46</v>
      </c>
      <c r="J627">
        <v>35000000</v>
      </c>
      <c r="K627">
        <v>174853324.80000001</v>
      </c>
      <c r="L627" t="s">
        <v>9</v>
      </c>
      <c r="M627" t="s">
        <v>7</v>
      </c>
      <c r="N627" t="b">
        <v>0</v>
      </c>
    </row>
    <row r="628" spans="1:14" x14ac:dyDescent="0.3">
      <c r="A628" t="s">
        <v>21</v>
      </c>
      <c r="B628" t="s">
        <v>9</v>
      </c>
      <c r="C628">
        <v>22</v>
      </c>
      <c r="D628" t="s">
        <v>75</v>
      </c>
      <c r="E628" t="s">
        <v>76</v>
      </c>
      <c r="F628" t="s">
        <v>77</v>
      </c>
      <c r="G628">
        <v>2</v>
      </c>
      <c r="H628">
        <v>1.8</v>
      </c>
      <c r="I628" t="s">
        <v>46</v>
      </c>
      <c r="J628">
        <v>5200000</v>
      </c>
      <c r="K628">
        <v>9360000</v>
      </c>
      <c r="L628" t="s">
        <v>9</v>
      </c>
      <c r="M628" t="s">
        <v>7</v>
      </c>
      <c r="N628" t="b">
        <v>0</v>
      </c>
    </row>
    <row r="629" spans="1:14" x14ac:dyDescent="0.3">
      <c r="A629" t="s">
        <v>21</v>
      </c>
      <c r="B629" t="s">
        <v>9</v>
      </c>
      <c r="C629">
        <v>23</v>
      </c>
      <c r="E629" t="s">
        <v>78</v>
      </c>
      <c r="F629" t="s">
        <v>79</v>
      </c>
      <c r="G629">
        <v>2</v>
      </c>
      <c r="H629">
        <v>1.2</v>
      </c>
      <c r="I629" t="s">
        <v>46</v>
      </c>
      <c r="J629">
        <v>5200000</v>
      </c>
      <c r="K629">
        <v>6240000</v>
      </c>
      <c r="L629" t="s">
        <v>9</v>
      </c>
      <c r="M629" t="s">
        <v>7</v>
      </c>
      <c r="N629" t="b">
        <v>0</v>
      </c>
    </row>
    <row r="630" spans="1:14" x14ac:dyDescent="0.3">
      <c r="A630" t="s">
        <v>21</v>
      </c>
      <c r="B630" t="s">
        <v>9</v>
      </c>
      <c r="C630">
        <v>24</v>
      </c>
      <c r="D630" t="s">
        <v>80</v>
      </c>
      <c r="E630" t="s">
        <v>81</v>
      </c>
      <c r="F630" t="s">
        <v>169</v>
      </c>
      <c r="G630">
        <v>2</v>
      </c>
      <c r="H630">
        <v>0.83378799999999997</v>
      </c>
      <c r="I630" t="s">
        <v>46</v>
      </c>
      <c r="J630">
        <v>8500000</v>
      </c>
      <c r="K630">
        <v>7087198</v>
      </c>
      <c r="L630" t="s">
        <v>9</v>
      </c>
      <c r="M630" t="s">
        <v>7</v>
      </c>
      <c r="N630" t="b">
        <v>0</v>
      </c>
    </row>
    <row r="631" spans="1:14" x14ac:dyDescent="0.3">
      <c r="A631" t="s">
        <v>21</v>
      </c>
      <c r="B631" t="s">
        <v>9</v>
      </c>
      <c r="C631">
        <v>25</v>
      </c>
      <c r="D631" t="s">
        <v>83</v>
      </c>
      <c r="E631" t="s">
        <v>84</v>
      </c>
      <c r="F631">
        <v>0.18</v>
      </c>
      <c r="G631">
        <v>2</v>
      </c>
      <c r="H631">
        <v>2</v>
      </c>
      <c r="I631" t="s">
        <v>61</v>
      </c>
      <c r="J631">
        <v>1014000</v>
      </c>
      <c r="K631">
        <v>2028000</v>
      </c>
      <c r="L631" t="s">
        <v>9</v>
      </c>
      <c r="M631" t="s">
        <v>7</v>
      </c>
      <c r="N631" t="b">
        <v>0</v>
      </c>
    </row>
    <row r="632" spans="1:14" x14ac:dyDescent="0.3">
      <c r="A632" t="s">
        <v>21</v>
      </c>
      <c r="B632" t="s">
        <v>9</v>
      </c>
      <c r="C632">
        <v>26</v>
      </c>
      <c r="E632" t="s">
        <v>86</v>
      </c>
      <c r="F632">
        <v>0.2</v>
      </c>
      <c r="G632">
        <v>3</v>
      </c>
      <c r="H632">
        <v>3</v>
      </c>
      <c r="I632" t="s">
        <v>61</v>
      </c>
      <c r="J632">
        <v>1014000</v>
      </c>
      <c r="K632">
        <v>3042000</v>
      </c>
      <c r="L632" t="s">
        <v>9</v>
      </c>
      <c r="M632" t="s">
        <v>7</v>
      </c>
      <c r="N632" t="b">
        <v>0</v>
      </c>
    </row>
    <row r="633" spans="1:14" x14ac:dyDescent="0.3">
      <c r="A633" t="s">
        <v>21</v>
      </c>
      <c r="B633" t="s">
        <v>9</v>
      </c>
      <c r="C633">
        <v>27</v>
      </c>
      <c r="D633" t="s">
        <v>88</v>
      </c>
      <c r="E633" t="s">
        <v>89</v>
      </c>
      <c r="F633" t="s">
        <v>90</v>
      </c>
      <c r="G633">
        <v>1</v>
      </c>
      <c r="H633">
        <v>1</v>
      </c>
      <c r="I633" t="s">
        <v>61</v>
      </c>
      <c r="J633">
        <v>100000</v>
      </c>
      <c r="K633">
        <v>100000</v>
      </c>
      <c r="L633" t="s">
        <v>9</v>
      </c>
      <c r="M633" t="s">
        <v>7</v>
      </c>
      <c r="N633" t="b">
        <v>0</v>
      </c>
    </row>
    <row r="634" spans="1:14" x14ac:dyDescent="0.3">
      <c r="A634" t="s">
        <v>21</v>
      </c>
      <c r="B634" t="s">
        <v>9</v>
      </c>
      <c r="C634">
        <v>28</v>
      </c>
      <c r="D634" t="s">
        <v>65</v>
      </c>
      <c r="E634" t="s">
        <v>91</v>
      </c>
      <c r="G634">
        <v>2</v>
      </c>
      <c r="H634">
        <v>2</v>
      </c>
      <c r="I634" t="s">
        <v>61</v>
      </c>
      <c r="J634">
        <v>2400000</v>
      </c>
      <c r="K634">
        <v>4800000</v>
      </c>
      <c r="L634" t="s">
        <v>9</v>
      </c>
      <c r="M634" t="s">
        <v>7</v>
      </c>
      <c r="N634" t="b">
        <v>0</v>
      </c>
    </row>
    <row r="635" spans="1:14" x14ac:dyDescent="0.3">
      <c r="A635" t="s">
        <v>21</v>
      </c>
      <c r="B635" t="s">
        <v>9</v>
      </c>
      <c r="C635">
        <v>29</v>
      </c>
      <c r="E635" t="s">
        <v>92</v>
      </c>
      <c r="G635">
        <v>2</v>
      </c>
      <c r="H635">
        <v>2</v>
      </c>
      <c r="I635" t="s">
        <v>61</v>
      </c>
      <c r="J635">
        <v>2400000</v>
      </c>
      <c r="K635">
        <v>4800000</v>
      </c>
      <c r="L635" t="s">
        <v>9</v>
      </c>
      <c r="M635" t="s">
        <v>7</v>
      </c>
      <c r="N635" t="b">
        <v>0</v>
      </c>
    </row>
    <row r="636" spans="1:14" x14ac:dyDescent="0.3">
      <c r="A636" t="s">
        <v>21</v>
      </c>
      <c r="B636" t="s">
        <v>9</v>
      </c>
      <c r="C636">
        <v>30</v>
      </c>
      <c r="E636" t="s">
        <v>93</v>
      </c>
      <c r="G636">
        <v>2</v>
      </c>
      <c r="H636">
        <v>2</v>
      </c>
      <c r="I636" t="s">
        <v>61</v>
      </c>
      <c r="J636">
        <v>3000000</v>
      </c>
      <c r="K636">
        <v>6000000</v>
      </c>
      <c r="L636" t="s">
        <v>9</v>
      </c>
      <c r="M636" t="s">
        <v>7</v>
      </c>
      <c r="N636" t="b">
        <v>0</v>
      </c>
    </row>
    <row r="637" spans="1:14" x14ac:dyDescent="0.3">
      <c r="A637" t="s">
        <v>21</v>
      </c>
      <c r="B637" t="s">
        <v>9</v>
      </c>
      <c r="C637">
        <v>31</v>
      </c>
      <c r="D637" t="s">
        <v>104</v>
      </c>
      <c r="E637" t="s">
        <v>105</v>
      </c>
      <c r="G637">
        <v>1</v>
      </c>
      <c r="H637">
        <v>2</v>
      </c>
      <c r="I637" t="s">
        <v>61</v>
      </c>
      <c r="J637">
        <v>30000000</v>
      </c>
      <c r="K637">
        <v>60000000</v>
      </c>
      <c r="L637" t="s">
        <v>9</v>
      </c>
      <c r="M637" t="s">
        <v>7</v>
      </c>
      <c r="N637" t="b">
        <v>0</v>
      </c>
    </row>
    <row r="638" spans="1:14" x14ac:dyDescent="0.3">
      <c r="A638" t="s">
        <v>21</v>
      </c>
      <c r="B638" t="s">
        <v>9</v>
      </c>
      <c r="C638">
        <v>32</v>
      </c>
      <c r="E638" t="s">
        <v>106</v>
      </c>
      <c r="G638">
        <v>1</v>
      </c>
      <c r="H638">
        <v>0</v>
      </c>
      <c r="I638" t="s">
        <v>61</v>
      </c>
      <c r="J638">
        <v>19000000</v>
      </c>
      <c r="K638">
        <v>0</v>
      </c>
      <c r="L638" t="s">
        <v>9</v>
      </c>
      <c r="M638" t="s">
        <v>7</v>
      </c>
      <c r="N638" t="b">
        <v>0</v>
      </c>
    </row>
    <row r="639" spans="1:14" x14ac:dyDescent="0.3">
      <c r="A639" t="s">
        <v>21</v>
      </c>
      <c r="B639" t="s">
        <v>9</v>
      </c>
      <c r="C639">
        <v>33</v>
      </c>
      <c r="D639" t="s">
        <v>94</v>
      </c>
      <c r="E639" t="s">
        <v>95</v>
      </c>
      <c r="G639">
        <v>2</v>
      </c>
      <c r="H639">
        <v>2</v>
      </c>
      <c r="I639" t="s">
        <v>61</v>
      </c>
      <c r="J639">
        <v>1300000</v>
      </c>
      <c r="K639">
        <v>2600000</v>
      </c>
      <c r="L639" t="s">
        <v>9</v>
      </c>
      <c r="M639" t="s">
        <v>7</v>
      </c>
      <c r="N639" t="b">
        <v>0</v>
      </c>
    </row>
    <row r="640" spans="1:14" x14ac:dyDescent="0.3">
      <c r="A640" t="s">
        <v>21</v>
      </c>
      <c r="B640" t="s">
        <v>9</v>
      </c>
      <c r="C640">
        <v>34</v>
      </c>
      <c r="D640" t="s">
        <v>94</v>
      </c>
      <c r="E640" t="s">
        <v>96</v>
      </c>
      <c r="G640">
        <v>4</v>
      </c>
      <c r="H640">
        <v>1.34</v>
      </c>
      <c r="I640" t="s">
        <v>97</v>
      </c>
      <c r="J640">
        <v>460000</v>
      </c>
      <c r="K640">
        <v>616400</v>
      </c>
      <c r="L640" t="s">
        <v>9</v>
      </c>
      <c r="M640" t="s">
        <v>7</v>
      </c>
      <c r="N640" t="b">
        <v>0</v>
      </c>
    </row>
    <row r="641" spans="1:14" x14ac:dyDescent="0.3">
      <c r="A641" t="s">
        <v>21</v>
      </c>
      <c r="B641" t="s">
        <v>9</v>
      </c>
      <c r="C641">
        <v>35</v>
      </c>
      <c r="D641" t="s">
        <v>98</v>
      </c>
      <c r="E641" t="s">
        <v>99</v>
      </c>
      <c r="F641">
        <v>50</v>
      </c>
      <c r="G641">
        <v>8</v>
      </c>
      <c r="H641">
        <v>0.8</v>
      </c>
      <c r="I641" t="s">
        <v>100</v>
      </c>
      <c r="J641">
        <v>12655280.000000002</v>
      </c>
      <c r="K641">
        <v>10124224.000000002</v>
      </c>
      <c r="L641" t="s">
        <v>9</v>
      </c>
      <c r="M641" t="s">
        <v>7</v>
      </c>
      <c r="N641" t="b">
        <v>0</v>
      </c>
    </row>
    <row r="642" spans="1:14" x14ac:dyDescent="0.3">
      <c r="A642" t="s">
        <v>21</v>
      </c>
      <c r="B642" t="s">
        <v>9</v>
      </c>
      <c r="C642">
        <v>28</v>
      </c>
      <c r="E642" t="s">
        <v>101</v>
      </c>
      <c r="H642">
        <v>8</v>
      </c>
      <c r="I642" t="s">
        <v>102</v>
      </c>
      <c r="J642">
        <v>13000000</v>
      </c>
      <c r="K642">
        <v>104000000</v>
      </c>
      <c r="L642" t="s">
        <v>9</v>
      </c>
      <c r="M642" t="s">
        <v>7</v>
      </c>
      <c r="N642" t="b">
        <v>0</v>
      </c>
    </row>
    <row r="643" spans="1:14" x14ac:dyDescent="0.3">
      <c r="A643" t="s">
        <v>21</v>
      </c>
      <c r="B643" t="s">
        <v>9</v>
      </c>
      <c r="C643">
        <v>29</v>
      </c>
      <c r="E643" t="s">
        <v>107</v>
      </c>
      <c r="H643">
        <v>0</v>
      </c>
      <c r="I643" t="s">
        <v>108</v>
      </c>
      <c r="K643">
        <v>0</v>
      </c>
      <c r="L643" t="s">
        <v>9</v>
      </c>
      <c r="M643" t="s">
        <v>7</v>
      </c>
      <c r="N643" t="b">
        <v>0</v>
      </c>
    </row>
    <row r="644" spans="1:14" x14ac:dyDescent="0.3">
      <c r="A644" t="s">
        <v>21</v>
      </c>
      <c r="B644" t="s">
        <v>10</v>
      </c>
      <c r="C644">
        <v>1</v>
      </c>
      <c r="D644" t="s">
        <v>44</v>
      </c>
      <c r="E644" t="s">
        <v>45</v>
      </c>
      <c r="F644">
        <v>168</v>
      </c>
      <c r="G644">
        <v>2</v>
      </c>
      <c r="H644">
        <v>0.47039999999999998</v>
      </c>
      <c r="I644" t="s">
        <v>46</v>
      </c>
      <c r="J644">
        <v>8500000</v>
      </c>
      <c r="K644">
        <v>3998400</v>
      </c>
      <c r="L644" t="s">
        <v>10</v>
      </c>
      <c r="M644" t="s">
        <v>7</v>
      </c>
      <c r="N644" t="b">
        <v>0</v>
      </c>
    </row>
    <row r="645" spans="1:14" x14ac:dyDescent="0.3">
      <c r="A645" t="s">
        <v>21</v>
      </c>
      <c r="B645" t="s">
        <v>10</v>
      </c>
      <c r="C645">
        <v>2</v>
      </c>
      <c r="E645" t="s">
        <v>47</v>
      </c>
      <c r="F645">
        <v>0</v>
      </c>
      <c r="G645">
        <v>0</v>
      </c>
      <c r="H645">
        <v>0</v>
      </c>
      <c r="I645" t="s">
        <v>46</v>
      </c>
      <c r="J645">
        <v>8500000</v>
      </c>
      <c r="K645">
        <v>0</v>
      </c>
      <c r="L645" t="s">
        <v>10</v>
      </c>
      <c r="M645" t="s">
        <v>7</v>
      </c>
      <c r="N645" t="b">
        <v>0</v>
      </c>
    </row>
    <row r="646" spans="1:14" x14ac:dyDescent="0.3">
      <c r="A646" t="s">
        <v>21</v>
      </c>
      <c r="B646" t="s">
        <v>10</v>
      </c>
      <c r="C646">
        <v>3</v>
      </c>
      <c r="E646" t="s">
        <v>168</v>
      </c>
      <c r="F646">
        <v>168</v>
      </c>
      <c r="G646">
        <v>2</v>
      </c>
      <c r="H646">
        <v>0.87360000000000004</v>
      </c>
      <c r="I646" t="s">
        <v>46</v>
      </c>
      <c r="J646">
        <v>8500000</v>
      </c>
      <c r="K646">
        <v>7425600</v>
      </c>
      <c r="L646" t="s">
        <v>10</v>
      </c>
      <c r="M646" t="s">
        <v>7</v>
      </c>
      <c r="N646" t="b">
        <v>0</v>
      </c>
    </row>
    <row r="647" spans="1:14" x14ac:dyDescent="0.3">
      <c r="A647" t="s">
        <v>21</v>
      </c>
      <c r="B647" t="s">
        <v>10</v>
      </c>
      <c r="C647">
        <v>4</v>
      </c>
      <c r="E647" t="s">
        <v>49</v>
      </c>
      <c r="F647">
        <v>120</v>
      </c>
      <c r="G647">
        <v>4</v>
      </c>
      <c r="H647">
        <v>0.48</v>
      </c>
      <c r="I647" t="s">
        <v>46</v>
      </c>
      <c r="J647">
        <v>8500000</v>
      </c>
      <c r="K647">
        <v>4080000</v>
      </c>
      <c r="L647" t="s">
        <v>10</v>
      </c>
      <c r="M647" t="s">
        <v>7</v>
      </c>
      <c r="N647" t="b">
        <v>0</v>
      </c>
    </row>
    <row r="648" spans="1:14" x14ac:dyDescent="0.3">
      <c r="A648" t="s">
        <v>21</v>
      </c>
      <c r="B648" t="s">
        <v>10</v>
      </c>
      <c r="C648">
        <v>5</v>
      </c>
      <c r="E648" t="s">
        <v>50</v>
      </c>
      <c r="F648">
        <v>180</v>
      </c>
      <c r="G648">
        <v>2</v>
      </c>
      <c r="H648">
        <v>0.68817600000000001</v>
      </c>
      <c r="I648" t="s">
        <v>46</v>
      </c>
      <c r="J648">
        <v>8500000</v>
      </c>
      <c r="K648">
        <v>5849496</v>
      </c>
      <c r="L648" t="s">
        <v>10</v>
      </c>
      <c r="M648" t="s">
        <v>7</v>
      </c>
      <c r="N648" t="b">
        <v>0</v>
      </c>
    </row>
    <row r="649" spans="1:14" x14ac:dyDescent="0.3">
      <c r="A649" t="s">
        <v>21</v>
      </c>
      <c r="B649" t="s">
        <v>10</v>
      </c>
      <c r="C649">
        <v>6</v>
      </c>
      <c r="E649" t="s">
        <v>51</v>
      </c>
      <c r="F649">
        <v>0.58799999999999997</v>
      </c>
      <c r="G649">
        <v>4</v>
      </c>
      <c r="H649">
        <v>6.706022400000001</v>
      </c>
      <c r="I649" t="s">
        <v>46</v>
      </c>
      <c r="J649">
        <v>8500000</v>
      </c>
      <c r="K649">
        <v>57001190.400000006</v>
      </c>
      <c r="L649" t="s">
        <v>10</v>
      </c>
      <c r="M649" t="s">
        <v>7</v>
      </c>
      <c r="N649" t="b">
        <v>0</v>
      </c>
    </row>
    <row r="650" spans="1:14" x14ac:dyDescent="0.3">
      <c r="A650" t="s">
        <v>21</v>
      </c>
      <c r="B650" t="s">
        <v>10</v>
      </c>
      <c r="C650">
        <v>7</v>
      </c>
      <c r="D650" t="s">
        <v>52</v>
      </c>
      <c r="E650" t="s">
        <v>53</v>
      </c>
      <c r="F650">
        <v>0.13</v>
      </c>
      <c r="G650">
        <v>0.90316799999999986</v>
      </c>
      <c r="H650">
        <v>0.90316799999999986</v>
      </c>
      <c r="I650" t="s">
        <v>54</v>
      </c>
      <c r="J650">
        <v>4275000</v>
      </c>
      <c r="K650">
        <v>3861043.1999999993</v>
      </c>
      <c r="L650" t="s">
        <v>10</v>
      </c>
      <c r="M650" t="s">
        <v>7</v>
      </c>
      <c r="N650" t="b">
        <v>0</v>
      </c>
    </row>
    <row r="651" spans="1:14" x14ac:dyDescent="0.3">
      <c r="A651" t="s">
        <v>21</v>
      </c>
      <c r="B651" t="s">
        <v>10</v>
      </c>
      <c r="C651">
        <v>8</v>
      </c>
      <c r="E651" t="s">
        <v>55</v>
      </c>
      <c r="F651">
        <v>0.35</v>
      </c>
      <c r="G651">
        <v>0</v>
      </c>
      <c r="H651">
        <v>0</v>
      </c>
      <c r="I651" t="s">
        <v>46</v>
      </c>
      <c r="J651">
        <v>35750000</v>
      </c>
      <c r="K651">
        <v>0</v>
      </c>
      <c r="L651" t="s">
        <v>10</v>
      </c>
      <c r="M651" t="s">
        <v>7</v>
      </c>
      <c r="N651" t="b">
        <v>0</v>
      </c>
    </row>
    <row r="652" spans="1:14" x14ac:dyDescent="0.3">
      <c r="A652" t="s">
        <v>21</v>
      </c>
      <c r="B652" t="s">
        <v>10</v>
      </c>
      <c r="C652">
        <v>9</v>
      </c>
      <c r="E652" t="s">
        <v>55</v>
      </c>
      <c r="F652">
        <v>0.2</v>
      </c>
      <c r="G652">
        <v>0.45158399999999993</v>
      </c>
      <c r="H652">
        <v>0.45158399999999993</v>
      </c>
      <c r="I652" t="s">
        <v>46</v>
      </c>
      <c r="J652">
        <v>45760000</v>
      </c>
      <c r="K652">
        <v>20664483.839999996</v>
      </c>
      <c r="L652" t="s">
        <v>10</v>
      </c>
      <c r="M652" t="s">
        <v>7</v>
      </c>
      <c r="N652" t="b">
        <v>0</v>
      </c>
    </row>
    <row r="653" spans="1:14" x14ac:dyDescent="0.3">
      <c r="A653" t="s">
        <v>21</v>
      </c>
      <c r="B653" t="s">
        <v>10</v>
      </c>
      <c r="C653">
        <v>10</v>
      </c>
      <c r="D653" t="s">
        <v>56</v>
      </c>
      <c r="E653" t="s">
        <v>57</v>
      </c>
      <c r="G653">
        <v>1.3440000000000001</v>
      </c>
      <c r="H653">
        <v>1.3440000000000001</v>
      </c>
      <c r="I653" t="s">
        <v>46</v>
      </c>
      <c r="J653">
        <v>1430000</v>
      </c>
      <c r="K653">
        <v>1921920</v>
      </c>
      <c r="L653" t="s">
        <v>10</v>
      </c>
      <c r="M653" t="s">
        <v>7</v>
      </c>
      <c r="N653" t="b">
        <v>0</v>
      </c>
    </row>
    <row r="654" spans="1:14" x14ac:dyDescent="0.3">
      <c r="A654" t="s">
        <v>21</v>
      </c>
      <c r="B654" t="s">
        <v>10</v>
      </c>
      <c r="C654">
        <v>11</v>
      </c>
      <c r="D654" t="s">
        <v>58</v>
      </c>
      <c r="E654" t="s">
        <v>59</v>
      </c>
      <c r="G654">
        <v>8</v>
      </c>
      <c r="H654">
        <v>8</v>
      </c>
      <c r="I654" t="s">
        <v>46</v>
      </c>
      <c r="J654">
        <v>3000000</v>
      </c>
      <c r="K654">
        <v>24000000</v>
      </c>
      <c r="L654" t="s">
        <v>10</v>
      </c>
      <c r="M654" t="s">
        <v>7</v>
      </c>
      <c r="N654" t="b">
        <v>0</v>
      </c>
    </row>
    <row r="655" spans="1:14" x14ac:dyDescent="0.3">
      <c r="A655" t="s">
        <v>21</v>
      </c>
      <c r="B655" t="s">
        <v>10</v>
      </c>
      <c r="C655">
        <v>12</v>
      </c>
      <c r="E655" t="s">
        <v>60</v>
      </c>
      <c r="G655">
        <v>6.706022400000001</v>
      </c>
      <c r="H655">
        <v>6.706022400000001</v>
      </c>
      <c r="I655" t="s">
        <v>61</v>
      </c>
      <c r="J655">
        <v>3600000</v>
      </c>
      <c r="K655">
        <v>24141680.640000004</v>
      </c>
      <c r="L655" t="s">
        <v>10</v>
      </c>
      <c r="M655" t="s">
        <v>7</v>
      </c>
      <c r="N655" t="b">
        <v>0</v>
      </c>
    </row>
    <row r="656" spans="1:14" x14ac:dyDescent="0.3">
      <c r="A656" t="s">
        <v>21</v>
      </c>
      <c r="B656" t="s">
        <v>10</v>
      </c>
      <c r="C656">
        <v>13</v>
      </c>
      <c r="D656" t="s">
        <v>62</v>
      </c>
      <c r="E656" t="s">
        <v>63</v>
      </c>
      <c r="G656">
        <v>2.3519999999999999</v>
      </c>
      <c r="H656">
        <v>2.3519999999999999</v>
      </c>
      <c r="I656" t="s">
        <v>61</v>
      </c>
      <c r="J656">
        <v>3600000</v>
      </c>
      <c r="K656">
        <v>8467200</v>
      </c>
      <c r="L656" t="s">
        <v>10</v>
      </c>
      <c r="M656" t="s">
        <v>7</v>
      </c>
      <c r="N656" t="b">
        <v>0</v>
      </c>
    </row>
    <row r="657" spans="1:14" x14ac:dyDescent="0.3">
      <c r="A657" t="s">
        <v>21</v>
      </c>
      <c r="B657" t="s">
        <v>10</v>
      </c>
      <c r="C657">
        <v>14</v>
      </c>
      <c r="E657" t="s">
        <v>64</v>
      </c>
      <c r="G657">
        <v>0.1</v>
      </c>
      <c r="H657">
        <v>0.1</v>
      </c>
      <c r="I657" t="s">
        <v>61</v>
      </c>
      <c r="J657">
        <v>5500000</v>
      </c>
      <c r="K657">
        <v>550000</v>
      </c>
      <c r="L657" t="s">
        <v>10</v>
      </c>
      <c r="M657" t="s">
        <v>7</v>
      </c>
      <c r="N657" t="b">
        <v>0</v>
      </c>
    </row>
    <row r="658" spans="1:14" x14ac:dyDescent="0.3">
      <c r="A658" t="s">
        <v>21</v>
      </c>
      <c r="B658" t="s">
        <v>10</v>
      </c>
      <c r="C658">
        <v>15</v>
      </c>
      <c r="D658" t="s">
        <v>65</v>
      </c>
      <c r="E658" t="s">
        <v>66</v>
      </c>
      <c r="G658" t="s">
        <v>67</v>
      </c>
      <c r="H658">
        <v>8</v>
      </c>
      <c r="I658" t="s">
        <v>61</v>
      </c>
      <c r="J658">
        <v>200000</v>
      </c>
      <c r="K658">
        <v>1600000</v>
      </c>
      <c r="L658" t="s">
        <v>10</v>
      </c>
      <c r="M658" t="s">
        <v>7</v>
      </c>
      <c r="N658" t="b">
        <v>0</v>
      </c>
    </row>
    <row r="659" spans="1:14" x14ac:dyDescent="0.3">
      <c r="A659" t="s">
        <v>21</v>
      </c>
      <c r="B659" t="s">
        <v>10</v>
      </c>
      <c r="C659">
        <v>16</v>
      </c>
      <c r="E659" t="s">
        <v>68</v>
      </c>
      <c r="G659">
        <v>8</v>
      </c>
      <c r="H659">
        <v>8</v>
      </c>
      <c r="I659" t="s">
        <v>61</v>
      </c>
      <c r="J659">
        <v>200000</v>
      </c>
      <c r="K659">
        <v>1600000</v>
      </c>
      <c r="L659" t="s">
        <v>10</v>
      </c>
      <c r="M659" t="s">
        <v>7</v>
      </c>
      <c r="N659" t="b">
        <v>0</v>
      </c>
    </row>
    <row r="660" spans="1:14" x14ac:dyDescent="0.3">
      <c r="A660" t="s">
        <v>21</v>
      </c>
      <c r="B660" t="s">
        <v>10</v>
      </c>
      <c r="C660">
        <v>17</v>
      </c>
      <c r="E660" t="s">
        <v>69</v>
      </c>
      <c r="G660">
        <v>88</v>
      </c>
      <c r="H660">
        <v>16</v>
      </c>
      <c r="I660" t="s">
        <v>61</v>
      </c>
      <c r="J660">
        <v>200000</v>
      </c>
      <c r="K660">
        <v>3200000</v>
      </c>
      <c r="L660" t="s">
        <v>10</v>
      </c>
      <c r="M660" t="s">
        <v>7</v>
      </c>
      <c r="N660" t="b">
        <v>0</v>
      </c>
    </row>
    <row r="661" spans="1:14" x14ac:dyDescent="0.3">
      <c r="A661" t="s">
        <v>21</v>
      </c>
      <c r="B661" t="s">
        <v>10</v>
      </c>
      <c r="C661">
        <v>18</v>
      </c>
      <c r="E661" t="s">
        <v>70</v>
      </c>
      <c r="G661">
        <v>16</v>
      </c>
      <c r="H661">
        <v>16</v>
      </c>
      <c r="I661" t="s">
        <v>61</v>
      </c>
      <c r="J661">
        <v>400000</v>
      </c>
      <c r="K661">
        <v>6400000</v>
      </c>
      <c r="L661" t="s">
        <v>10</v>
      </c>
      <c r="M661" t="s">
        <v>7</v>
      </c>
      <c r="N661" t="b">
        <v>0</v>
      </c>
    </row>
    <row r="662" spans="1:14" x14ac:dyDescent="0.3">
      <c r="A662" t="s">
        <v>21</v>
      </c>
      <c r="B662" t="s">
        <v>10</v>
      </c>
      <c r="C662">
        <v>19</v>
      </c>
      <c r="E662" t="s">
        <v>71</v>
      </c>
      <c r="G662">
        <v>16</v>
      </c>
      <c r="H662">
        <v>16</v>
      </c>
      <c r="I662" t="s">
        <v>61</v>
      </c>
      <c r="J662">
        <v>120000</v>
      </c>
      <c r="K662">
        <v>1920000</v>
      </c>
      <c r="L662" t="s">
        <v>10</v>
      </c>
      <c r="M662" t="s">
        <v>7</v>
      </c>
      <c r="N662" t="b">
        <v>0</v>
      </c>
    </row>
    <row r="663" spans="1:14" x14ac:dyDescent="0.3">
      <c r="A663" t="s">
        <v>21</v>
      </c>
      <c r="B663" t="s">
        <v>10</v>
      </c>
      <c r="C663">
        <v>20</v>
      </c>
      <c r="E663" t="s">
        <v>72</v>
      </c>
      <c r="G663">
        <v>24</v>
      </c>
      <c r="H663">
        <v>24</v>
      </c>
      <c r="I663" t="s">
        <v>61</v>
      </c>
      <c r="J663">
        <v>400000</v>
      </c>
      <c r="K663">
        <v>9600000</v>
      </c>
      <c r="L663" t="s">
        <v>10</v>
      </c>
      <c r="M663" t="s">
        <v>7</v>
      </c>
      <c r="N663" t="b">
        <v>0</v>
      </c>
    </row>
    <row r="664" spans="1:14" x14ac:dyDescent="0.3">
      <c r="A664" t="s">
        <v>21</v>
      </c>
      <c r="B664" t="s">
        <v>10</v>
      </c>
      <c r="C664">
        <v>21</v>
      </c>
      <c r="D664" t="s">
        <v>73</v>
      </c>
      <c r="E664" t="s">
        <v>74</v>
      </c>
      <c r="F664">
        <v>132</v>
      </c>
      <c r="G664">
        <v>8</v>
      </c>
      <c r="H664">
        <v>4.9958092800000005</v>
      </c>
      <c r="I664" t="s">
        <v>46</v>
      </c>
      <c r="J664">
        <v>35000000</v>
      </c>
      <c r="K664">
        <v>174853324.80000001</v>
      </c>
      <c r="L664" t="s">
        <v>10</v>
      </c>
      <c r="M664" t="s">
        <v>7</v>
      </c>
      <c r="N664" t="b">
        <v>0</v>
      </c>
    </row>
    <row r="665" spans="1:14" x14ac:dyDescent="0.3">
      <c r="A665" t="s">
        <v>21</v>
      </c>
      <c r="B665" t="s">
        <v>10</v>
      </c>
      <c r="C665">
        <v>22</v>
      </c>
      <c r="D665" t="s">
        <v>75</v>
      </c>
      <c r="E665" t="s">
        <v>76</v>
      </c>
      <c r="F665" t="s">
        <v>77</v>
      </c>
      <c r="G665">
        <v>2</v>
      </c>
      <c r="H665">
        <v>1.8</v>
      </c>
      <c r="I665" t="s">
        <v>46</v>
      </c>
      <c r="J665">
        <v>5200000</v>
      </c>
      <c r="K665">
        <v>9360000</v>
      </c>
      <c r="L665" t="s">
        <v>10</v>
      </c>
      <c r="M665" t="s">
        <v>7</v>
      </c>
      <c r="N665" t="b">
        <v>0</v>
      </c>
    </row>
    <row r="666" spans="1:14" x14ac:dyDescent="0.3">
      <c r="A666" t="s">
        <v>21</v>
      </c>
      <c r="B666" t="s">
        <v>10</v>
      </c>
      <c r="C666">
        <v>23</v>
      </c>
      <c r="E666" t="s">
        <v>78</v>
      </c>
      <c r="F666" t="s">
        <v>79</v>
      </c>
      <c r="G666">
        <v>2</v>
      </c>
      <c r="H666">
        <v>1.2</v>
      </c>
      <c r="I666" t="s">
        <v>46</v>
      </c>
      <c r="J666">
        <v>5200000</v>
      </c>
      <c r="K666">
        <v>6240000</v>
      </c>
      <c r="L666" t="s">
        <v>10</v>
      </c>
      <c r="M666" t="s">
        <v>7</v>
      </c>
      <c r="N666" t="b">
        <v>0</v>
      </c>
    </row>
    <row r="667" spans="1:14" x14ac:dyDescent="0.3">
      <c r="A667" t="s">
        <v>21</v>
      </c>
      <c r="B667" t="s">
        <v>10</v>
      </c>
      <c r="C667">
        <v>24</v>
      </c>
      <c r="D667" t="s">
        <v>80</v>
      </c>
      <c r="E667" t="s">
        <v>81</v>
      </c>
      <c r="F667" t="s">
        <v>169</v>
      </c>
      <c r="G667">
        <v>2</v>
      </c>
      <c r="H667">
        <v>0.83378799999999997</v>
      </c>
      <c r="I667" t="s">
        <v>46</v>
      </c>
      <c r="J667">
        <v>8500000</v>
      </c>
      <c r="K667">
        <v>7087198</v>
      </c>
      <c r="L667" t="s">
        <v>10</v>
      </c>
      <c r="M667" t="s">
        <v>7</v>
      </c>
      <c r="N667" t="b">
        <v>0</v>
      </c>
    </row>
    <row r="668" spans="1:14" x14ac:dyDescent="0.3">
      <c r="A668" t="s">
        <v>21</v>
      </c>
      <c r="B668" t="s">
        <v>10</v>
      </c>
      <c r="C668">
        <v>25</v>
      </c>
      <c r="D668" t="s">
        <v>83</v>
      </c>
      <c r="E668" t="s">
        <v>84</v>
      </c>
      <c r="F668">
        <v>0.18</v>
      </c>
      <c r="G668" t="s">
        <v>85</v>
      </c>
      <c r="H668" t="s">
        <v>85</v>
      </c>
      <c r="I668" t="s">
        <v>61</v>
      </c>
      <c r="J668">
        <v>1014000</v>
      </c>
      <c r="K668">
        <v>2028000</v>
      </c>
      <c r="L668" t="s">
        <v>10</v>
      </c>
      <c r="M668" t="s">
        <v>7</v>
      </c>
      <c r="N668" t="b">
        <v>0</v>
      </c>
    </row>
    <row r="669" spans="1:14" x14ac:dyDescent="0.3">
      <c r="A669" t="s">
        <v>21</v>
      </c>
      <c r="B669" t="s">
        <v>10</v>
      </c>
      <c r="C669">
        <v>26</v>
      </c>
      <c r="E669" t="s">
        <v>86</v>
      </c>
      <c r="F669">
        <v>0.2</v>
      </c>
      <c r="G669" t="s">
        <v>87</v>
      </c>
      <c r="H669" t="s">
        <v>87</v>
      </c>
      <c r="I669" t="s">
        <v>61</v>
      </c>
      <c r="J669">
        <v>1014000</v>
      </c>
      <c r="K669">
        <v>3042000</v>
      </c>
      <c r="L669" t="s">
        <v>10</v>
      </c>
      <c r="M669" t="s">
        <v>7</v>
      </c>
      <c r="N669" t="b">
        <v>0</v>
      </c>
    </row>
    <row r="670" spans="1:14" x14ac:dyDescent="0.3">
      <c r="A670" t="s">
        <v>21</v>
      </c>
      <c r="B670" t="s">
        <v>10</v>
      </c>
      <c r="C670">
        <v>27</v>
      </c>
      <c r="D670" t="s">
        <v>88</v>
      </c>
      <c r="E670" t="s">
        <v>89</v>
      </c>
      <c r="F670" t="s">
        <v>90</v>
      </c>
      <c r="G670">
        <v>1</v>
      </c>
      <c r="H670">
        <v>1</v>
      </c>
      <c r="I670" t="s">
        <v>61</v>
      </c>
      <c r="J670">
        <v>100000</v>
      </c>
      <c r="K670">
        <v>100000</v>
      </c>
      <c r="L670" t="s">
        <v>10</v>
      </c>
      <c r="M670" t="s">
        <v>7</v>
      </c>
      <c r="N670" t="b">
        <v>0</v>
      </c>
    </row>
    <row r="671" spans="1:14" x14ac:dyDescent="0.3">
      <c r="A671" t="s">
        <v>21</v>
      </c>
      <c r="B671" t="s">
        <v>10</v>
      </c>
      <c r="C671">
        <v>28</v>
      </c>
      <c r="D671" t="s">
        <v>65</v>
      </c>
      <c r="E671" t="s">
        <v>91</v>
      </c>
      <c r="G671">
        <v>2</v>
      </c>
      <c r="H671">
        <v>2</v>
      </c>
      <c r="I671" t="s">
        <v>61</v>
      </c>
      <c r="J671">
        <v>2400000</v>
      </c>
      <c r="K671">
        <v>4800000</v>
      </c>
      <c r="L671" t="s">
        <v>10</v>
      </c>
      <c r="M671" t="s">
        <v>7</v>
      </c>
      <c r="N671" t="b">
        <v>0</v>
      </c>
    </row>
    <row r="672" spans="1:14" x14ac:dyDescent="0.3">
      <c r="A672" t="s">
        <v>21</v>
      </c>
      <c r="B672" t="s">
        <v>10</v>
      </c>
      <c r="C672">
        <v>29</v>
      </c>
      <c r="E672" t="s">
        <v>92</v>
      </c>
      <c r="G672">
        <v>2</v>
      </c>
      <c r="H672">
        <v>2</v>
      </c>
      <c r="I672" t="s">
        <v>61</v>
      </c>
      <c r="J672">
        <v>2400000</v>
      </c>
      <c r="K672">
        <v>4800000</v>
      </c>
      <c r="L672" t="s">
        <v>10</v>
      </c>
      <c r="M672" t="s">
        <v>7</v>
      </c>
      <c r="N672" t="b">
        <v>0</v>
      </c>
    </row>
    <row r="673" spans="1:14" x14ac:dyDescent="0.3">
      <c r="A673" t="s">
        <v>21</v>
      </c>
      <c r="B673" t="s">
        <v>10</v>
      </c>
      <c r="C673">
        <v>30</v>
      </c>
      <c r="E673" t="s">
        <v>93</v>
      </c>
      <c r="G673">
        <v>2</v>
      </c>
      <c r="H673">
        <v>2</v>
      </c>
      <c r="I673" t="s">
        <v>61</v>
      </c>
      <c r="J673">
        <v>3000000</v>
      </c>
      <c r="K673">
        <v>6000000</v>
      </c>
      <c r="L673" t="s">
        <v>10</v>
      </c>
      <c r="M673" t="s">
        <v>7</v>
      </c>
      <c r="N673" t="b">
        <v>0</v>
      </c>
    </row>
    <row r="674" spans="1:14" x14ac:dyDescent="0.3">
      <c r="A674" t="s">
        <v>21</v>
      </c>
      <c r="B674" t="s">
        <v>10</v>
      </c>
      <c r="C674">
        <v>31</v>
      </c>
      <c r="D674" t="s">
        <v>94</v>
      </c>
      <c r="E674" t="s">
        <v>95</v>
      </c>
      <c r="G674">
        <v>2</v>
      </c>
      <c r="H674">
        <v>2</v>
      </c>
      <c r="I674" t="s">
        <v>61</v>
      </c>
      <c r="J674">
        <v>1300000</v>
      </c>
      <c r="K674">
        <v>2600000</v>
      </c>
      <c r="L674" t="s">
        <v>10</v>
      </c>
      <c r="M674" t="s">
        <v>7</v>
      </c>
      <c r="N674" t="b">
        <v>0</v>
      </c>
    </row>
    <row r="675" spans="1:14" x14ac:dyDescent="0.3">
      <c r="A675" t="s">
        <v>21</v>
      </c>
      <c r="B675" t="s">
        <v>10</v>
      </c>
      <c r="C675">
        <v>32</v>
      </c>
      <c r="D675" t="s">
        <v>94</v>
      </c>
      <c r="E675" t="s">
        <v>96</v>
      </c>
      <c r="G675">
        <v>4</v>
      </c>
      <c r="H675">
        <v>0.67200000000000004</v>
      </c>
      <c r="I675" t="s">
        <v>97</v>
      </c>
      <c r="J675">
        <v>460000</v>
      </c>
      <c r="K675">
        <v>309120</v>
      </c>
      <c r="L675" t="s">
        <v>10</v>
      </c>
      <c r="M675" t="s">
        <v>7</v>
      </c>
      <c r="N675" t="b">
        <v>0</v>
      </c>
    </row>
    <row r="676" spans="1:14" x14ac:dyDescent="0.3">
      <c r="A676" t="s">
        <v>21</v>
      </c>
      <c r="B676" t="s">
        <v>10</v>
      </c>
      <c r="C676">
        <v>33</v>
      </c>
      <c r="D676" t="s">
        <v>98</v>
      </c>
      <c r="E676" t="s">
        <v>99</v>
      </c>
      <c r="F676">
        <v>50</v>
      </c>
      <c r="G676">
        <v>8</v>
      </c>
      <c r="H676">
        <v>0.8</v>
      </c>
      <c r="I676" t="s">
        <v>100</v>
      </c>
      <c r="J676">
        <v>12655280.000000002</v>
      </c>
      <c r="K676">
        <v>10124224.000000002</v>
      </c>
      <c r="L676" t="s">
        <v>10</v>
      </c>
      <c r="M676" t="s">
        <v>7</v>
      </c>
      <c r="N676" t="b">
        <v>0</v>
      </c>
    </row>
    <row r="677" spans="1:14" x14ac:dyDescent="0.3">
      <c r="A677" t="s">
        <v>21</v>
      </c>
      <c r="B677" t="s">
        <v>10</v>
      </c>
      <c r="C677">
        <v>28</v>
      </c>
      <c r="E677" t="s">
        <v>101</v>
      </c>
      <c r="H677">
        <v>8</v>
      </c>
      <c r="I677" t="s">
        <v>102</v>
      </c>
      <c r="J677">
        <v>13000000</v>
      </c>
      <c r="K677">
        <v>104000000</v>
      </c>
      <c r="L677" t="s">
        <v>10</v>
      </c>
      <c r="M677" t="s">
        <v>7</v>
      </c>
      <c r="N677" t="b">
        <v>0</v>
      </c>
    </row>
    <row r="678" spans="1:14" x14ac:dyDescent="0.3">
      <c r="A678" t="s">
        <v>21</v>
      </c>
      <c r="B678" t="s">
        <v>10</v>
      </c>
      <c r="C678">
        <v>29</v>
      </c>
      <c r="E678" t="s">
        <v>107</v>
      </c>
      <c r="H678">
        <v>0</v>
      </c>
      <c r="I678" t="s">
        <v>108</v>
      </c>
      <c r="K678">
        <v>0</v>
      </c>
      <c r="L678" t="s">
        <v>10</v>
      </c>
      <c r="M678" t="s">
        <v>7</v>
      </c>
      <c r="N678" t="b">
        <v>0</v>
      </c>
    </row>
    <row r="679" spans="1:14" x14ac:dyDescent="0.3">
      <c r="A679" t="s">
        <v>21</v>
      </c>
      <c r="B679" t="s">
        <v>11</v>
      </c>
      <c r="C679">
        <v>1</v>
      </c>
      <c r="D679" t="s">
        <v>75</v>
      </c>
      <c r="E679" t="s">
        <v>109</v>
      </c>
      <c r="G679">
        <v>1</v>
      </c>
      <c r="H679">
        <v>9</v>
      </c>
      <c r="I679" t="s">
        <v>46</v>
      </c>
      <c r="J679">
        <v>5200000</v>
      </c>
      <c r="K679">
        <v>46800000</v>
      </c>
      <c r="L679" t="s">
        <v>11</v>
      </c>
      <c r="M679" t="s">
        <v>7</v>
      </c>
      <c r="N679" t="b">
        <v>0</v>
      </c>
    </row>
    <row r="680" spans="1:14" x14ac:dyDescent="0.3">
      <c r="A680" t="s">
        <v>21</v>
      </c>
      <c r="B680" t="s">
        <v>11</v>
      </c>
      <c r="C680">
        <v>4</v>
      </c>
      <c r="D680" t="s">
        <v>110</v>
      </c>
      <c r="E680" t="s">
        <v>111</v>
      </c>
      <c r="G680">
        <v>4</v>
      </c>
      <c r="H680">
        <v>0.5</v>
      </c>
      <c r="I680" t="s">
        <v>46</v>
      </c>
      <c r="J680">
        <v>22000000</v>
      </c>
      <c r="K680">
        <v>11000000</v>
      </c>
      <c r="L680" t="s">
        <v>11</v>
      </c>
      <c r="M680" t="s">
        <v>7</v>
      </c>
      <c r="N680" t="b">
        <v>0</v>
      </c>
    </row>
    <row r="681" spans="1:14" x14ac:dyDescent="0.3">
      <c r="A681" t="s">
        <v>21</v>
      </c>
      <c r="B681" t="s">
        <v>11</v>
      </c>
      <c r="C681">
        <v>5</v>
      </c>
      <c r="E681" t="s">
        <v>112</v>
      </c>
      <c r="G681">
        <v>20</v>
      </c>
      <c r="H681">
        <v>20</v>
      </c>
      <c r="I681" t="s">
        <v>61</v>
      </c>
      <c r="J681">
        <v>26000</v>
      </c>
      <c r="K681">
        <v>520000</v>
      </c>
      <c r="L681" t="s">
        <v>11</v>
      </c>
      <c r="M681" t="s">
        <v>7</v>
      </c>
      <c r="N681" t="b">
        <v>0</v>
      </c>
    </row>
    <row r="682" spans="1:14" x14ac:dyDescent="0.3">
      <c r="A682" t="s">
        <v>21</v>
      </c>
      <c r="B682" t="s">
        <v>11</v>
      </c>
      <c r="C682">
        <v>6</v>
      </c>
      <c r="E682" t="s">
        <v>113</v>
      </c>
      <c r="G682">
        <v>6</v>
      </c>
      <c r="H682">
        <v>6</v>
      </c>
      <c r="I682" t="s">
        <v>61</v>
      </c>
      <c r="J682">
        <v>195000</v>
      </c>
      <c r="K682">
        <v>1170000</v>
      </c>
      <c r="L682" t="s">
        <v>11</v>
      </c>
      <c r="M682" t="s">
        <v>7</v>
      </c>
      <c r="N682" t="b">
        <v>0</v>
      </c>
    </row>
    <row r="683" spans="1:14" x14ac:dyDescent="0.3">
      <c r="A683" t="s">
        <v>21</v>
      </c>
      <c r="B683" t="s">
        <v>11</v>
      </c>
      <c r="C683">
        <v>7</v>
      </c>
      <c r="E683" t="s">
        <v>114</v>
      </c>
      <c r="G683">
        <v>20</v>
      </c>
      <c r="H683">
        <v>20</v>
      </c>
      <c r="I683" t="s">
        <v>61</v>
      </c>
      <c r="J683">
        <v>13000</v>
      </c>
      <c r="K683">
        <v>260000</v>
      </c>
      <c r="L683" t="s">
        <v>11</v>
      </c>
      <c r="M683" t="s">
        <v>7</v>
      </c>
      <c r="N683" t="b">
        <v>0</v>
      </c>
    </row>
    <row r="684" spans="1:14" x14ac:dyDescent="0.3">
      <c r="A684" t="s">
        <v>21</v>
      </c>
      <c r="B684" t="s">
        <v>11</v>
      </c>
      <c r="C684">
        <v>8</v>
      </c>
      <c r="E684" t="s">
        <v>115</v>
      </c>
      <c r="G684">
        <v>20</v>
      </c>
      <c r="H684">
        <v>20</v>
      </c>
      <c r="I684" t="s">
        <v>61</v>
      </c>
      <c r="J684">
        <v>75000</v>
      </c>
      <c r="K684">
        <v>1500000</v>
      </c>
      <c r="L684" t="s">
        <v>11</v>
      </c>
      <c r="M684" t="s">
        <v>7</v>
      </c>
      <c r="N684" t="b">
        <v>0</v>
      </c>
    </row>
    <row r="685" spans="1:14" x14ac:dyDescent="0.3">
      <c r="A685" t="s">
        <v>21</v>
      </c>
      <c r="B685" t="s">
        <v>11</v>
      </c>
      <c r="C685">
        <v>9</v>
      </c>
      <c r="E685" t="s">
        <v>116</v>
      </c>
      <c r="G685">
        <v>1</v>
      </c>
      <c r="H685">
        <v>1</v>
      </c>
      <c r="I685" t="s">
        <v>61</v>
      </c>
      <c r="J685">
        <v>11250000</v>
      </c>
      <c r="K685">
        <v>11250000</v>
      </c>
      <c r="L685" t="s">
        <v>11</v>
      </c>
      <c r="M685" t="s">
        <v>7</v>
      </c>
      <c r="N685" t="b">
        <v>0</v>
      </c>
    </row>
    <row r="686" spans="1:14" x14ac:dyDescent="0.3">
      <c r="A686" t="s">
        <v>21</v>
      </c>
      <c r="B686" t="s">
        <v>11</v>
      </c>
      <c r="C686">
        <v>10</v>
      </c>
      <c r="E686" t="s">
        <v>117</v>
      </c>
      <c r="G686">
        <v>1</v>
      </c>
      <c r="H686">
        <v>1</v>
      </c>
      <c r="I686" t="s">
        <v>61</v>
      </c>
      <c r="J686">
        <v>7500000</v>
      </c>
      <c r="K686">
        <v>7500000</v>
      </c>
      <c r="L686" t="s">
        <v>11</v>
      </c>
      <c r="M686" t="s">
        <v>7</v>
      </c>
      <c r="N686" t="b">
        <v>0</v>
      </c>
    </row>
    <row r="687" spans="1:14" x14ac:dyDescent="0.3">
      <c r="A687" t="s">
        <v>21</v>
      </c>
      <c r="B687" t="s">
        <v>11</v>
      </c>
      <c r="C687">
        <v>11</v>
      </c>
      <c r="E687" t="s">
        <v>118</v>
      </c>
      <c r="G687">
        <v>2</v>
      </c>
      <c r="H687">
        <v>2</v>
      </c>
      <c r="I687" t="s">
        <v>61</v>
      </c>
      <c r="J687">
        <v>150000</v>
      </c>
      <c r="K687">
        <v>300000</v>
      </c>
      <c r="L687" t="s">
        <v>11</v>
      </c>
      <c r="M687" t="s">
        <v>7</v>
      </c>
      <c r="N687" t="b">
        <v>0</v>
      </c>
    </row>
    <row r="688" spans="1:14" x14ac:dyDescent="0.3">
      <c r="A688" t="s">
        <v>21</v>
      </c>
      <c r="B688" t="s">
        <v>11</v>
      </c>
      <c r="C688">
        <v>12</v>
      </c>
      <c r="E688" t="s">
        <v>119</v>
      </c>
      <c r="G688">
        <v>2</v>
      </c>
      <c r="H688">
        <v>2</v>
      </c>
      <c r="I688" t="s">
        <v>61</v>
      </c>
      <c r="J688">
        <v>100000</v>
      </c>
      <c r="K688">
        <v>200000</v>
      </c>
      <c r="L688" t="s">
        <v>11</v>
      </c>
      <c r="M688" t="s">
        <v>7</v>
      </c>
      <c r="N688" t="b">
        <v>0</v>
      </c>
    </row>
    <row r="689" spans="1:14" x14ac:dyDescent="0.3">
      <c r="A689" t="s">
        <v>21</v>
      </c>
      <c r="B689" t="s">
        <v>11</v>
      </c>
      <c r="C689">
        <v>13</v>
      </c>
      <c r="E689" t="s">
        <v>120</v>
      </c>
      <c r="G689">
        <v>4</v>
      </c>
      <c r="H689">
        <v>4</v>
      </c>
      <c r="I689" t="s">
        <v>61</v>
      </c>
      <c r="J689">
        <v>50000</v>
      </c>
      <c r="K689">
        <v>200000</v>
      </c>
      <c r="L689" t="s">
        <v>11</v>
      </c>
      <c r="M689" t="s">
        <v>7</v>
      </c>
      <c r="N689" t="b">
        <v>0</v>
      </c>
    </row>
    <row r="690" spans="1:14" x14ac:dyDescent="0.3">
      <c r="A690" t="s">
        <v>21</v>
      </c>
      <c r="B690" t="s">
        <v>11</v>
      </c>
      <c r="C690">
        <v>14</v>
      </c>
      <c r="E690" t="s">
        <v>121</v>
      </c>
      <c r="G690">
        <v>2</v>
      </c>
      <c r="H690">
        <v>2</v>
      </c>
      <c r="I690" t="s">
        <v>61</v>
      </c>
      <c r="J690">
        <v>100000</v>
      </c>
      <c r="K690">
        <v>200000</v>
      </c>
      <c r="L690" t="s">
        <v>11</v>
      </c>
      <c r="M690" t="s">
        <v>7</v>
      </c>
      <c r="N690" t="b">
        <v>0</v>
      </c>
    </row>
    <row r="691" spans="1:14" x14ac:dyDescent="0.3">
      <c r="A691" t="s">
        <v>21</v>
      </c>
      <c r="B691" t="s">
        <v>11</v>
      </c>
      <c r="C691">
        <v>15</v>
      </c>
      <c r="E691" t="s">
        <v>122</v>
      </c>
      <c r="G691">
        <v>1</v>
      </c>
      <c r="H691">
        <v>0.1</v>
      </c>
      <c r="I691" t="s">
        <v>46</v>
      </c>
      <c r="J691">
        <v>4200000</v>
      </c>
      <c r="K691">
        <v>420000</v>
      </c>
      <c r="L691" t="s">
        <v>11</v>
      </c>
      <c r="M691" t="s">
        <v>7</v>
      </c>
      <c r="N691" t="b">
        <v>0</v>
      </c>
    </row>
    <row r="692" spans="1:14" x14ac:dyDescent="0.3">
      <c r="A692" t="s">
        <v>21</v>
      </c>
      <c r="B692" t="s">
        <v>11</v>
      </c>
      <c r="C692">
        <v>16</v>
      </c>
      <c r="E692" t="s">
        <v>123</v>
      </c>
      <c r="G692">
        <v>1</v>
      </c>
      <c r="H692">
        <v>0.3</v>
      </c>
      <c r="I692" t="s">
        <v>97</v>
      </c>
      <c r="K692">
        <v>0</v>
      </c>
      <c r="L692" t="s">
        <v>11</v>
      </c>
      <c r="M692" t="s">
        <v>7</v>
      </c>
      <c r="N692" t="b">
        <v>0</v>
      </c>
    </row>
    <row r="693" spans="1:14" x14ac:dyDescent="0.3">
      <c r="A693" t="s">
        <v>21</v>
      </c>
      <c r="B693" t="s">
        <v>11</v>
      </c>
      <c r="C693">
        <v>17</v>
      </c>
      <c r="E693" t="s">
        <v>124</v>
      </c>
      <c r="G693">
        <v>1</v>
      </c>
      <c r="H693">
        <v>0.15</v>
      </c>
      <c r="I693" t="s">
        <v>97</v>
      </c>
      <c r="K693">
        <v>0</v>
      </c>
      <c r="L693" t="s">
        <v>11</v>
      </c>
      <c r="M693" t="s">
        <v>7</v>
      </c>
      <c r="N693" t="b">
        <v>0</v>
      </c>
    </row>
    <row r="694" spans="1:14" x14ac:dyDescent="0.3">
      <c r="A694" t="s">
        <v>21</v>
      </c>
      <c r="B694" t="s">
        <v>11</v>
      </c>
      <c r="C694">
        <v>18</v>
      </c>
      <c r="E694" t="s">
        <v>125</v>
      </c>
      <c r="G694">
        <v>1</v>
      </c>
      <c r="I694" t="s">
        <v>61</v>
      </c>
      <c r="K694">
        <v>0</v>
      </c>
      <c r="L694" t="s">
        <v>11</v>
      </c>
      <c r="M694" t="s">
        <v>7</v>
      </c>
      <c r="N694" t="b">
        <v>0</v>
      </c>
    </row>
    <row r="695" spans="1:14" x14ac:dyDescent="0.3">
      <c r="A695" t="s">
        <v>21</v>
      </c>
      <c r="B695" t="s">
        <v>11</v>
      </c>
      <c r="C695">
        <v>19</v>
      </c>
      <c r="E695" t="s">
        <v>126</v>
      </c>
      <c r="G695">
        <v>1</v>
      </c>
      <c r="I695" t="s">
        <v>61</v>
      </c>
      <c r="K695">
        <v>0</v>
      </c>
      <c r="L695" t="s">
        <v>11</v>
      </c>
      <c r="M695" t="s">
        <v>7</v>
      </c>
      <c r="N695" t="b">
        <v>0</v>
      </c>
    </row>
    <row r="696" spans="1:14" x14ac:dyDescent="0.3">
      <c r="A696" t="s">
        <v>21</v>
      </c>
      <c r="B696" t="s">
        <v>11</v>
      </c>
      <c r="C696">
        <v>20</v>
      </c>
      <c r="E696" t="s">
        <v>127</v>
      </c>
      <c r="G696">
        <v>1</v>
      </c>
      <c r="I696" t="s">
        <v>61</v>
      </c>
      <c r="K696">
        <v>0</v>
      </c>
      <c r="L696" t="s">
        <v>11</v>
      </c>
      <c r="M696" t="s">
        <v>7</v>
      </c>
      <c r="N696" t="b">
        <v>0</v>
      </c>
    </row>
    <row r="697" spans="1:14" x14ac:dyDescent="0.3">
      <c r="A697" t="s">
        <v>21</v>
      </c>
      <c r="B697" t="s">
        <v>11</v>
      </c>
      <c r="C697">
        <v>21</v>
      </c>
      <c r="E697" t="s">
        <v>128</v>
      </c>
      <c r="G697">
        <v>1</v>
      </c>
      <c r="H697">
        <v>1</v>
      </c>
      <c r="I697" t="s">
        <v>61</v>
      </c>
      <c r="J697">
        <v>74000000</v>
      </c>
      <c r="K697">
        <v>74000000</v>
      </c>
      <c r="L697" t="s">
        <v>11</v>
      </c>
      <c r="M697" t="s">
        <v>7</v>
      </c>
      <c r="N697" t="b">
        <v>0</v>
      </c>
    </row>
    <row r="698" spans="1:14" x14ac:dyDescent="0.3">
      <c r="A698" t="s">
        <v>21</v>
      </c>
      <c r="B698" t="s">
        <v>11</v>
      </c>
      <c r="C698">
        <v>7</v>
      </c>
      <c r="E698" t="s">
        <v>101</v>
      </c>
      <c r="H698">
        <v>5</v>
      </c>
      <c r="I698" t="s">
        <v>102</v>
      </c>
      <c r="J698">
        <v>13000000</v>
      </c>
      <c r="K698">
        <v>65000000</v>
      </c>
      <c r="L698" t="s">
        <v>11</v>
      </c>
      <c r="M698" t="s">
        <v>7</v>
      </c>
      <c r="N698" t="b">
        <v>0</v>
      </c>
    </row>
    <row r="699" spans="1:14" x14ac:dyDescent="0.3">
      <c r="A699" t="s">
        <v>21</v>
      </c>
      <c r="B699" t="s">
        <v>11</v>
      </c>
      <c r="C699">
        <v>8</v>
      </c>
      <c r="E699" t="s">
        <v>107</v>
      </c>
      <c r="H699">
        <v>0</v>
      </c>
      <c r="I699" t="s">
        <v>108</v>
      </c>
      <c r="K699">
        <v>0</v>
      </c>
      <c r="L699" t="s">
        <v>11</v>
      </c>
      <c r="M699" t="s">
        <v>7</v>
      </c>
      <c r="N699" t="b">
        <v>0</v>
      </c>
    </row>
    <row r="700" spans="1:14" x14ac:dyDescent="0.3">
      <c r="A700" t="s">
        <v>21</v>
      </c>
      <c r="B700" t="s">
        <v>12</v>
      </c>
      <c r="C700">
        <v>1</v>
      </c>
      <c r="D700" t="s">
        <v>129</v>
      </c>
      <c r="E700" t="s">
        <v>130</v>
      </c>
      <c r="G700">
        <v>1</v>
      </c>
      <c r="H700">
        <v>7</v>
      </c>
      <c r="I700" t="s">
        <v>131</v>
      </c>
      <c r="J700">
        <v>20700000</v>
      </c>
      <c r="K700">
        <v>144900000</v>
      </c>
      <c r="L700" t="s">
        <v>12</v>
      </c>
      <c r="M700" t="s">
        <v>7</v>
      </c>
      <c r="N700" t="b">
        <v>0</v>
      </c>
    </row>
    <row r="701" spans="1:14" x14ac:dyDescent="0.3">
      <c r="A701" t="s">
        <v>21</v>
      </c>
      <c r="B701" t="s">
        <v>12</v>
      </c>
      <c r="D701" t="s">
        <v>58</v>
      </c>
      <c r="E701" t="s">
        <v>60</v>
      </c>
      <c r="G701">
        <v>0</v>
      </c>
      <c r="H701">
        <v>10</v>
      </c>
      <c r="I701" t="s">
        <v>46</v>
      </c>
      <c r="J701">
        <v>3600000</v>
      </c>
      <c r="K701">
        <v>36000000</v>
      </c>
      <c r="L701" t="s">
        <v>12</v>
      </c>
      <c r="M701" t="s">
        <v>7</v>
      </c>
      <c r="N701" t="b">
        <v>0</v>
      </c>
    </row>
    <row r="702" spans="1:14" x14ac:dyDescent="0.3">
      <c r="A702" t="s">
        <v>21</v>
      </c>
      <c r="B702" t="s">
        <v>12</v>
      </c>
      <c r="C702">
        <v>3</v>
      </c>
      <c r="E702" t="s">
        <v>132</v>
      </c>
      <c r="G702">
        <v>16</v>
      </c>
      <c r="I702" t="s">
        <v>61</v>
      </c>
      <c r="J702">
        <v>50000</v>
      </c>
      <c r="K702">
        <v>800000</v>
      </c>
      <c r="L702" t="s">
        <v>12</v>
      </c>
      <c r="M702" t="s">
        <v>7</v>
      </c>
      <c r="N702" t="b">
        <v>0</v>
      </c>
    </row>
    <row r="703" spans="1:14" x14ac:dyDescent="0.3">
      <c r="A703" t="s">
        <v>21</v>
      </c>
      <c r="B703" t="s">
        <v>12</v>
      </c>
      <c r="C703">
        <v>4</v>
      </c>
      <c r="E703" t="s">
        <v>133</v>
      </c>
      <c r="G703">
        <v>16</v>
      </c>
      <c r="I703" t="s">
        <v>61</v>
      </c>
      <c r="J703">
        <v>15000</v>
      </c>
      <c r="K703">
        <v>240000</v>
      </c>
      <c r="L703" t="s">
        <v>12</v>
      </c>
      <c r="M703" t="s">
        <v>7</v>
      </c>
      <c r="N703" t="b">
        <v>0</v>
      </c>
    </row>
    <row r="704" spans="1:14" x14ac:dyDescent="0.3">
      <c r="A704" t="s">
        <v>21</v>
      </c>
      <c r="B704" t="s">
        <v>12</v>
      </c>
      <c r="C704">
        <v>5</v>
      </c>
      <c r="E704" t="s">
        <v>134</v>
      </c>
      <c r="G704">
        <v>32</v>
      </c>
      <c r="I704" t="s">
        <v>61</v>
      </c>
      <c r="J704">
        <v>5000</v>
      </c>
      <c r="K704">
        <v>160000</v>
      </c>
      <c r="L704" t="s">
        <v>12</v>
      </c>
      <c r="M704" t="s">
        <v>7</v>
      </c>
      <c r="N704" t="b">
        <v>0</v>
      </c>
    </row>
    <row r="705" spans="1:14" x14ac:dyDescent="0.3">
      <c r="A705" t="s">
        <v>21</v>
      </c>
      <c r="B705" t="s">
        <v>12</v>
      </c>
      <c r="C705">
        <v>6</v>
      </c>
      <c r="E705" t="s">
        <v>135</v>
      </c>
      <c r="G705">
        <v>16</v>
      </c>
      <c r="I705" t="s">
        <v>61</v>
      </c>
      <c r="J705">
        <v>5000</v>
      </c>
      <c r="K705">
        <v>80000</v>
      </c>
      <c r="L705" t="s">
        <v>12</v>
      </c>
      <c r="M705" t="s">
        <v>7</v>
      </c>
      <c r="N705" t="b">
        <v>0</v>
      </c>
    </row>
    <row r="706" spans="1:14" x14ac:dyDescent="0.3">
      <c r="A706" t="s">
        <v>21</v>
      </c>
      <c r="B706" t="s">
        <v>12</v>
      </c>
      <c r="C706">
        <v>7</v>
      </c>
      <c r="E706" t="s">
        <v>101</v>
      </c>
      <c r="H706">
        <v>1</v>
      </c>
      <c r="I706" t="s">
        <v>102</v>
      </c>
      <c r="J706">
        <v>13000000</v>
      </c>
      <c r="K706">
        <v>13000000</v>
      </c>
      <c r="L706" t="s">
        <v>12</v>
      </c>
      <c r="M706" t="s">
        <v>7</v>
      </c>
      <c r="N706" t="b">
        <v>0</v>
      </c>
    </row>
    <row r="707" spans="1:14" x14ac:dyDescent="0.3">
      <c r="A707" t="s">
        <v>21</v>
      </c>
      <c r="B707" t="s">
        <v>12</v>
      </c>
      <c r="C707">
        <v>8</v>
      </c>
      <c r="E707" t="s">
        <v>107</v>
      </c>
      <c r="H707">
        <v>0</v>
      </c>
      <c r="I707" t="s">
        <v>108</v>
      </c>
      <c r="K707">
        <v>0</v>
      </c>
      <c r="L707" t="s">
        <v>12</v>
      </c>
      <c r="M707" t="s">
        <v>7</v>
      </c>
      <c r="N707" t="b">
        <v>0</v>
      </c>
    </row>
    <row r="708" spans="1:14" x14ac:dyDescent="0.3">
      <c r="A708" t="s">
        <v>21</v>
      </c>
      <c r="B708" t="s">
        <v>13</v>
      </c>
      <c r="C708">
        <v>1</v>
      </c>
      <c r="D708" t="s">
        <v>73</v>
      </c>
      <c r="E708" t="s">
        <v>136</v>
      </c>
      <c r="G708">
        <v>1</v>
      </c>
      <c r="H708">
        <v>10</v>
      </c>
      <c r="I708" t="s">
        <v>46</v>
      </c>
      <c r="J708">
        <v>8500000</v>
      </c>
      <c r="K708">
        <v>85000000</v>
      </c>
      <c r="L708" t="s">
        <v>13</v>
      </c>
      <c r="M708" t="s">
        <v>7</v>
      </c>
      <c r="N708" t="b">
        <v>0</v>
      </c>
    </row>
    <row r="709" spans="1:14" x14ac:dyDescent="0.3">
      <c r="A709" t="s">
        <v>21</v>
      </c>
      <c r="B709" t="s">
        <v>13</v>
      </c>
      <c r="D709" t="s">
        <v>58</v>
      </c>
      <c r="E709" t="s">
        <v>60</v>
      </c>
      <c r="G709">
        <v>0</v>
      </c>
      <c r="H709">
        <v>10</v>
      </c>
      <c r="I709" t="s">
        <v>46</v>
      </c>
      <c r="J709">
        <v>3600000</v>
      </c>
      <c r="K709">
        <v>36000000</v>
      </c>
      <c r="L709" t="s">
        <v>13</v>
      </c>
      <c r="M709" t="s">
        <v>7</v>
      </c>
      <c r="N709" t="b">
        <v>0</v>
      </c>
    </row>
    <row r="710" spans="1:14" x14ac:dyDescent="0.3">
      <c r="A710" t="s">
        <v>21</v>
      </c>
      <c r="B710" t="s">
        <v>13</v>
      </c>
      <c r="C710">
        <v>3</v>
      </c>
      <c r="E710" t="s">
        <v>132</v>
      </c>
      <c r="G710">
        <v>4</v>
      </c>
      <c r="I710" t="s">
        <v>61</v>
      </c>
      <c r="J710">
        <v>50000</v>
      </c>
      <c r="K710">
        <v>200000</v>
      </c>
      <c r="L710" t="s">
        <v>13</v>
      </c>
      <c r="M710" t="s">
        <v>7</v>
      </c>
      <c r="N710" t="b">
        <v>0</v>
      </c>
    </row>
    <row r="711" spans="1:14" x14ac:dyDescent="0.3">
      <c r="A711" t="s">
        <v>21</v>
      </c>
      <c r="B711" t="s">
        <v>13</v>
      </c>
      <c r="C711">
        <v>4</v>
      </c>
      <c r="E711" t="s">
        <v>133</v>
      </c>
      <c r="G711">
        <v>4</v>
      </c>
      <c r="I711" t="s">
        <v>61</v>
      </c>
      <c r="J711">
        <v>15000</v>
      </c>
      <c r="K711">
        <v>60000</v>
      </c>
      <c r="L711" t="s">
        <v>13</v>
      </c>
      <c r="M711" t="s">
        <v>7</v>
      </c>
      <c r="N711" t="b">
        <v>0</v>
      </c>
    </row>
    <row r="712" spans="1:14" x14ac:dyDescent="0.3">
      <c r="A712" t="s">
        <v>21</v>
      </c>
      <c r="B712" t="s">
        <v>13</v>
      </c>
      <c r="C712">
        <v>5</v>
      </c>
      <c r="E712" t="s">
        <v>134</v>
      </c>
      <c r="G712">
        <v>8</v>
      </c>
      <c r="I712" t="s">
        <v>61</v>
      </c>
      <c r="J712">
        <v>5000</v>
      </c>
      <c r="K712">
        <v>40000</v>
      </c>
      <c r="L712" t="s">
        <v>13</v>
      </c>
      <c r="M712" t="s">
        <v>7</v>
      </c>
      <c r="N712" t="b">
        <v>0</v>
      </c>
    </row>
    <row r="713" spans="1:14" x14ac:dyDescent="0.3">
      <c r="A713" t="s">
        <v>21</v>
      </c>
      <c r="B713" t="s">
        <v>13</v>
      </c>
      <c r="C713">
        <v>6</v>
      </c>
      <c r="E713" t="s">
        <v>135</v>
      </c>
      <c r="G713">
        <v>4</v>
      </c>
      <c r="I713" t="s">
        <v>61</v>
      </c>
      <c r="J713">
        <v>5000</v>
      </c>
      <c r="K713">
        <v>20000</v>
      </c>
      <c r="L713" t="s">
        <v>13</v>
      </c>
      <c r="M713" t="s">
        <v>7</v>
      </c>
      <c r="N713" t="b">
        <v>0</v>
      </c>
    </row>
    <row r="714" spans="1:14" x14ac:dyDescent="0.3">
      <c r="A714" t="s">
        <v>21</v>
      </c>
      <c r="B714" t="s">
        <v>13</v>
      </c>
      <c r="C714">
        <v>7</v>
      </c>
      <c r="E714" t="s">
        <v>101</v>
      </c>
      <c r="H714">
        <v>5</v>
      </c>
      <c r="I714" t="s">
        <v>102</v>
      </c>
      <c r="J714">
        <v>13000000</v>
      </c>
      <c r="K714">
        <v>65000000</v>
      </c>
      <c r="L714" t="s">
        <v>13</v>
      </c>
      <c r="M714" t="s">
        <v>7</v>
      </c>
      <c r="N714" t="b">
        <v>0</v>
      </c>
    </row>
    <row r="715" spans="1:14" x14ac:dyDescent="0.3">
      <c r="A715" t="s">
        <v>21</v>
      </c>
      <c r="B715" t="s">
        <v>13</v>
      </c>
      <c r="C715">
        <v>8</v>
      </c>
      <c r="E715" t="s">
        <v>107</v>
      </c>
      <c r="H715">
        <v>0</v>
      </c>
      <c r="I715" t="s">
        <v>108</v>
      </c>
      <c r="K715">
        <v>0</v>
      </c>
      <c r="L715" t="s">
        <v>13</v>
      </c>
      <c r="M715" t="s">
        <v>7</v>
      </c>
      <c r="N715" t="b">
        <v>0</v>
      </c>
    </row>
    <row r="716" spans="1:14" x14ac:dyDescent="0.3">
      <c r="A716" t="s">
        <v>21</v>
      </c>
      <c r="B716" t="s">
        <v>14</v>
      </c>
      <c r="C716">
        <v>1</v>
      </c>
      <c r="D716" t="s">
        <v>73</v>
      </c>
      <c r="E716" t="s">
        <v>137</v>
      </c>
      <c r="G716">
        <v>1</v>
      </c>
      <c r="H716">
        <v>10</v>
      </c>
      <c r="I716" t="s">
        <v>46</v>
      </c>
      <c r="J716">
        <v>8500000</v>
      </c>
      <c r="K716">
        <v>85000000</v>
      </c>
      <c r="L716" t="s">
        <v>14</v>
      </c>
      <c r="M716" t="s">
        <v>7</v>
      </c>
      <c r="N716" t="b">
        <v>0</v>
      </c>
    </row>
    <row r="717" spans="1:14" x14ac:dyDescent="0.3">
      <c r="A717" t="s">
        <v>21</v>
      </c>
      <c r="B717" t="s">
        <v>14</v>
      </c>
      <c r="D717" t="s">
        <v>58</v>
      </c>
      <c r="E717" t="s">
        <v>60</v>
      </c>
      <c r="G717">
        <v>0</v>
      </c>
      <c r="H717">
        <v>10</v>
      </c>
      <c r="I717" t="s">
        <v>46</v>
      </c>
      <c r="J717">
        <v>3600000</v>
      </c>
      <c r="K717">
        <v>36000000</v>
      </c>
      <c r="L717" t="s">
        <v>14</v>
      </c>
      <c r="M717" t="s">
        <v>7</v>
      </c>
      <c r="N717" t="b">
        <v>0</v>
      </c>
    </row>
    <row r="718" spans="1:14" x14ac:dyDescent="0.3">
      <c r="A718" t="s">
        <v>21</v>
      </c>
      <c r="B718" t="s">
        <v>14</v>
      </c>
      <c r="C718">
        <v>3</v>
      </c>
      <c r="E718" t="s">
        <v>132</v>
      </c>
      <c r="G718">
        <v>16</v>
      </c>
      <c r="I718" t="s">
        <v>61</v>
      </c>
      <c r="J718">
        <v>50000</v>
      </c>
      <c r="K718">
        <v>800000</v>
      </c>
      <c r="L718" t="s">
        <v>14</v>
      </c>
      <c r="M718" t="s">
        <v>7</v>
      </c>
      <c r="N718" t="b">
        <v>0</v>
      </c>
    </row>
    <row r="719" spans="1:14" x14ac:dyDescent="0.3">
      <c r="A719" t="s">
        <v>21</v>
      </c>
      <c r="B719" t="s">
        <v>14</v>
      </c>
      <c r="C719">
        <v>4</v>
      </c>
      <c r="E719" t="s">
        <v>133</v>
      </c>
      <c r="G719">
        <v>16</v>
      </c>
      <c r="I719" t="s">
        <v>61</v>
      </c>
      <c r="J719">
        <v>15000</v>
      </c>
      <c r="K719">
        <v>240000</v>
      </c>
      <c r="L719" t="s">
        <v>14</v>
      </c>
      <c r="M719" t="s">
        <v>7</v>
      </c>
      <c r="N719" t="b">
        <v>0</v>
      </c>
    </row>
    <row r="720" spans="1:14" x14ac:dyDescent="0.3">
      <c r="A720" t="s">
        <v>21</v>
      </c>
      <c r="B720" t="s">
        <v>14</v>
      </c>
      <c r="C720">
        <v>5</v>
      </c>
      <c r="E720" t="s">
        <v>134</v>
      </c>
      <c r="G720">
        <v>32</v>
      </c>
      <c r="I720" t="s">
        <v>61</v>
      </c>
      <c r="J720">
        <v>5000</v>
      </c>
      <c r="K720">
        <v>160000</v>
      </c>
      <c r="L720" t="s">
        <v>14</v>
      </c>
      <c r="M720" t="s">
        <v>7</v>
      </c>
      <c r="N720" t="b">
        <v>0</v>
      </c>
    </row>
    <row r="721" spans="1:14" x14ac:dyDescent="0.3">
      <c r="A721" t="s">
        <v>21</v>
      </c>
      <c r="B721" t="s">
        <v>14</v>
      </c>
      <c r="C721">
        <v>6</v>
      </c>
      <c r="E721" t="s">
        <v>135</v>
      </c>
      <c r="G721">
        <v>16</v>
      </c>
      <c r="I721" t="s">
        <v>61</v>
      </c>
      <c r="J721">
        <v>5000</v>
      </c>
      <c r="K721">
        <v>80000</v>
      </c>
      <c r="L721" t="s">
        <v>14</v>
      </c>
      <c r="M721" t="s">
        <v>7</v>
      </c>
      <c r="N721" t="b">
        <v>0</v>
      </c>
    </row>
    <row r="722" spans="1:14" x14ac:dyDescent="0.3">
      <c r="A722" t="s">
        <v>21</v>
      </c>
      <c r="B722" t="s">
        <v>14</v>
      </c>
      <c r="C722">
        <v>7</v>
      </c>
      <c r="E722" t="s">
        <v>101</v>
      </c>
      <c r="H722">
        <v>5</v>
      </c>
      <c r="I722" t="s">
        <v>102</v>
      </c>
      <c r="J722">
        <v>13000000</v>
      </c>
      <c r="K722">
        <v>65000000</v>
      </c>
      <c r="L722" t="s">
        <v>14</v>
      </c>
      <c r="M722" t="s">
        <v>7</v>
      </c>
      <c r="N722" t="b">
        <v>0</v>
      </c>
    </row>
    <row r="723" spans="1:14" x14ac:dyDescent="0.3">
      <c r="A723" t="s">
        <v>21</v>
      </c>
      <c r="B723" t="s">
        <v>14</v>
      </c>
      <c r="C723">
        <v>8</v>
      </c>
      <c r="E723" t="s">
        <v>107</v>
      </c>
      <c r="H723">
        <v>0</v>
      </c>
      <c r="I723" t="s">
        <v>108</v>
      </c>
      <c r="K723">
        <v>0</v>
      </c>
      <c r="L723" t="s">
        <v>14</v>
      </c>
      <c r="M723" t="s">
        <v>7</v>
      </c>
      <c r="N723" t="b">
        <v>0</v>
      </c>
    </row>
    <row r="724" spans="1:14" x14ac:dyDescent="0.3">
      <c r="A724" t="s">
        <v>21</v>
      </c>
      <c r="B724" t="s">
        <v>15</v>
      </c>
      <c r="C724">
        <v>1</v>
      </c>
      <c r="D724" t="s">
        <v>75</v>
      </c>
      <c r="E724" t="s">
        <v>138</v>
      </c>
      <c r="G724">
        <v>1</v>
      </c>
      <c r="H724">
        <v>25</v>
      </c>
      <c r="I724" t="s">
        <v>46</v>
      </c>
      <c r="J724">
        <v>5200000</v>
      </c>
      <c r="K724">
        <v>130000000</v>
      </c>
      <c r="L724" t="s">
        <v>15</v>
      </c>
      <c r="M724" t="s">
        <v>7</v>
      </c>
      <c r="N724" t="b">
        <v>0</v>
      </c>
    </row>
    <row r="725" spans="1:14" x14ac:dyDescent="0.3">
      <c r="A725" t="s">
        <v>21</v>
      </c>
      <c r="B725" t="s">
        <v>15</v>
      </c>
      <c r="D725" t="s">
        <v>75</v>
      </c>
      <c r="E725" t="s">
        <v>139</v>
      </c>
      <c r="G725">
        <v>1</v>
      </c>
      <c r="I725" t="s">
        <v>46</v>
      </c>
      <c r="K725">
        <v>0</v>
      </c>
      <c r="L725" t="s">
        <v>15</v>
      </c>
      <c r="M725" t="s">
        <v>7</v>
      </c>
      <c r="N725" t="b">
        <v>0</v>
      </c>
    </row>
    <row r="726" spans="1:14" x14ac:dyDescent="0.3">
      <c r="A726" t="s">
        <v>21</v>
      </c>
      <c r="B726" t="s">
        <v>15</v>
      </c>
      <c r="C726">
        <v>3</v>
      </c>
      <c r="E726" t="s">
        <v>140</v>
      </c>
      <c r="G726">
        <v>32</v>
      </c>
      <c r="I726" t="s">
        <v>61</v>
      </c>
      <c r="J726">
        <v>10000</v>
      </c>
      <c r="K726">
        <v>320000</v>
      </c>
      <c r="L726" t="s">
        <v>15</v>
      </c>
      <c r="M726" t="s">
        <v>7</v>
      </c>
      <c r="N726" t="b">
        <v>0</v>
      </c>
    </row>
    <row r="727" spans="1:14" x14ac:dyDescent="0.3">
      <c r="A727" t="s">
        <v>21</v>
      </c>
      <c r="B727" t="s">
        <v>15</v>
      </c>
      <c r="C727">
        <v>4</v>
      </c>
      <c r="E727" t="s">
        <v>69</v>
      </c>
      <c r="G727">
        <v>32</v>
      </c>
      <c r="I727" t="s">
        <v>61</v>
      </c>
      <c r="J727">
        <v>60000</v>
      </c>
      <c r="K727">
        <v>1920000</v>
      </c>
      <c r="L727" t="s">
        <v>15</v>
      </c>
      <c r="M727" t="s">
        <v>7</v>
      </c>
      <c r="N727" t="b">
        <v>0</v>
      </c>
    </row>
    <row r="728" spans="1:14" x14ac:dyDescent="0.3">
      <c r="A728" t="s">
        <v>21</v>
      </c>
      <c r="B728" t="s">
        <v>15</v>
      </c>
      <c r="C728">
        <v>5</v>
      </c>
      <c r="E728" t="s">
        <v>141</v>
      </c>
      <c r="G728">
        <v>32</v>
      </c>
      <c r="I728" t="s">
        <v>61</v>
      </c>
      <c r="J728">
        <v>60000</v>
      </c>
      <c r="K728">
        <v>1920000</v>
      </c>
      <c r="L728" t="s">
        <v>15</v>
      </c>
      <c r="M728" t="s">
        <v>7</v>
      </c>
      <c r="N728" t="b">
        <v>0</v>
      </c>
    </row>
    <row r="729" spans="1:14" x14ac:dyDescent="0.3">
      <c r="A729" t="s">
        <v>21</v>
      </c>
      <c r="B729" t="s">
        <v>15</v>
      </c>
      <c r="C729">
        <v>6</v>
      </c>
      <c r="E729" t="s">
        <v>140</v>
      </c>
      <c r="G729">
        <v>12</v>
      </c>
      <c r="I729" t="s">
        <v>61</v>
      </c>
      <c r="J729">
        <v>10000</v>
      </c>
      <c r="K729">
        <v>120000</v>
      </c>
      <c r="L729" t="s">
        <v>15</v>
      </c>
      <c r="M729" t="s">
        <v>7</v>
      </c>
      <c r="N729" t="b">
        <v>0</v>
      </c>
    </row>
    <row r="730" spans="1:14" x14ac:dyDescent="0.3">
      <c r="A730" t="s">
        <v>21</v>
      </c>
      <c r="B730" t="s">
        <v>15</v>
      </c>
      <c r="C730">
        <v>7</v>
      </c>
      <c r="E730" t="s">
        <v>142</v>
      </c>
      <c r="G730">
        <v>12</v>
      </c>
      <c r="I730" t="s">
        <v>61</v>
      </c>
      <c r="J730">
        <v>10000</v>
      </c>
      <c r="K730">
        <v>120000</v>
      </c>
      <c r="L730" t="s">
        <v>15</v>
      </c>
      <c r="M730" t="s">
        <v>7</v>
      </c>
      <c r="N730" t="b">
        <v>0</v>
      </c>
    </row>
    <row r="731" spans="1:14" x14ac:dyDescent="0.3">
      <c r="A731" t="s">
        <v>21</v>
      </c>
      <c r="B731" t="s">
        <v>15</v>
      </c>
      <c r="C731">
        <v>8</v>
      </c>
      <c r="E731" t="s">
        <v>114</v>
      </c>
      <c r="G731">
        <v>12</v>
      </c>
      <c r="I731" t="s">
        <v>61</v>
      </c>
      <c r="J731">
        <v>60000</v>
      </c>
      <c r="K731">
        <v>720000</v>
      </c>
      <c r="L731" t="s">
        <v>15</v>
      </c>
      <c r="M731" t="s">
        <v>7</v>
      </c>
      <c r="N731" t="b">
        <v>0</v>
      </c>
    </row>
    <row r="732" spans="1:14" x14ac:dyDescent="0.3">
      <c r="A732" t="s">
        <v>21</v>
      </c>
      <c r="B732" t="s">
        <v>15</v>
      </c>
      <c r="C732">
        <v>9</v>
      </c>
      <c r="E732" t="s">
        <v>143</v>
      </c>
      <c r="G732">
        <v>32</v>
      </c>
      <c r="I732" t="s">
        <v>61</v>
      </c>
      <c r="J732">
        <v>10000</v>
      </c>
      <c r="K732">
        <v>320000</v>
      </c>
      <c r="L732" t="s">
        <v>15</v>
      </c>
      <c r="M732" t="s">
        <v>7</v>
      </c>
      <c r="N732" t="b">
        <v>0</v>
      </c>
    </row>
    <row r="733" spans="1:14" x14ac:dyDescent="0.3">
      <c r="A733" t="s">
        <v>21</v>
      </c>
      <c r="B733" t="s">
        <v>15</v>
      </c>
      <c r="C733">
        <v>10</v>
      </c>
      <c r="E733" t="s">
        <v>57</v>
      </c>
      <c r="G733">
        <v>25</v>
      </c>
      <c r="I733" t="s">
        <v>46</v>
      </c>
      <c r="J733">
        <v>1430000</v>
      </c>
      <c r="K733">
        <v>35750000</v>
      </c>
      <c r="L733" t="s">
        <v>15</v>
      </c>
      <c r="M733" t="s">
        <v>7</v>
      </c>
      <c r="N733" t="b">
        <v>0</v>
      </c>
    </row>
    <row r="734" spans="1:14" x14ac:dyDescent="0.3">
      <c r="A734" t="s">
        <v>21</v>
      </c>
      <c r="B734" t="s">
        <v>15</v>
      </c>
      <c r="E734" t="s">
        <v>96</v>
      </c>
      <c r="G734">
        <v>1</v>
      </c>
      <c r="H734">
        <v>6</v>
      </c>
      <c r="I734" t="s">
        <v>97</v>
      </c>
      <c r="J734">
        <v>460000</v>
      </c>
      <c r="K734">
        <v>2760000</v>
      </c>
      <c r="L734" t="s">
        <v>15</v>
      </c>
      <c r="M734" t="s">
        <v>7</v>
      </c>
      <c r="N734" t="b">
        <v>0</v>
      </c>
    </row>
    <row r="735" spans="1:14" x14ac:dyDescent="0.3">
      <c r="A735" t="s">
        <v>21</v>
      </c>
      <c r="B735" t="s">
        <v>15</v>
      </c>
      <c r="C735">
        <v>11</v>
      </c>
      <c r="E735" t="s">
        <v>101</v>
      </c>
      <c r="H735">
        <v>5</v>
      </c>
      <c r="I735" t="s">
        <v>102</v>
      </c>
      <c r="J735">
        <v>13000000</v>
      </c>
      <c r="K735">
        <v>65000000</v>
      </c>
      <c r="L735" t="s">
        <v>15</v>
      </c>
      <c r="M735" t="s">
        <v>7</v>
      </c>
      <c r="N735" t="b">
        <v>0</v>
      </c>
    </row>
    <row r="736" spans="1:14" x14ac:dyDescent="0.3">
      <c r="A736" t="s">
        <v>21</v>
      </c>
      <c r="B736" t="s">
        <v>15</v>
      </c>
      <c r="C736">
        <v>12</v>
      </c>
      <c r="E736" t="s">
        <v>107</v>
      </c>
      <c r="H736">
        <v>0</v>
      </c>
      <c r="I736" t="s">
        <v>108</v>
      </c>
      <c r="K736">
        <v>0</v>
      </c>
      <c r="L736" t="s">
        <v>15</v>
      </c>
      <c r="M736" t="s">
        <v>7</v>
      </c>
      <c r="N736" t="b">
        <v>0</v>
      </c>
    </row>
    <row r="737" spans="1:14" x14ac:dyDescent="0.3">
      <c r="A737" t="s">
        <v>21</v>
      </c>
      <c r="B737" t="s">
        <v>16</v>
      </c>
      <c r="C737">
        <v>1</v>
      </c>
      <c r="D737" t="s">
        <v>144</v>
      </c>
      <c r="E737" t="s">
        <v>145</v>
      </c>
      <c r="F737" t="s">
        <v>146</v>
      </c>
      <c r="G737">
        <v>2</v>
      </c>
      <c r="H737">
        <v>2.8296000000000001</v>
      </c>
      <c r="I737" t="s">
        <v>46</v>
      </c>
      <c r="J737">
        <v>800000</v>
      </c>
      <c r="K737">
        <v>2263680</v>
      </c>
      <c r="L737" t="s">
        <v>16</v>
      </c>
      <c r="M737" t="s">
        <v>7</v>
      </c>
      <c r="N737" t="b">
        <v>0</v>
      </c>
    </row>
    <row r="738" spans="1:14" x14ac:dyDescent="0.3">
      <c r="A738" t="s">
        <v>21</v>
      </c>
      <c r="B738" t="s">
        <v>16</v>
      </c>
      <c r="E738" t="s">
        <v>147</v>
      </c>
      <c r="F738" t="s">
        <v>148</v>
      </c>
      <c r="G738">
        <v>2</v>
      </c>
      <c r="H738">
        <v>0.94320000000000004</v>
      </c>
      <c r="I738" t="s">
        <v>46</v>
      </c>
      <c r="J738">
        <v>800000</v>
      </c>
      <c r="K738">
        <v>754560</v>
      </c>
      <c r="L738" t="s">
        <v>16</v>
      </c>
      <c r="M738" t="s">
        <v>7</v>
      </c>
      <c r="N738" t="b">
        <v>0</v>
      </c>
    </row>
    <row r="739" spans="1:14" x14ac:dyDescent="0.3">
      <c r="A739" t="s">
        <v>21</v>
      </c>
      <c r="B739" t="s">
        <v>16</v>
      </c>
      <c r="E739" t="s">
        <v>149</v>
      </c>
      <c r="G739">
        <v>2</v>
      </c>
      <c r="I739" t="s">
        <v>61</v>
      </c>
      <c r="J739">
        <v>5000000</v>
      </c>
      <c r="K739">
        <v>10000000</v>
      </c>
      <c r="L739" t="s">
        <v>16</v>
      </c>
      <c r="M739" t="s">
        <v>7</v>
      </c>
      <c r="N739" t="b">
        <v>0</v>
      </c>
    </row>
    <row r="740" spans="1:14" x14ac:dyDescent="0.3">
      <c r="A740" t="s">
        <v>21</v>
      </c>
      <c r="B740" t="s">
        <v>16</v>
      </c>
      <c r="C740">
        <v>2</v>
      </c>
      <c r="E740" t="s">
        <v>150</v>
      </c>
      <c r="F740">
        <v>260</v>
      </c>
      <c r="G740">
        <v>2</v>
      </c>
      <c r="H740">
        <v>0.52</v>
      </c>
      <c r="I740" t="s">
        <v>151</v>
      </c>
      <c r="J740">
        <v>2000000</v>
      </c>
      <c r="K740">
        <v>1040000</v>
      </c>
      <c r="L740" t="s">
        <v>16</v>
      </c>
      <c r="M740" t="s">
        <v>7</v>
      </c>
      <c r="N740" t="b">
        <v>0</v>
      </c>
    </row>
    <row r="741" spans="1:14" x14ac:dyDescent="0.3">
      <c r="A741" t="s">
        <v>21</v>
      </c>
      <c r="B741" t="s">
        <v>16</v>
      </c>
      <c r="E741" t="s">
        <v>152</v>
      </c>
      <c r="G741">
        <v>10</v>
      </c>
      <c r="I741" t="s">
        <v>61</v>
      </c>
      <c r="J741">
        <v>200000</v>
      </c>
      <c r="K741">
        <v>2000000</v>
      </c>
      <c r="L741" t="s">
        <v>16</v>
      </c>
      <c r="M741" t="s">
        <v>7</v>
      </c>
      <c r="N741" t="b">
        <v>0</v>
      </c>
    </row>
    <row r="742" spans="1:14" x14ac:dyDescent="0.3">
      <c r="A742" t="s">
        <v>21</v>
      </c>
      <c r="B742" t="s">
        <v>16</v>
      </c>
      <c r="C742">
        <v>7</v>
      </c>
      <c r="E742" t="s">
        <v>153</v>
      </c>
      <c r="G742">
        <v>4</v>
      </c>
      <c r="H742">
        <v>4</v>
      </c>
      <c r="I742" t="s">
        <v>61</v>
      </c>
      <c r="J742">
        <v>300000</v>
      </c>
      <c r="K742">
        <v>1200000</v>
      </c>
      <c r="L742" t="s">
        <v>16</v>
      </c>
      <c r="M742" t="s">
        <v>7</v>
      </c>
      <c r="N742" t="b">
        <v>0</v>
      </c>
    </row>
    <row r="743" spans="1:14" x14ac:dyDescent="0.3">
      <c r="A743" t="s">
        <v>21</v>
      </c>
      <c r="B743" t="s">
        <v>16</v>
      </c>
      <c r="C743">
        <v>8</v>
      </c>
      <c r="E743" t="s">
        <v>134</v>
      </c>
      <c r="G743">
        <v>10</v>
      </c>
      <c r="H743">
        <v>10</v>
      </c>
      <c r="I743" t="s">
        <v>61</v>
      </c>
      <c r="J743">
        <v>30000</v>
      </c>
      <c r="K743">
        <v>300000</v>
      </c>
      <c r="L743" t="s">
        <v>16</v>
      </c>
      <c r="M743" t="s">
        <v>7</v>
      </c>
      <c r="N743" t="b">
        <v>0</v>
      </c>
    </row>
    <row r="744" spans="1:14" x14ac:dyDescent="0.3">
      <c r="A744" t="s">
        <v>21</v>
      </c>
      <c r="B744" t="s">
        <v>16</v>
      </c>
      <c r="C744">
        <v>9</v>
      </c>
      <c r="E744" t="s">
        <v>154</v>
      </c>
      <c r="G744">
        <v>4</v>
      </c>
      <c r="H744">
        <v>4</v>
      </c>
      <c r="I744" t="s">
        <v>61</v>
      </c>
      <c r="J744">
        <v>30000</v>
      </c>
      <c r="K744">
        <v>120000</v>
      </c>
      <c r="L744" t="s">
        <v>16</v>
      </c>
      <c r="M744" t="s">
        <v>7</v>
      </c>
      <c r="N744" t="b">
        <v>0</v>
      </c>
    </row>
    <row r="745" spans="1:14" x14ac:dyDescent="0.3">
      <c r="A745" t="s">
        <v>21</v>
      </c>
      <c r="B745" t="s">
        <v>16</v>
      </c>
      <c r="C745">
        <v>12</v>
      </c>
      <c r="E745" t="s">
        <v>120</v>
      </c>
      <c r="G745">
        <v>4</v>
      </c>
      <c r="H745">
        <v>4</v>
      </c>
      <c r="I745" t="s">
        <v>61</v>
      </c>
      <c r="J745">
        <v>30000</v>
      </c>
      <c r="K745">
        <v>120000</v>
      </c>
      <c r="L745" t="s">
        <v>16</v>
      </c>
      <c r="M745" t="s">
        <v>7</v>
      </c>
      <c r="N745" t="b">
        <v>0</v>
      </c>
    </row>
    <row r="746" spans="1:14" x14ac:dyDescent="0.3">
      <c r="A746" t="s">
        <v>21</v>
      </c>
      <c r="B746" t="s">
        <v>16</v>
      </c>
      <c r="C746">
        <v>13</v>
      </c>
      <c r="E746" t="s">
        <v>101</v>
      </c>
      <c r="H746">
        <v>1</v>
      </c>
      <c r="I746" t="s">
        <v>102</v>
      </c>
      <c r="J746">
        <v>13000000</v>
      </c>
      <c r="K746">
        <v>13000000</v>
      </c>
      <c r="L746" t="s">
        <v>16</v>
      </c>
      <c r="M746" t="s">
        <v>7</v>
      </c>
      <c r="N746" t="b">
        <v>0</v>
      </c>
    </row>
    <row r="747" spans="1:14" x14ac:dyDescent="0.3">
      <c r="A747" t="s">
        <v>21</v>
      </c>
      <c r="B747" t="s">
        <v>16</v>
      </c>
      <c r="C747">
        <v>14</v>
      </c>
      <c r="E747" t="s">
        <v>107</v>
      </c>
      <c r="H747">
        <v>0</v>
      </c>
      <c r="I747" t="s">
        <v>108</v>
      </c>
      <c r="K747">
        <v>0</v>
      </c>
      <c r="L747" t="s">
        <v>16</v>
      </c>
      <c r="M747" t="s">
        <v>7</v>
      </c>
      <c r="N747" t="b">
        <v>0</v>
      </c>
    </row>
    <row r="748" spans="1:14" x14ac:dyDescent="0.3">
      <c r="A748" t="s">
        <v>21</v>
      </c>
      <c r="B748" t="s">
        <v>16</v>
      </c>
      <c r="E748" t="s">
        <v>155</v>
      </c>
      <c r="F748">
        <v>300</v>
      </c>
      <c r="G748">
        <v>200</v>
      </c>
      <c r="H748">
        <v>3</v>
      </c>
      <c r="I748">
        <v>7.86</v>
      </c>
      <c r="K748">
        <v>1.4148000000000001</v>
      </c>
      <c r="L748" t="s">
        <v>16</v>
      </c>
      <c r="M748" t="s">
        <v>7</v>
      </c>
      <c r="N748" t="b">
        <v>0</v>
      </c>
    </row>
    <row r="749" spans="1:14" x14ac:dyDescent="0.3">
      <c r="A749" t="s">
        <v>21</v>
      </c>
      <c r="B749" t="s">
        <v>16</v>
      </c>
      <c r="E749" t="s">
        <v>156</v>
      </c>
      <c r="F749">
        <v>200</v>
      </c>
      <c r="G749">
        <v>100</v>
      </c>
      <c r="H749">
        <v>3</v>
      </c>
      <c r="I749">
        <v>7.86</v>
      </c>
      <c r="K749">
        <v>0.47160000000000002</v>
      </c>
      <c r="L749" t="s">
        <v>16</v>
      </c>
      <c r="M749" t="s">
        <v>7</v>
      </c>
      <c r="N749" t="b">
        <v>0</v>
      </c>
    </row>
    <row r="750" spans="1:14" x14ac:dyDescent="0.3">
      <c r="A750" t="s">
        <v>21</v>
      </c>
      <c r="B750" t="s">
        <v>17</v>
      </c>
      <c r="C750">
        <v>1</v>
      </c>
      <c r="D750" t="s">
        <v>75</v>
      </c>
      <c r="E750" t="s">
        <v>157</v>
      </c>
      <c r="G750">
        <v>1</v>
      </c>
      <c r="H750">
        <v>1.6485000000000001</v>
      </c>
      <c r="I750" t="s">
        <v>46</v>
      </c>
      <c r="J750">
        <v>700000</v>
      </c>
      <c r="K750">
        <v>1153950</v>
      </c>
      <c r="L750" t="s">
        <v>17</v>
      </c>
      <c r="M750" t="s">
        <v>7</v>
      </c>
      <c r="N750" t="b">
        <v>0</v>
      </c>
    </row>
    <row r="751" spans="1:14" x14ac:dyDescent="0.3">
      <c r="A751" t="s">
        <v>21</v>
      </c>
      <c r="B751" t="s">
        <v>17</v>
      </c>
      <c r="C751">
        <v>2</v>
      </c>
      <c r="D751" t="s">
        <v>75</v>
      </c>
      <c r="E751" t="s">
        <v>158</v>
      </c>
      <c r="G751">
        <v>2</v>
      </c>
      <c r="I751" t="s">
        <v>151</v>
      </c>
      <c r="J751">
        <v>1200000</v>
      </c>
      <c r="K751">
        <v>2400000</v>
      </c>
      <c r="L751" t="s">
        <v>17</v>
      </c>
      <c r="M751" t="s">
        <v>7</v>
      </c>
      <c r="N751" t="b">
        <v>0</v>
      </c>
    </row>
    <row r="752" spans="1:14" x14ac:dyDescent="0.3">
      <c r="A752" t="s">
        <v>21</v>
      </c>
      <c r="B752" t="s">
        <v>17</v>
      </c>
      <c r="C752">
        <v>3</v>
      </c>
      <c r="E752" t="s">
        <v>159</v>
      </c>
      <c r="G752">
        <v>2</v>
      </c>
      <c r="I752" t="s">
        <v>61</v>
      </c>
      <c r="J752">
        <v>100000</v>
      </c>
      <c r="K752">
        <v>200000</v>
      </c>
      <c r="L752" t="s">
        <v>17</v>
      </c>
      <c r="M752" t="s">
        <v>7</v>
      </c>
      <c r="N752" t="b">
        <v>0</v>
      </c>
    </row>
    <row r="753" spans="1:14" x14ac:dyDescent="0.3">
      <c r="A753" t="s">
        <v>21</v>
      </c>
      <c r="B753" t="s">
        <v>17</v>
      </c>
      <c r="C753">
        <v>4</v>
      </c>
      <c r="E753" t="s">
        <v>133</v>
      </c>
      <c r="G753">
        <v>6</v>
      </c>
      <c r="I753" t="s">
        <v>61</v>
      </c>
      <c r="J753">
        <v>10000</v>
      </c>
      <c r="K753">
        <v>60000</v>
      </c>
      <c r="L753" t="s">
        <v>17</v>
      </c>
      <c r="M753" t="s">
        <v>7</v>
      </c>
      <c r="N753" t="b">
        <v>0</v>
      </c>
    </row>
    <row r="754" spans="1:14" x14ac:dyDescent="0.3">
      <c r="A754" t="s">
        <v>21</v>
      </c>
      <c r="B754" t="s">
        <v>17</v>
      </c>
      <c r="C754">
        <v>5</v>
      </c>
      <c r="E754" t="s">
        <v>134</v>
      </c>
      <c r="G754">
        <v>6</v>
      </c>
      <c r="I754" t="s">
        <v>61</v>
      </c>
      <c r="J754">
        <v>5000</v>
      </c>
      <c r="K754">
        <v>30000</v>
      </c>
      <c r="L754" t="s">
        <v>17</v>
      </c>
      <c r="M754" t="s">
        <v>7</v>
      </c>
      <c r="N754" t="b">
        <v>0</v>
      </c>
    </row>
    <row r="755" spans="1:14" x14ac:dyDescent="0.3">
      <c r="A755" t="s">
        <v>21</v>
      </c>
      <c r="B755" t="s">
        <v>17</v>
      </c>
      <c r="C755">
        <v>6</v>
      </c>
      <c r="E755" t="s">
        <v>160</v>
      </c>
      <c r="G755">
        <v>2</v>
      </c>
      <c r="I755" t="s">
        <v>61</v>
      </c>
      <c r="J755">
        <v>500000</v>
      </c>
      <c r="K755">
        <v>1000000</v>
      </c>
      <c r="L755" t="s">
        <v>17</v>
      </c>
      <c r="M755" t="s">
        <v>7</v>
      </c>
      <c r="N755" t="b">
        <v>0</v>
      </c>
    </row>
    <row r="756" spans="1:14" x14ac:dyDescent="0.3">
      <c r="A756" t="s">
        <v>21</v>
      </c>
      <c r="B756" t="s">
        <v>17</v>
      </c>
      <c r="C756">
        <v>7</v>
      </c>
      <c r="E756" t="s">
        <v>161</v>
      </c>
      <c r="G756">
        <v>2</v>
      </c>
      <c r="I756" t="s">
        <v>61</v>
      </c>
      <c r="J756">
        <v>10000</v>
      </c>
      <c r="K756">
        <v>20000</v>
      </c>
      <c r="L756" t="s">
        <v>17</v>
      </c>
      <c r="M756" t="s">
        <v>7</v>
      </c>
      <c r="N756" t="b">
        <v>0</v>
      </c>
    </row>
    <row r="757" spans="1:14" x14ac:dyDescent="0.3">
      <c r="A757" t="s">
        <v>21</v>
      </c>
      <c r="B757" t="s">
        <v>17</v>
      </c>
      <c r="C757">
        <v>8</v>
      </c>
      <c r="E757" t="s">
        <v>142</v>
      </c>
      <c r="G757">
        <v>2</v>
      </c>
      <c r="I757" t="s">
        <v>61</v>
      </c>
      <c r="J757">
        <v>5000</v>
      </c>
      <c r="K757">
        <v>10000</v>
      </c>
      <c r="L757" t="s">
        <v>17</v>
      </c>
      <c r="M757" t="s">
        <v>7</v>
      </c>
      <c r="N757" t="b">
        <v>0</v>
      </c>
    </row>
    <row r="758" spans="1:14" x14ac:dyDescent="0.3">
      <c r="A758" t="s">
        <v>21</v>
      </c>
      <c r="B758" t="s">
        <v>17</v>
      </c>
      <c r="C758">
        <v>9</v>
      </c>
      <c r="E758" t="s">
        <v>114</v>
      </c>
      <c r="G758">
        <v>2</v>
      </c>
      <c r="I758" t="s">
        <v>61</v>
      </c>
      <c r="J758">
        <v>60000</v>
      </c>
      <c r="K758">
        <v>120000</v>
      </c>
      <c r="L758" t="s">
        <v>17</v>
      </c>
      <c r="M758" t="s">
        <v>7</v>
      </c>
      <c r="N758" t="b">
        <v>0</v>
      </c>
    </row>
    <row r="759" spans="1:14" x14ac:dyDescent="0.3">
      <c r="A759" t="s">
        <v>21</v>
      </c>
      <c r="B759" t="s">
        <v>17</v>
      </c>
      <c r="C759">
        <v>10</v>
      </c>
      <c r="E759" t="s">
        <v>101</v>
      </c>
      <c r="H759">
        <v>3</v>
      </c>
      <c r="I759" t="s">
        <v>102</v>
      </c>
      <c r="J759">
        <v>13000000</v>
      </c>
      <c r="K759">
        <v>39000000</v>
      </c>
      <c r="L759" t="s">
        <v>17</v>
      </c>
      <c r="M759" t="s">
        <v>7</v>
      </c>
      <c r="N759" t="b">
        <v>0</v>
      </c>
    </row>
    <row r="760" spans="1:14" x14ac:dyDescent="0.3">
      <c r="A760" t="s">
        <v>21</v>
      </c>
      <c r="B760" t="s">
        <v>17</v>
      </c>
      <c r="C760">
        <v>11</v>
      </c>
      <c r="E760" t="s">
        <v>107</v>
      </c>
      <c r="H760">
        <v>0</v>
      </c>
      <c r="I760" t="s">
        <v>108</v>
      </c>
      <c r="K760">
        <v>0</v>
      </c>
      <c r="L760" t="s">
        <v>17</v>
      </c>
      <c r="M760" t="s">
        <v>7</v>
      </c>
      <c r="N760" t="b">
        <v>0</v>
      </c>
    </row>
    <row r="761" spans="1:14" x14ac:dyDescent="0.3">
      <c r="A761" t="s">
        <v>21</v>
      </c>
      <c r="B761" t="s">
        <v>18</v>
      </c>
      <c r="C761">
        <v>1</v>
      </c>
      <c r="D761" t="s">
        <v>144</v>
      </c>
      <c r="E761" t="s">
        <v>145</v>
      </c>
      <c r="F761" t="s">
        <v>162</v>
      </c>
      <c r="G761">
        <v>1</v>
      </c>
      <c r="H761">
        <v>0.58950000000000002</v>
      </c>
      <c r="I761" t="s">
        <v>46</v>
      </c>
      <c r="J761">
        <v>800000</v>
      </c>
      <c r="K761">
        <v>471600</v>
      </c>
      <c r="L761" t="s">
        <v>18</v>
      </c>
      <c r="M761" t="s">
        <v>7</v>
      </c>
      <c r="N761" t="b">
        <v>0</v>
      </c>
    </row>
    <row r="762" spans="1:14" x14ac:dyDescent="0.3">
      <c r="A762" t="s">
        <v>21</v>
      </c>
      <c r="B762" t="s">
        <v>18</v>
      </c>
      <c r="C762">
        <v>2</v>
      </c>
      <c r="D762" t="s">
        <v>73</v>
      </c>
      <c r="E762" t="s">
        <v>163</v>
      </c>
      <c r="F762" t="s">
        <v>164</v>
      </c>
      <c r="G762">
        <v>2</v>
      </c>
      <c r="H762">
        <v>1.2631449600000002</v>
      </c>
      <c r="I762" t="s">
        <v>46</v>
      </c>
      <c r="J762">
        <v>1500000</v>
      </c>
      <c r="K762">
        <v>3000000</v>
      </c>
      <c r="L762" t="s">
        <v>18</v>
      </c>
      <c r="M762" t="s">
        <v>7</v>
      </c>
      <c r="N762" t="b">
        <v>0</v>
      </c>
    </row>
    <row r="763" spans="1:14" x14ac:dyDescent="0.3">
      <c r="A763" t="s">
        <v>21</v>
      </c>
      <c r="B763" t="s">
        <v>18</v>
      </c>
      <c r="C763">
        <v>7</v>
      </c>
      <c r="E763" t="s">
        <v>66</v>
      </c>
      <c r="G763">
        <v>2</v>
      </c>
      <c r="H763">
        <v>2</v>
      </c>
      <c r="I763" t="s">
        <v>61</v>
      </c>
      <c r="J763">
        <v>50000</v>
      </c>
      <c r="K763">
        <v>100000</v>
      </c>
      <c r="L763" t="s">
        <v>18</v>
      </c>
      <c r="M763" t="s">
        <v>7</v>
      </c>
      <c r="N763" t="b">
        <v>0</v>
      </c>
    </row>
    <row r="764" spans="1:14" x14ac:dyDescent="0.3">
      <c r="A764" t="s">
        <v>21</v>
      </c>
      <c r="B764" t="s">
        <v>18</v>
      </c>
      <c r="C764">
        <v>8</v>
      </c>
      <c r="E764" t="s">
        <v>141</v>
      </c>
      <c r="G764">
        <v>4</v>
      </c>
      <c r="H764">
        <v>4</v>
      </c>
      <c r="I764" t="s">
        <v>61</v>
      </c>
      <c r="J764">
        <v>30000</v>
      </c>
      <c r="K764">
        <v>120000</v>
      </c>
      <c r="L764" t="s">
        <v>18</v>
      </c>
      <c r="M764" t="s">
        <v>7</v>
      </c>
      <c r="N764" t="b">
        <v>0</v>
      </c>
    </row>
    <row r="765" spans="1:14" x14ac:dyDescent="0.3">
      <c r="A765" t="s">
        <v>21</v>
      </c>
      <c r="B765" t="s">
        <v>18</v>
      </c>
      <c r="C765">
        <v>9</v>
      </c>
      <c r="E765" t="s">
        <v>165</v>
      </c>
      <c r="G765">
        <v>1</v>
      </c>
      <c r="H765">
        <v>1</v>
      </c>
      <c r="I765" t="s">
        <v>61</v>
      </c>
      <c r="J765">
        <v>30000</v>
      </c>
      <c r="K765">
        <v>30000</v>
      </c>
      <c r="L765" t="s">
        <v>18</v>
      </c>
      <c r="M765" t="s">
        <v>7</v>
      </c>
      <c r="N765" t="b">
        <v>0</v>
      </c>
    </row>
    <row r="766" spans="1:14" x14ac:dyDescent="0.3">
      <c r="A766" t="s">
        <v>21</v>
      </c>
      <c r="B766" t="s">
        <v>18</v>
      </c>
      <c r="C766">
        <v>13</v>
      </c>
      <c r="E766" t="s">
        <v>101</v>
      </c>
      <c r="H766">
        <v>1</v>
      </c>
      <c r="I766" t="s">
        <v>102</v>
      </c>
      <c r="J766">
        <v>13000000</v>
      </c>
      <c r="K766">
        <v>13000000</v>
      </c>
      <c r="L766" t="s">
        <v>18</v>
      </c>
      <c r="M766" t="s">
        <v>7</v>
      </c>
      <c r="N766" t="b">
        <v>0</v>
      </c>
    </row>
    <row r="767" spans="1:14" x14ac:dyDescent="0.3">
      <c r="A767" t="s">
        <v>21</v>
      </c>
      <c r="B767" t="s">
        <v>18</v>
      </c>
      <c r="C767">
        <v>14</v>
      </c>
      <c r="E767" t="s">
        <v>107</v>
      </c>
      <c r="H767">
        <v>0</v>
      </c>
      <c r="I767" t="s">
        <v>108</v>
      </c>
      <c r="K767">
        <v>0</v>
      </c>
      <c r="L767" t="s">
        <v>18</v>
      </c>
      <c r="M767" t="s">
        <v>7</v>
      </c>
      <c r="N767" t="b">
        <v>0</v>
      </c>
    </row>
    <row r="768" spans="1:14" x14ac:dyDescent="0.3">
      <c r="A768" t="s">
        <v>21</v>
      </c>
      <c r="B768" t="s">
        <v>18</v>
      </c>
      <c r="E768" t="s">
        <v>155</v>
      </c>
      <c r="F768">
        <v>300</v>
      </c>
      <c r="G768">
        <v>100</v>
      </c>
      <c r="H768">
        <v>2.5</v>
      </c>
      <c r="I768">
        <v>7.86</v>
      </c>
      <c r="K768">
        <v>0.58950000000000002</v>
      </c>
      <c r="L768" t="s">
        <v>18</v>
      </c>
      <c r="M768" t="s">
        <v>7</v>
      </c>
      <c r="N768" t="b">
        <v>0</v>
      </c>
    </row>
    <row r="769" spans="1:14" x14ac:dyDescent="0.3">
      <c r="A769" t="s">
        <v>25</v>
      </c>
      <c r="B769" t="s">
        <v>26</v>
      </c>
      <c r="C769">
        <v>1</v>
      </c>
      <c r="D769" t="s">
        <v>44</v>
      </c>
      <c r="E769" t="s">
        <v>45</v>
      </c>
      <c r="F769">
        <v>2735</v>
      </c>
      <c r="G769">
        <v>2</v>
      </c>
      <c r="H769">
        <v>7.6580000000000004</v>
      </c>
      <c r="I769" t="s">
        <v>46</v>
      </c>
      <c r="J769">
        <v>8500000</v>
      </c>
      <c r="K769">
        <v>65092999.999999993</v>
      </c>
      <c r="L769" t="s">
        <v>26</v>
      </c>
      <c r="M769" t="s">
        <v>7</v>
      </c>
      <c r="N769" t="b">
        <v>0</v>
      </c>
    </row>
    <row r="770" spans="1:14" x14ac:dyDescent="0.3">
      <c r="A770" t="s">
        <v>25</v>
      </c>
      <c r="B770" t="s">
        <v>26</v>
      </c>
      <c r="C770">
        <v>2</v>
      </c>
      <c r="E770" t="s">
        <v>47</v>
      </c>
      <c r="F770">
        <v>2735</v>
      </c>
      <c r="G770">
        <v>0</v>
      </c>
      <c r="H770">
        <v>0</v>
      </c>
      <c r="I770" t="s">
        <v>46</v>
      </c>
      <c r="J770">
        <v>8500000</v>
      </c>
      <c r="K770">
        <v>0</v>
      </c>
      <c r="L770" t="s">
        <v>26</v>
      </c>
      <c r="M770" t="s">
        <v>7</v>
      </c>
      <c r="N770" t="b">
        <v>0</v>
      </c>
    </row>
    <row r="771" spans="1:14" x14ac:dyDescent="0.3">
      <c r="A771" t="s">
        <v>25</v>
      </c>
      <c r="B771" t="s">
        <v>26</v>
      </c>
      <c r="C771">
        <v>3</v>
      </c>
      <c r="E771" t="s">
        <v>170</v>
      </c>
      <c r="F771">
        <v>2703</v>
      </c>
      <c r="G771">
        <v>2</v>
      </c>
      <c r="H771">
        <v>17.8398</v>
      </c>
      <c r="I771" t="s">
        <v>46</v>
      </c>
      <c r="J771">
        <v>8500000</v>
      </c>
      <c r="K771">
        <v>151638300</v>
      </c>
      <c r="L771" t="s">
        <v>26</v>
      </c>
      <c r="M771" t="s">
        <v>7</v>
      </c>
      <c r="N771" t="b">
        <v>0</v>
      </c>
    </row>
    <row r="772" spans="1:14" x14ac:dyDescent="0.3">
      <c r="A772" t="s">
        <v>25</v>
      </c>
      <c r="B772" t="s">
        <v>26</v>
      </c>
      <c r="C772">
        <v>4</v>
      </c>
      <c r="E772" t="s">
        <v>49</v>
      </c>
      <c r="F772">
        <v>120</v>
      </c>
      <c r="G772">
        <v>4</v>
      </c>
      <c r="H772">
        <v>0.48</v>
      </c>
      <c r="I772" t="s">
        <v>46</v>
      </c>
      <c r="J772">
        <v>8500000</v>
      </c>
      <c r="K772">
        <v>4080000</v>
      </c>
      <c r="L772" t="s">
        <v>26</v>
      </c>
      <c r="M772" t="s">
        <v>7</v>
      </c>
      <c r="N772" t="b">
        <v>0</v>
      </c>
    </row>
    <row r="773" spans="1:14" x14ac:dyDescent="0.3">
      <c r="A773" t="s">
        <v>25</v>
      </c>
      <c r="B773" t="s">
        <v>26</v>
      </c>
      <c r="C773">
        <v>5</v>
      </c>
      <c r="E773" t="s">
        <v>50</v>
      </c>
      <c r="F773">
        <v>180</v>
      </c>
      <c r="G773">
        <v>4</v>
      </c>
      <c r="H773">
        <v>1.7087760000000001</v>
      </c>
      <c r="I773" t="s">
        <v>46</v>
      </c>
      <c r="J773">
        <v>8500000</v>
      </c>
      <c r="K773">
        <v>14524596</v>
      </c>
      <c r="L773" t="s">
        <v>26</v>
      </c>
      <c r="M773" t="s">
        <v>7</v>
      </c>
      <c r="N773" t="b">
        <v>0</v>
      </c>
    </row>
    <row r="774" spans="1:14" x14ac:dyDescent="0.3">
      <c r="A774" t="s">
        <v>25</v>
      </c>
      <c r="B774" t="s">
        <v>26</v>
      </c>
      <c r="C774">
        <v>6</v>
      </c>
      <c r="E774" t="s">
        <v>51</v>
      </c>
      <c r="F774">
        <v>2970</v>
      </c>
      <c r="G774">
        <v>4</v>
      </c>
      <c r="H774">
        <v>44.264880000000019</v>
      </c>
      <c r="I774" t="s">
        <v>46</v>
      </c>
      <c r="J774">
        <v>8500000</v>
      </c>
      <c r="K774">
        <v>376251480.00000018</v>
      </c>
      <c r="L774" t="s">
        <v>26</v>
      </c>
      <c r="M774" t="s">
        <v>7</v>
      </c>
      <c r="N774" t="b">
        <v>0</v>
      </c>
    </row>
    <row r="775" spans="1:14" x14ac:dyDescent="0.3">
      <c r="A775" t="s">
        <v>25</v>
      </c>
      <c r="B775" t="s">
        <v>26</v>
      </c>
      <c r="C775">
        <v>7</v>
      </c>
      <c r="D775" t="s">
        <v>52</v>
      </c>
      <c r="E775" t="s">
        <v>53</v>
      </c>
      <c r="F775">
        <v>0.13</v>
      </c>
      <c r="G775">
        <v>5.8449600000000004</v>
      </c>
      <c r="H775">
        <v>5.8449600000000004</v>
      </c>
      <c r="I775" t="s">
        <v>54</v>
      </c>
      <c r="J775">
        <v>4275000</v>
      </c>
      <c r="K775">
        <v>24987204</v>
      </c>
      <c r="L775" t="s">
        <v>26</v>
      </c>
      <c r="M775" t="s">
        <v>7</v>
      </c>
      <c r="N775" t="b">
        <v>0</v>
      </c>
    </row>
    <row r="776" spans="1:14" x14ac:dyDescent="0.3">
      <c r="A776" t="s">
        <v>25</v>
      </c>
      <c r="B776" t="s">
        <v>26</v>
      </c>
      <c r="C776">
        <v>8</v>
      </c>
      <c r="E776" t="s">
        <v>55</v>
      </c>
      <c r="F776">
        <v>0.35</v>
      </c>
      <c r="G776">
        <v>2.5717824</v>
      </c>
      <c r="H776">
        <v>2.5717824</v>
      </c>
      <c r="I776" t="s">
        <v>46</v>
      </c>
      <c r="J776">
        <v>35750000</v>
      </c>
      <c r="K776">
        <v>91941220.799999997</v>
      </c>
      <c r="L776" t="s">
        <v>26</v>
      </c>
      <c r="M776" t="s">
        <v>7</v>
      </c>
      <c r="N776" t="b">
        <v>0</v>
      </c>
    </row>
    <row r="777" spans="1:14" x14ac:dyDescent="0.3">
      <c r="A777" t="s">
        <v>25</v>
      </c>
      <c r="B777" t="s">
        <v>26</v>
      </c>
      <c r="C777">
        <v>9</v>
      </c>
      <c r="E777" t="s">
        <v>55</v>
      </c>
      <c r="F777">
        <v>0.2</v>
      </c>
      <c r="G777">
        <v>0</v>
      </c>
      <c r="H777">
        <v>0</v>
      </c>
      <c r="I777" t="s">
        <v>46</v>
      </c>
      <c r="J777">
        <v>45760000</v>
      </c>
      <c r="K777">
        <v>0</v>
      </c>
      <c r="L777" t="s">
        <v>26</v>
      </c>
      <c r="M777" t="s">
        <v>7</v>
      </c>
      <c r="N777" t="b">
        <v>0</v>
      </c>
    </row>
    <row r="778" spans="1:14" x14ac:dyDescent="0.3">
      <c r="A778" t="s">
        <v>25</v>
      </c>
      <c r="B778" t="s">
        <v>26</v>
      </c>
      <c r="C778">
        <v>10</v>
      </c>
      <c r="D778" t="s">
        <v>56</v>
      </c>
      <c r="E778" t="s">
        <v>57</v>
      </c>
      <c r="G778">
        <v>25.497800000000002</v>
      </c>
      <c r="H778">
        <v>25.497800000000002</v>
      </c>
      <c r="I778" t="s">
        <v>46</v>
      </c>
      <c r="J778">
        <v>1430000</v>
      </c>
      <c r="K778">
        <v>36461854</v>
      </c>
      <c r="L778" t="s">
        <v>26</v>
      </c>
      <c r="M778" t="s">
        <v>7</v>
      </c>
      <c r="N778" t="b">
        <v>0</v>
      </c>
    </row>
    <row r="779" spans="1:14" x14ac:dyDescent="0.3">
      <c r="A779" t="s">
        <v>25</v>
      </c>
      <c r="B779" t="s">
        <v>26</v>
      </c>
      <c r="C779">
        <v>11</v>
      </c>
      <c r="D779" t="s">
        <v>58</v>
      </c>
      <c r="E779" t="s">
        <v>59</v>
      </c>
      <c r="G779">
        <v>8</v>
      </c>
      <c r="H779">
        <v>8</v>
      </c>
      <c r="I779" t="s">
        <v>46</v>
      </c>
      <c r="J779">
        <v>3000000</v>
      </c>
      <c r="K779">
        <v>24000000</v>
      </c>
      <c r="L779" t="s">
        <v>26</v>
      </c>
      <c r="M779" t="s">
        <v>7</v>
      </c>
      <c r="N779" t="b">
        <v>0</v>
      </c>
    </row>
    <row r="780" spans="1:14" x14ac:dyDescent="0.3">
      <c r="A780" t="s">
        <v>25</v>
      </c>
      <c r="B780" t="s">
        <v>26</v>
      </c>
      <c r="C780">
        <v>12</v>
      </c>
      <c r="E780" t="s">
        <v>60</v>
      </c>
      <c r="G780">
        <v>44.264880000000019</v>
      </c>
      <c r="H780">
        <v>44.264880000000019</v>
      </c>
      <c r="I780" t="s">
        <v>61</v>
      </c>
      <c r="J780">
        <v>3600000</v>
      </c>
      <c r="K780">
        <v>159353568.00000003</v>
      </c>
      <c r="L780" t="s">
        <v>26</v>
      </c>
      <c r="M780" t="s">
        <v>7</v>
      </c>
      <c r="N780" t="b">
        <v>0</v>
      </c>
    </row>
    <row r="781" spans="1:14" x14ac:dyDescent="0.3">
      <c r="A781" t="s">
        <v>25</v>
      </c>
      <c r="B781" t="s">
        <v>26</v>
      </c>
      <c r="C781">
        <v>13</v>
      </c>
      <c r="D781" t="s">
        <v>62</v>
      </c>
      <c r="E781" t="s">
        <v>63</v>
      </c>
      <c r="G781">
        <v>11.88</v>
      </c>
      <c r="H781">
        <v>11.88</v>
      </c>
      <c r="I781" t="s">
        <v>61</v>
      </c>
      <c r="J781">
        <v>3600000</v>
      </c>
      <c r="K781">
        <v>42768000</v>
      </c>
      <c r="L781" t="s">
        <v>26</v>
      </c>
      <c r="M781" t="s">
        <v>7</v>
      </c>
      <c r="N781" t="b">
        <v>0</v>
      </c>
    </row>
    <row r="782" spans="1:14" x14ac:dyDescent="0.3">
      <c r="A782" t="s">
        <v>25</v>
      </c>
      <c r="B782" t="s">
        <v>26</v>
      </c>
      <c r="C782">
        <v>14</v>
      </c>
      <c r="E782" t="s">
        <v>64</v>
      </c>
      <c r="G782">
        <v>0.1</v>
      </c>
      <c r="H782">
        <v>0.1</v>
      </c>
      <c r="I782" t="s">
        <v>61</v>
      </c>
      <c r="J782">
        <v>5500000</v>
      </c>
      <c r="K782">
        <v>550000</v>
      </c>
      <c r="L782" t="s">
        <v>26</v>
      </c>
      <c r="M782" t="s">
        <v>7</v>
      </c>
      <c r="N782" t="b">
        <v>0</v>
      </c>
    </row>
    <row r="783" spans="1:14" x14ac:dyDescent="0.3">
      <c r="A783" t="s">
        <v>25</v>
      </c>
      <c r="B783" t="s">
        <v>26</v>
      </c>
      <c r="C783">
        <v>15</v>
      </c>
      <c r="D783" t="s">
        <v>65</v>
      </c>
      <c r="E783" t="s">
        <v>66</v>
      </c>
      <c r="G783" t="s">
        <v>67</v>
      </c>
      <c r="H783" t="s">
        <v>67</v>
      </c>
      <c r="I783" t="s">
        <v>61</v>
      </c>
      <c r="J783">
        <v>200000</v>
      </c>
      <c r="K783">
        <v>16000000</v>
      </c>
      <c r="L783" t="s">
        <v>26</v>
      </c>
      <c r="M783" t="s">
        <v>7</v>
      </c>
      <c r="N783" t="b">
        <v>0</v>
      </c>
    </row>
    <row r="784" spans="1:14" x14ac:dyDescent="0.3">
      <c r="A784" t="s">
        <v>25</v>
      </c>
      <c r="B784" t="s">
        <v>26</v>
      </c>
      <c r="C784">
        <v>16</v>
      </c>
      <c r="E784" t="s">
        <v>68</v>
      </c>
      <c r="G784">
        <v>8</v>
      </c>
      <c r="H784">
        <v>8</v>
      </c>
      <c r="I784" t="s">
        <v>61</v>
      </c>
      <c r="J784">
        <v>200000</v>
      </c>
      <c r="K784">
        <v>1600000</v>
      </c>
      <c r="L784" t="s">
        <v>26</v>
      </c>
      <c r="M784" t="s">
        <v>7</v>
      </c>
      <c r="N784" t="b">
        <v>0</v>
      </c>
    </row>
    <row r="785" spans="1:14" x14ac:dyDescent="0.3">
      <c r="A785" t="s">
        <v>25</v>
      </c>
      <c r="B785" t="s">
        <v>26</v>
      </c>
      <c r="C785">
        <v>17</v>
      </c>
      <c r="E785" t="s">
        <v>69</v>
      </c>
      <c r="G785">
        <v>88</v>
      </c>
      <c r="H785">
        <v>88</v>
      </c>
      <c r="I785" t="s">
        <v>61</v>
      </c>
      <c r="J785">
        <v>200000</v>
      </c>
      <c r="K785">
        <v>17600000</v>
      </c>
      <c r="L785" t="s">
        <v>26</v>
      </c>
      <c r="M785" t="s">
        <v>7</v>
      </c>
      <c r="N785" t="b">
        <v>0</v>
      </c>
    </row>
    <row r="786" spans="1:14" x14ac:dyDescent="0.3">
      <c r="A786" t="s">
        <v>25</v>
      </c>
      <c r="B786" t="s">
        <v>26</v>
      </c>
      <c r="C786">
        <v>18</v>
      </c>
      <c r="E786" t="s">
        <v>70</v>
      </c>
      <c r="G786">
        <v>16</v>
      </c>
      <c r="H786">
        <v>16</v>
      </c>
      <c r="I786" t="s">
        <v>61</v>
      </c>
      <c r="J786">
        <v>400000</v>
      </c>
      <c r="K786">
        <v>6400000</v>
      </c>
      <c r="L786" t="s">
        <v>26</v>
      </c>
      <c r="M786" t="s">
        <v>7</v>
      </c>
      <c r="N786" t="b">
        <v>0</v>
      </c>
    </row>
    <row r="787" spans="1:14" x14ac:dyDescent="0.3">
      <c r="A787" t="s">
        <v>25</v>
      </c>
      <c r="B787" t="s">
        <v>26</v>
      </c>
      <c r="C787">
        <v>19</v>
      </c>
      <c r="E787" t="s">
        <v>71</v>
      </c>
      <c r="G787">
        <v>16</v>
      </c>
      <c r="H787">
        <v>16</v>
      </c>
      <c r="I787" t="s">
        <v>61</v>
      </c>
      <c r="J787">
        <v>120000</v>
      </c>
      <c r="K787">
        <v>1920000</v>
      </c>
      <c r="L787" t="s">
        <v>26</v>
      </c>
      <c r="M787" t="s">
        <v>7</v>
      </c>
      <c r="N787" t="b">
        <v>0</v>
      </c>
    </row>
    <row r="788" spans="1:14" x14ac:dyDescent="0.3">
      <c r="A788" t="s">
        <v>25</v>
      </c>
      <c r="B788" t="s">
        <v>26</v>
      </c>
      <c r="C788">
        <v>20</v>
      </c>
      <c r="E788" t="s">
        <v>72</v>
      </c>
      <c r="G788">
        <v>24</v>
      </c>
      <c r="H788">
        <v>24</v>
      </c>
      <c r="I788" t="s">
        <v>61</v>
      </c>
      <c r="J788">
        <v>400000</v>
      </c>
      <c r="K788">
        <v>9600000</v>
      </c>
      <c r="L788" t="s">
        <v>26</v>
      </c>
      <c r="M788" t="s">
        <v>7</v>
      </c>
      <c r="N788" t="b">
        <v>0</v>
      </c>
    </row>
    <row r="789" spans="1:14" x14ac:dyDescent="0.3">
      <c r="A789" t="s">
        <v>25</v>
      </c>
      <c r="B789" t="s">
        <v>26</v>
      </c>
      <c r="C789">
        <v>21</v>
      </c>
      <c r="D789" t="s">
        <v>73</v>
      </c>
      <c r="E789" t="s">
        <v>74</v>
      </c>
      <c r="F789">
        <v>132</v>
      </c>
      <c r="G789">
        <v>8</v>
      </c>
      <c r="H789">
        <v>6.5286144000000004</v>
      </c>
      <c r="I789" t="s">
        <v>46</v>
      </c>
      <c r="J789">
        <v>35000000</v>
      </c>
      <c r="K789">
        <v>228501504</v>
      </c>
      <c r="L789" t="s">
        <v>26</v>
      </c>
      <c r="M789" t="s">
        <v>7</v>
      </c>
      <c r="N789" t="b">
        <v>0</v>
      </c>
    </row>
    <row r="790" spans="1:14" x14ac:dyDescent="0.3">
      <c r="A790" t="s">
        <v>25</v>
      </c>
      <c r="B790" t="s">
        <v>26</v>
      </c>
      <c r="C790">
        <v>22</v>
      </c>
      <c r="D790" t="s">
        <v>75</v>
      </c>
      <c r="E790" t="s">
        <v>76</v>
      </c>
      <c r="F790" t="s">
        <v>77</v>
      </c>
      <c r="G790">
        <v>2</v>
      </c>
      <c r="H790">
        <v>2</v>
      </c>
      <c r="I790" t="s">
        <v>46</v>
      </c>
      <c r="J790">
        <v>5200000</v>
      </c>
      <c r="K790">
        <v>10400000</v>
      </c>
      <c r="L790" t="s">
        <v>26</v>
      </c>
      <c r="M790" t="s">
        <v>7</v>
      </c>
      <c r="N790" t="b">
        <v>0</v>
      </c>
    </row>
    <row r="791" spans="1:14" x14ac:dyDescent="0.3">
      <c r="A791" t="s">
        <v>25</v>
      </c>
      <c r="B791" t="s">
        <v>26</v>
      </c>
      <c r="C791">
        <v>23</v>
      </c>
      <c r="E791" t="s">
        <v>78</v>
      </c>
      <c r="F791" t="s">
        <v>79</v>
      </c>
      <c r="G791">
        <v>2</v>
      </c>
      <c r="H791">
        <v>1.2</v>
      </c>
      <c r="I791" t="s">
        <v>46</v>
      </c>
      <c r="J791">
        <v>5200000</v>
      </c>
      <c r="K791">
        <v>6240000</v>
      </c>
      <c r="L791" t="s">
        <v>26</v>
      </c>
      <c r="M791" t="s">
        <v>7</v>
      </c>
      <c r="N791" t="b">
        <v>0</v>
      </c>
    </row>
    <row r="792" spans="1:14" x14ac:dyDescent="0.3">
      <c r="A792" t="s">
        <v>25</v>
      </c>
      <c r="B792" t="s">
        <v>26</v>
      </c>
      <c r="C792">
        <v>24</v>
      </c>
      <c r="D792" t="s">
        <v>80</v>
      </c>
      <c r="E792" t="s">
        <v>81</v>
      </c>
      <c r="F792" t="s">
        <v>171</v>
      </c>
      <c r="G792">
        <v>2</v>
      </c>
      <c r="H792">
        <v>1.0351689999999998</v>
      </c>
      <c r="I792" t="s">
        <v>46</v>
      </c>
      <c r="J792">
        <v>8500000</v>
      </c>
      <c r="K792">
        <v>8798936.4999999981</v>
      </c>
      <c r="L792" t="s">
        <v>26</v>
      </c>
      <c r="M792" t="s">
        <v>7</v>
      </c>
      <c r="N792" t="b">
        <v>0</v>
      </c>
    </row>
    <row r="793" spans="1:14" x14ac:dyDescent="0.3">
      <c r="A793" t="s">
        <v>25</v>
      </c>
      <c r="B793" t="s">
        <v>26</v>
      </c>
      <c r="C793">
        <v>25</v>
      </c>
      <c r="D793" t="s">
        <v>83</v>
      </c>
      <c r="E793" t="s">
        <v>84</v>
      </c>
      <c r="F793">
        <v>0.18</v>
      </c>
      <c r="G793" t="s">
        <v>85</v>
      </c>
      <c r="H793" t="s">
        <v>85</v>
      </c>
      <c r="I793" t="s">
        <v>61</v>
      </c>
      <c r="J793">
        <v>1300000</v>
      </c>
      <c r="K793">
        <v>2600000</v>
      </c>
      <c r="L793" t="s">
        <v>26</v>
      </c>
      <c r="M793" t="s">
        <v>7</v>
      </c>
      <c r="N793" t="b">
        <v>0</v>
      </c>
    </row>
    <row r="794" spans="1:14" x14ac:dyDescent="0.3">
      <c r="A794" t="s">
        <v>25</v>
      </c>
      <c r="B794" t="s">
        <v>26</v>
      </c>
      <c r="C794">
        <v>26</v>
      </c>
      <c r="E794" t="s">
        <v>86</v>
      </c>
      <c r="F794">
        <v>0.2</v>
      </c>
      <c r="G794" t="s">
        <v>87</v>
      </c>
      <c r="H794" t="s">
        <v>87</v>
      </c>
      <c r="I794" t="s">
        <v>61</v>
      </c>
      <c r="J794">
        <v>1300000</v>
      </c>
      <c r="K794">
        <v>3900000</v>
      </c>
      <c r="L794" t="s">
        <v>26</v>
      </c>
      <c r="M794" t="s">
        <v>7</v>
      </c>
      <c r="N794" t="b">
        <v>0</v>
      </c>
    </row>
    <row r="795" spans="1:14" x14ac:dyDescent="0.3">
      <c r="A795" t="s">
        <v>25</v>
      </c>
      <c r="B795" t="s">
        <v>26</v>
      </c>
      <c r="C795">
        <v>27</v>
      </c>
      <c r="D795" t="s">
        <v>88</v>
      </c>
      <c r="E795" t="s">
        <v>89</v>
      </c>
      <c r="F795" t="s">
        <v>90</v>
      </c>
      <c r="G795">
        <v>1</v>
      </c>
      <c r="H795">
        <v>1</v>
      </c>
      <c r="I795" t="s">
        <v>61</v>
      </c>
      <c r="J795">
        <v>100000</v>
      </c>
      <c r="K795">
        <v>100000</v>
      </c>
      <c r="L795" t="s">
        <v>26</v>
      </c>
      <c r="M795" t="s">
        <v>7</v>
      </c>
      <c r="N795" t="b">
        <v>0</v>
      </c>
    </row>
    <row r="796" spans="1:14" x14ac:dyDescent="0.3">
      <c r="A796" t="s">
        <v>25</v>
      </c>
      <c r="B796" t="s">
        <v>26</v>
      </c>
      <c r="C796">
        <v>28</v>
      </c>
      <c r="D796" t="s">
        <v>65</v>
      </c>
      <c r="E796" t="s">
        <v>91</v>
      </c>
      <c r="G796">
        <v>2</v>
      </c>
      <c r="H796">
        <v>2</v>
      </c>
      <c r="I796" t="s">
        <v>61</v>
      </c>
      <c r="J796">
        <v>2400000</v>
      </c>
      <c r="K796">
        <v>4800000</v>
      </c>
      <c r="L796" t="s">
        <v>26</v>
      </c>
      <c r="M796" t="s">
        <v>7</v>
      </c>
      <c r="N796" t="b">
        <v>0</v>
      </c>
    </row>
    <row r="797" spans="1:14" x14ac:dyDescent="0.3">
      <c r="A797" t="s">
        <v>25</v>
      </c>
      <c r="B797" t="s">
        <v>26</v>
      </c>
      <c r="C797">
        <v>29</v>
      </c>
      <c r="E797" t="s">
        <v>92</v>
      </c>
      <c r="G797">
        <v>2</v>
      </c>
      <c r="H797">
        <v>2</v>
      </c>
      <c r="I797" t="s">
        <v>61</v>
      </c>
      <c r="J797">
        <v>2400000</v>
      </c>
      <c r="K797">
        <v>4800000</v>
      </c>
      <c r="L797" t="s">
        <v>26</v>
      </c>
      <c r="M797" t="s">
        <v>7</v>
      </c>
      <c r="N797" t="b">
        <v>0</v>
      </c>
    </row>
    <row r="798" spans="1:14" x14ac:dyDescent="0.3">
      <c r="A798" t="s">
        <v>25</v>
      </c>
      <c r="B798" t="s">
        <v>26</v>
      </c>
      <c r="C798">
        <v>30</v>
      </c>
      <c r="E798" t="s">
        <v>93</v>
      </c>
      <c r="G798">
        <v>2</v>
      </c>
      <c r="H798">
        <v>2</v>
      </c>
      <c r="I798" t="s">
        <v>61</v>
      </c>
      <c r="J798">
        <v>3000000</v>
      </c>
      <c r="K798">
        <v>6000000</v>
      </c>
      <c r="L798" t="s">
        <v>26</v>
      </c>
      <c r="M798" t="s">
        <v>7</v>
      </c>
      <c r="N798" t="b">
        <v>0</v>
      </c>
    </row>
    <row r="799" spans="1:14" x14ac:dyDescent="0.3">
      <c r="A799" t="s">
        <v>25</v>
      </c>
      <c r="B799" t="s">
        <v>26</v>
      </c>
      <c r="C799">
        <v>31</v>
      </c>
      <c r="D799" t="s">
        <v>94</v>
      </c>
      <c r="E799" t="s">
        <v>95</v>
      </c>
      <c r="G799">
        <v>2</v>
      </c>
      <c r="H799">
        <v>2</v>
      </c>
      <c r="I799" t="s">
        <v>61</v>
      </c>
      <c r="J799">
        <v>1300000</v>
      </c>
      <c r="K799">
        <v>2600000</v>
      </c>
      <c r="L799" t="s">
        <v>26</v>
      </c>
      <c r="M799" t="s">
        <v>7</v>
      </c>
      <c r="N799" t="b">
        <v>0</v>
      </c>
    </row>
    <row r="800" spans="1:14" x14ac:dyDescent="0.3">
      <c r="A800" t="s">
        <v>25</v>
      </c>
      <c r="B800" t="s">
        <v>26</v>
      </c>
      <c r="C800">
        <v>32</v>
      </c>
      <c r="D800" t="s">
        <v>94</v>
      </c>
      <c r="E800" t="s">
        <v>96</v>
      </c>
      <c r="G800">
        <v>4</v>
      </c>
      <c r="H800">
        <v>10.811999999999999</v>
      </c>
      <c r="I800" t="s">
        <v>97</v>
      </c>
      <c r="J800">
        <v>460000</v>
      </c>
      <c r="K800">
        <v>4973520</v>
      </c>
      <c r="L800" t="s">
        <v>26</v>
      </c>
      <c r="M800" t="s">
        <v>7</v>
      </c>
      <c r="N800" t="b">
        <v>0</v>
      </c>
    </row>
    <row r="801" spans="1:14" x14ac:dyDescent="0.3">
      <c r="A801" t="s">
        <v>25</v>
      </c>
      <c r="B801" t="s">
        <v>26</v>
      </c>
      <c r="C801">
        <v>33</v>
      </c>
      <c r="D801" t="s">
        <v>98</v>
      </c>
      <c r="E801" t="s">
        <v>99</v>
      </c>
      <c r="F801">
        <v>50</v>
      </c>
      <c r="G801">
        <v>8</v>
      </c>
      <c r="H801">
        <v>0.8</v>
      </c>
      <c r="I801" t="s">
        <v>100</v>
      </c>
      <c r="J801">
        <v>17526080</v>
      </c>
      <c r="K801">
        <v>14020864</v>
      </c>
      <c r="L801" t="s">
        <v>26</v>
      </c>
      <c r="M801" t="s">
        <v>7</v>
      </c>
      <c r="N801" t="b">
        <v>0</v>
      </c>
    </row>
    <row r="802" spans="1:14" x14ac:dyDescent="0.3">
      <c r="A802" t="s">
        <v>25</v>
      </c>
      <c r="B802" t="s">
        <v>26</v>
      </c>
      <c r="C802">
        <v>28</v>
      </c>
      <c r="E802" t="s">
        <v>101</v>
      </c>
      <c r="H802">
        <v>8</v>
      </c>
      <c r="I802" t="s">
        <v>102</v>
      </c>
      <c r="J802">
        <v>13000000</v>
      </c>
      <c r="K802">
        <v>104000000</v>
      </c>
      <c r="L802" t="s">
        <v>26</v>
      </c>
      <c r="M802" t="s">
        <v>7</v>
      </c>
      <c r="N802" t="b">
        <v>0</v>
      </c>
    </row>
    <row r="803" spans="1:14" x14ac:dyDescent="0.3">
      <c r="A803" t="s">
        <v>25</v>
      </c>
      <c r="B803" t="s">
        <v>8</v>
      </c>
      <c r="C803">
        <v>1</v>
      </c>
      <c r="D803" t="s">
        <v>44</v>
      </c>
      <c r="E803" t="s">
        <v>45</v>
      </c>
      <c r="F803">
        <v>0.76800000000000002</v>
      </c>
      <c r="G803">
        <v>2</v>
      </c>
      <c r="H803">
        <v>2.1503999999999999</v>
      </c>
      <c r="I803" t="s">
        <v>46</v>
      </c>
      <c r="J803">
        <v>8500000</v>
      </c>
      <c r="K803">
        <v>18278400</v>
      </c>
      <c r="L803" t="s">
        <v>8</v>
      </c>
      <c r="M803" t="s">
        <v>7</v>
      </c>
      <c r="N803" t="b">
        <v>0</v>
      </c>
    </row>
    <row r="804" spans="1:14" x14ac:dyDescent="0.3">
      <c r="A804" t="s">
        <v>25</v>
      </c>
      <c r="B804" t="s">
        <v>8</v>
      </c>
      <c r="C804">
        <v>2</v>
      </c>
      <c r="E804" t="s">
        <v>47</v>
      </c>
      <c r="F804">
        <v>0</v>
      </c>
      <c r="G804">
        <v>0</v>
      </c>
      <c r="H804">
        <v>0</v>
      </c>
      <c r="I804" t="s">
        <v>46</v>
      </c>
      <c r="J804">
        <v>8500000</v>
      </c>
      <c r="K804">
        <v>0</v>
      </c>
      <c r="L804" t="s">
        <v>8</v>
      </c>
      <c r="M804" t="s">
        <v>7</v>
      </c>
      <c r="N804" t="b">
        <v>0</v>
      </c>
    </row>
    <row r="805" spans="1:14" x14ac:dyDescent="0.3">
      <c r="A805" t="s">
        <v>25</v>
      </c>
      <c r="B805" t="s">
        <v>8</v>
      </c>
      <c r="C805">
        <v>3</v>
      </c>
      <c r="E805" t="s">
        <v>170</v>
      </c>
      <c r="F805">
        <v>0.70299999999999996</v>
      </c>
      <c r="G805">
        <v>2</v>
      </c>
      <c r="H805">
        <v>4.6397999999999993</v>
      </c>
      <c r="I805" t="s">
        <v>46</v>
      </c>
      <c r="J805">
        <v>8500000</v>
      </c>
      <c r="K805">
        <v>39438299.999999993</v>
      </c>
      <c r="L805" t="s">
        <v>8</v>
      </c>
      <c r="M805" t="s">
        <v>7</v>
      </c>
      <c r="N805" t="b">
        <v>0</v>
      </c>
    </row>
    <row r="806" spans="1:14" x14ac:dyDescent="0.3">
      <c r="A806" t="s">
        <v>25</v>
      </c>
      <c r="B806" t="s">
        <v>8</v>
      </c>
      <c r="C806">
        <v>4</v>
      </c>
      <c r="E806" t="s">
        <v>49</v>
      </c>
      <c r="F806">
        <v>120</v>
      </c>
      <c r="G806">
        <v>4</v>
      </c>
      <c r="H806">
        <v>0.48</v>
      </c>
      <c r="I806" t="s">
        <v>46</v>
      </c>
      <c r="J806">
        <v>8500000</v>
      </c>
      <c r="K806">
        <v>4080000</v>
      </c>
      <c r="L806" t="s">
        <v>8</v>
      </c>
      <c r="M806" t="s">
        <v>7</v>
      </c>
      <c r="N806" t="b">
        <v>0</v>
      </c>
    </row>
    <row r="807" spans="1:14" x14ac:dyDescent="0.3">
      <c r="A807" t="s">
        <v>25</v>
      </c>
      <c r="B807" t="s">
        <v>8</v>
      </c>
      <c r="C807">
        <v>5</v>
      </c>
      <c r="E807" t="s">
        <v>50</v>
      </c>
      <c r="F807">
        <v>180</v>
      </c>
      <c r="G807">
        <v>4</v>
      </c>
      <c r="H807">
        <v>1.7087760000000001</v>
      </c>
      <c r="I807" t="s">
        <v>46</v>
      </c>
      <c r="J807">
        <v>8500000</v>
      </c>
      <c r="K807">
        <v>14524596</v>
      </c>
      <c r="L807" t="s">
        <v>8</v>
      </c>
      <c r="M807" t="s">
        <v>7</v>
      </c>
      <c r="N807" t="b">
        <v>0</v>
      </c>
    </row>
    <row r="808" spans="1:14" x14ac:dyDescent="0.3">
      <c r="A808" t="s">
        <v>25</v>
      </c>
      <c r="B808" t="s">
        <v>8</v>
      </c>
      <c r="C808">
        <v>6</v>
      </c>
      <c r="E808" t="s">
        <v>51</v>
      </c>
      <c r="F808">
        <v>0.96299999999999997</v>
      </c>
      <c r="G808">
        <v>4</v>
      </c>
      <c r="H808">
        <v>14.352551999999999</v>
      </c>
      <c r="I808" t="s">
        <v>46</v>
      </c>
      <c r="J808">
        <v>8500000</v>
      </c>
      <c r="K808">
        <v>121996692</v>
      </c>
      <c r="L808" t="s">
        <v>8</v>
      </c>
      <c r="M808" t="s">
        <v>7</v>
      </c>
      <c r="N808" t="b">
        <v>0</v>
      </c>
    </row>
    <row r="809" spans="1:14" x14ac:dyDescent="0.3">
      <c r="A809" t="s">
        <v>25</v>
      </c>
      <c r="B809" t="s">
        <v>8</v>
      </c>
      <c r="C809">
        <v>7</v>
      </c>
      <c r="D809" t="s">
        <v>52</v>
      </c>
      <c r="E809" t="s">
        <v>53</v>
      </c>
      <c r="F809">
        <v>0.13</v>
      </c>
      <c r="G809">
        <v>1.895184</v>
      </c>
      <c r="H809">
        <v>1.895184</v>
      </c>
      <c r="I809" t="s">
        <v>54</v>
      </c>
      <c r="J809">
        <v>4275000</v>
      </c>
      <c r="K809">
        <v>8101911.5999999996</v>
      </c>
      <c r="L809" t="s">
        <v>8</v>
      </c>
      <c r="M809" t="s">
        <v>7</v>
      </c>
      <c r="N809" t="b">
        <v>0</v>
      </c>
    </row>
    <row r="810" spans="1:14" x14ac:dyDescent="0.3">
      <c r="A810" t="s">
        <v>25</v>
      </c>
      <c r="B810" t="s">
        <v>8</v>
      </c>
      <c r="C810">
        <v>8</v>
      </c>
      <c r="E810" t="s">
        <v>55</v>
      </c>
      <c r="F810">
        <v>0.35</v>
      </c>
      <c r="G810">
        <v>0</v>
      </c>
      <c r="H810">
        <v>0</v>
      </c>
      <c r="I810" t="s">
        <v>46</v>
      </c>
      <c r="J810">
        <v>35750000</v>
      </c>
      <c r="K810">
        <v>0</v>
      </c>
      <c r="L810" t="s">
        <v>8</v>
      </c>
      <c r="M810" t="s">
        <v>7</v>
      </c>
      <c r="N810" t="b">
        <v>0</v>
      </c>
    </row>
    <row r="811" spans="1:14" x14ac:dyDescent="0.3">
      <c r="A811" t="s">
        <v>25</v>
      </c>
      <c r="B811" t="s">
        <v>8</v>
      </c>
      <c r="C811">
        <v>9</v>
      </c>
      <c r="E811" t="s">
        <v>55</v>
      </c>
      <c r="F811">
        <v>0.2</v>
      </c>
      <c r="G811">
        <v>0.94759199999999999</v>
      </c>
      <c r="H811">
        <v>0.94759199999999999</v>
      </c>
      <c r="I811" t="s">
        <v>46</v>
      </c>
      <c r="J811">
        <v>45760000</v>
      </c>
      <c r="K811">
        <v>43361809.920000002</v>
      </c>
      <c r="L811" t="s">
        <v>8</v>
      </c>
      <c r="M811" t="s">
        <v>7</v>
      </c>
      <c r="N811" t="b">
        <v>0</v>
      </c>
    </row>
    <row r="812" spans="1:14" x14ac:dyDescent="0.3">
      <c r="A812" t="s">
        <v>25</v>
      </c>
      <c r="B812" t="s">
        <v>8</v>
      </c>
      <c r="C812">
        <v>10</v>
      </c>
      <c r="D812" t="s">
        <v>56</v>
      </c>
      <c r="E812" t="s">
        <v>57</v>
      </c>
      <c r="G812">
        <v>6.7901999999999987</v>
      </c>
      <c r="H812">
        <v>6.7901999999999987</v>
      </c>
      <c r="I812" t="s">
        <v>61</v>
      </c>
      <c r="J812">
        <v>1430000</v>
      </c>
      <c r="K812">
        <v>9709985.9999999981</v>
      </c>
      <c r="L812" t="s">
        <v>8</v>
      </c>
      <c r="M812" t="s">
        <v>7</v>
      </c>
      <c r="N812" t="b">
        <v>0</v>
      </c>
    </row>
    <row r="813" spans="1:14" x14ac:dyDescent="0.3">
      <c r="A813" t="s">
        <v>25</v>
      </c>
      <c r="B813" t="s">
        <v>8</v>
      </c>
      <c r="C813">
        <v>11</v>
      </c>
      <c r="D813" t="s">
        <v>58</v>
      </c>
      <c r="E813" t="s">
        <v>59</v>
      </c>
      <c r="G813" t="s">
        <v>103</v>
      </c>
      <c r="H813" t="s">
        <v>103</v>
      </c>
      <c r="I813" t="s">
        <v>46</v>
      </c>
      <c r="J813">
        <v>3000000</v>
      </c>
      <c r="K813">
        <v>24000000</v>
      </c>
      <c r="L813" t="s">
        <v>8</v>
      </c>
      <c r="M813" t="s">
        <v>7</v>
      </c>
      <c r="N813" t="b">
        <v>0</v>
      </c>
    </row>
    <row r="814" spans="1:14" x14ac:dyDescent="0.3">
      <c r="A814" t="s">
        <v>25</v>
      </c>
      <c r="B814" t="s">
        <v>8</v>
      </c>
      <c r="C814">
        <v>12</v>
      </c>
      <c r="E814" t="s">
        <v>60</v>
      </c>
      <c r="G814">
        <v>14.352551999999999</v>
      </c>
      <c r="H814">
        <v>14.352551999999999</v>
      </c>
      <c r="I814" t="s">
        <v>61</v>
      </c>
      <c r="J814">
        <v>3600000</v>
      </c>
      <c r="K814">
        <v>51669187.200000003</v>
      </c>
      <c r="L814" t="s">
        <v>8</v>
      </c>
      <c r="M814" t="s">
        <v>7</v>
      </c>
      <c r="N814" t="b">
        <v>0</v>
      </c>
    </row>
    <row r="815" spans="1:14" x14ac:dyDescent="0.3">
      <c r="A815" t="s">
        <v>25</v>
      </c>
      <c r="B815" t="s">
        <v>8</v>
      </c>
      <c r="C815">
        <v>13</v>
      </c>
      <c r="D815" t="s">
        <v>62</v>
      </c>
      <c r="E815" t="s">
        <v>63</v>
      </c>
      <c r="G815">
        <v>3.8519999999999999</v>
      </c>
      <c r="H815">
        <v>3.8519999999999999</v>
      </c>
      <c r="I815" t="s">
        <v>61</v>
      </c>
      <c r="J815">
        <v>3600000</v>
      </c>
      <c r="K815">
        <v>13867200</v>
      </c>
      <c r="L815" t="s">
        <v>8</v>
      </c>
      <c r="M815" t="s">
        <v>7</v>
      </c>
      <c r="N815" t="b">
        <v>0</v>
      </c>
    </row>
    <row r="816" spans="1:14" x14ac:dyDescent="0.3">
      <c r="A816" t="s">
        <v>25</v>
      </c>
      <c r="B816" t="s">
        <v>8</v>
      </c>
      <c r="C816">
        <v>14</v>
      </c>
      <c r="E816" t="s">
        <v>64</v>
      </c>
      <c r="G816">
        <v>0.1</v>
      </c>
      <c r="H816">
        <v>0.1</v>
      </c>
      <c r="I816" t="s">
        <v>61</v>
      </c>
      <c r="J816">
        <v>5500000</v>
      </c>
      <c r="K816">
        <v>550000</v>
      </c>
      <c r="L816" t="s">
        <v>8</v>
      </c>
      <c r="M816" t="s">
        <v>7</v>
      </c>
      <c r="N816" t="b">
        <v>0</v>
      </c>
    </row>
    <row r="817" spans="1:14" x14ac:dyDescent="0.3">
      <c r="A817" t="s">
        <v>25</v>
      </c>
      <c r="B817" t="s">
        <v>8</v>
      </c>
      <c r="C817">
        <v>15</v>
      </c>
      <c r="D817" t="s">
        <v>65</v>
      </c>
      <c r="E817" t="s">
        <v>66</v>
      </c>
      <c r="G817">
        <v>20</v>
      </c>
      <c r="H817">
        <v>20</v>
      </c>
      <c r="I817" t="s">
        <v>61</v>
      </c>
      <c r="J817">
        <v>200000</v>
      </c>
      <c r="K817">
        <v>4000000</v>
      </c>
      <c r="L817" t="s">
        <v>8</v>
      </c>
      <c r="M817" t="s">
        <v>7</v>
      </c>
      <c r="N817" t="b">
        <v>0</v>
      </c>
    </row>
    <row r="818" spans="1:14" x14ac:dyDescent="0.3">
      <c r="A818" t="s">
        <v>25</v>
      </c>
      <c r="B818" t="s">
        <v>8</v>
      </c>
      <c r="C818">
        <v>16</v>
      </c>
      <c r="E818" t="s">
        <v>68</v>
      </c>
      <c r="G818">
        <v>8</v>
      </c>
      <c r="H818">
        <v>8</v>
      </c>
      <c r="I818" t="s">
        <v>61</v>
      </c>
      <c r="J818">
        <v>200000</v>
      </c>
      <c r="K818">
        <v>1600000</v>
      </c>
      <c r="L818" t="s">
        <v>8</v>
      </c>
      <c r="M818" t="s">
        <v>7</v>
      </c>
      <c r="N818" t="b">
        <v>0</v>
      </c>
    </row>
    <row r="819" spans="1:14" x14ac:dyDescent="0.3">
      <c r="A819" t="s">
        <v>25</v>
      </c>
      <c r="B819" t="s">
        <v>8</v>
      </c>
      <c r="C819">
        <v>17</v>
      </c>
      <c r="E819" t="s">
        <v>69</v>
      </c>
      <c r="G819">
        <v>28</v>
      </c>
      <c r="H819">
        <v>28</v>
      </c>
      <c r="I819" t="s">
        <v>61</v>
      </c>
      <c r="J819">
        <v>200000</v>
      </c>
      <c r="K819">
        <v>5600000</v>
      </c>
      <c r="L819" t="s">
        <v>8</v>
      </c>
      <c r="M819" t="s">
        <v>7</v>
      </c>
      <c r="N819" t="b">
        <v>0</v>
      </c>
    </row>
    <row r="820" spans="1:14" x14ac:dyDescent="0.3">
      <c r="A820" t="s">
        <v>25</v>
      </c>
      <c r="B820" t="s">
        <v>8</v>
      </c>
      <c r="C820">
        <v>18</v>
      </c>
      <c r="E820" t="s">
        <v>70</v>
      </c>
      <c r="G820">
        <v>16</v>
      </c>
      <c r="H820">
        <v>16</v>
      </c>
      <c r="I820" t="s">
        <v>61</v>
      </c>
      <c r="J820">
        <v>400000</v>
      </c>
      <c r="K820">
        <v>6400000</v>
      </c>
      <c r="L820" t="s">
        <v>8</v>
      </c>
      <c r="M820" t="s">
        <v>7</v>
      </c>
      <c r="N820" t="b">
        <v>0</v>
      </c>
    </row>
    <row r="821" spans="1:14" x14ac:dyDescent="0.3">
      <c r="A821" t="s">
        <v>25</v>
      </c>
      <c r="B821" t="s">
        <v>8</v>
      </c>
      <c r="C821">
        <v>19</v>
      </c>
      <c r="E821" t="s">
        <v>71</v>
      </c>
      <c r="G821">
        <v>16</v>
      </c>
      <c r="H821">
        <v>16</v>
      </c>
      <c r="I821" t="s">
        <v>61</v>
      </c>
      <c r="J821">
        <v>120000</v>
      </c>
      <c r="K821">
        <v>1920000</v>
      </c>
      <c r="L821" t="s">
        <v>8</v>
      </c>
      <c r="M821" t="s">
        <v>7</v>
      </c>
      <c r="N821" t="b">
        <v>0</v>
      </c>
    </row>
    <row r="822" spans="1:14" x14ac:dyDescent="0.3">
      <c r="A822" t="s">
        <v>25</v>
      </c>
      <c r="B822" t="s">
        <v>8</v>
      </c>
      <c r="C822">
        <v>20</v>
      </c>
      <c r="E822" t="s">
        <v>72</v>
      </c>
      <c r="G822">
        <v>24</v>
      </c>
      <c r="H822">
        <v>24</v>
      </c>
      <c r="I822" t="s">
        <v>61</v>
      </c>
      <c r="J822">
        <v>400000</v>
      </c>
      <c r="K822">
        <v>9600000</v>
      </c>
      <c r="L822" t="s">
        <v>8</v>
      </c>
      <c r="M822" t="s">
        <v>7</v>
      </c>
      <c r="N822" t="b">
        <v>0</v>
      </c>
    </row>
    <row r="823" spans="1:14" x14ac:dyDescent="0.3">
      <c r="A823" t="s">
        <v>25</v>
      </c>
      <c r="B823" t="s">
        <v>8</v>
      </c>
      <c r="C823">
        <v>21</v>
      </c>
      <c r="D823" t="s">
        <v>73</v>
      </c>
      <c r="E823" t="s">
        <v>74</v>
      </c>
      <c r="F823">
        <v>132</v>
      </c>
      <c r="G823" t="s">
        <v>103</v>
      </c>
      <c r="H823">
        <v>6.5286144000000004</v>
      </c>
      <c r="I823" t="s">
        <v>46</v>
      </c>
      <c r="J823">
        <v>35000000</v>
      </c>
      <c r="K823">
        <v>228501504</v>
      </c>
      <c r="L823" t="s">
        <v>8</v>
      </c>
      <c r="M823" t="s">
        <v>7</v>
      </c>
      <c r="N823" t="b">
        <v>0</v>
      </c>
    </row>
    <row r="824" spans="1:14" x14ac:dyDescent="0.3">
      <c r="A824" t="s">
        <v>25</v>
      </c>
      <c r="B824" t="s">
        <v>8</v>
      </c>
      <c r="C824">
        <v>22</v>
      </c>
      <c r="D824" t="s">
        <v>75</v>
      </c>
      <c r="E824" t="s">
        <v>76</v>
      </c>
      <c r="F824" t="s">
        <v>77</v>
      </c>
      <c r="G824">
        <v>2</v>
      </c>
      <c r="H824">
        <v>2</v>
      </c>
      <c r="I824" t="s">
        <v>46</v>
      </c>
      <c r="J824">
        <v>5200000</v>
      </c>
      <c r="K824">
        <v>10400000</v>
      </c>
      <c r="L824" t="s">
        <v>8</v>
      </c>
      <c r="M824" t="s">
        <v>7</v>
      </c>
      <c r="N824" t="b">
        <v>0</v>
      </c>
    </row>
    <row r="825" spans="1:14" x14ac:dyDescent="0.3">
      <c r="A825" t="s">
        <v>25</v>
      </c>
      <c r="B825" t="s">
        <v>8</v>
      </c>
      <c r="C825">
        <v>23</v>
      </c>
      <c r="E825" t="s">
        <v>78</v>
      </c>
      <c r="F825" t="s">
        <v>79</v>
      </c>
      <c r="G825">
        <v>2</v>
      </c>
      <c r="H825">
        <v>1.2</v>
      </c>
      <c r="I825" t="s">
        <v>46</v>
      </c>
      <c r="J825">
        <v>5200000</v>
      </c>
      <c r="K825">
        <v>6240000</v>
      </c>
      <c r="L825" t="s">
        <v>8</v>
      </c>
      <c r="M825" t="s">
        <v>7</v>
      </c>
      <c r="N825" t="b">
        <v>0</v>
      </c>
    </row>
    <row r="826" spans="1:14" x14ac:dyDescent="0.3">
      <c r="A826" t="s">
        <v>25</v>
      </c>
      <c r="B826" t="s">
        <v>8</v>
      </c>
      <c r="C826">
        <v>24</v>
      </c>
      <c r="D826" t="s">
        <v>80</v>
      </c>
      <c r="E826" t="s">
        <v>81</v>
      </c>
      <c r="F826" t="s">
        <v>171</v>
      </c>
      <c r="G826">
        <v>2</v>
      </c>
      <c r="H826">
        <v>1.0351689999999998</v>
      </c>
      <c r="I826" t="s">
        <v>46</v>
      </c>
      <c r="J826">
        <v>8500000</v>
      </c>
      <c r="K826">
        <v>8798936.4999999981</v>
      </c>
      <c r="L826" t="s">
        <v>8</v>
      </c>
      <c r="M826" t="s">
        <v>7</v>
      </c>
      <c r="N826" t="b">
        <v>0</v>
      </c>
    </row>
    <row r="827" spans="1:14" x14ac:dyDescent="0.3">
      <c r="A827" t="s">
        <v>25</v>
      </c>
      <c r="B827" t="s">
        <v>8</v>
      </c>
      <c r="C827">
        <v>25</v>
      </c>
      <c r="D827" t="s">
        <v>83</v>
      </c>
      <c r="E827" t="s">
        <v>84</v>
      </c>
      <c r="F827">
        <v>0.18</v>
      </c>
      <c r="G827">
        <v>2</v>
      </c>
      <c r="H827">
        <v>2</v>
      </c>
      <c r="I827" t="s">
        <v>61</v>
      </c>
      <c r="J827">
        <v>1300000</v>
      </c>
      <c r="K827">
        <v>2600000</v>
      </c>
      <c r="L827" t="s">
        <v>8</v>
      </c>
      <c r="M827" t="s">
        <v>7</v>
      </c>
      <c r="N827" t="b">
        <v>0</v>
      </c>
    </row>
    <row r="828" spans="1:14" x14ac:dyDescent="0.3">
      <c r="A828" t="s">
        <v>25</v>
      </c>
      <c r="B828" t="s">
        <v>8</v>
      </c>
      <c r="C828">
        <v>26</v>
      </c>
      <c r="E828" t="s">
        <v>86</v>
      </c>
      <c r="F828">
        <v>0.2</v>
      </c>
      <c r="G828">
        <v>3</v>
      </c>
      <c r="H828">
        <v>3</v>
      </c>
      <c r="I828" t="s">
        <v>61</v>
      </c>
      <c r="J828">
        <v>1300000</v>
      </c>
      <c r="K828">
        <v>3900000</v>
      </c>
      <c r="L828" t="s">
        <v>8</v>
      </c>
      <c r="M828" t="s">
        <v>7</v>
      </c>
      <c r="N828" t="b">
        <v>0</v>
      </c>
    </row>
    <row r="829" spans="1:14" x14ac:dyDescent="0.3">
      <c r="A829" t="s">
        <v>25</v>
      </c>
      <c r="B829" t="s">
        <v>8</v>
      </c>
      <c r="C829">
        <v>27</v>
      </c>
      <c r="D829" t="s">
        <v>88</v>
      </c>
      <c r="E829" t="s">
        <v>89</v>
      </c>
      <c r="F829" t="s">
        <v>90</v>
      </c>
      <c r="G829">
        <v>1</v>
      </c>
      <c r="H829">
        <v>1</v>
      </c>
      <c r="I829" t="s">
        <v>61</v>
      </c>
      <c r="J829">
        <v>100000</v>
      </c>
      <c r="K829">
        <v>100000</v>
      </c>
      <c r="L829" t="s">
        <v>8</v>
      </c>
      <c r="M829" t="s">
        <v>7</v>
      </c>
      <c r="N829" t="b">
        <v>0</v>
      </c>
    </row>
    <row r="830" spans="1:14" x14ac:dyDescent="0.3">
      <c r="A830" t="s">
        <v>25</v>
      </c>
      <c r="B830" t="s">
        <v>8</v>
      </c>
      <c r="C830">
        <v>28</v>
      </c>
      <c r="D830" t="s">
        <v>65</v>
      </c>
      <c r="E830" t="s">
        <v>91</v>
      </c>
      <c r="G830">
        <v>2</v>
      </c>
      <c r="H830">
        <v>2</v>
      </c>
      <c r="I830" t="s">
        <v>61</v>
      </c>
      <c r="J830">
        <v>2400000</v>
      </c>
      <c r="K830">
        <v>4800000</v>
      </c>
      <c r="L830" t="s">
        <v>8</v>
      </c>
      <c r="M830" t="s">
        <v>7</v>
      </c>
      <c r="N830" t="b">
        <v>0</v>
      </c>
    </row>
    <row r="831" spans="1:14" x14ac:dyDescent="0.3">
      <c r="A831" t="s">
        <v>25</v>
      </c>
      <c r="B831" t="s">
        <v>8</v>
      </c>
      <c r="C831">
        <v>29</v>
      </c>
      <c r="E831" t="s">
        <v>92</v>
      </c>
      <c r="G831">
        <v>2</v>
      </c>
      <c r="H831">
        <v>2</v>
      </c>
      <c r="I831" t="s">
        <v>61</v>
      </c>
      <c r="J831">
        <v>2400000</v>
      </c>
      <c r="K831">
        <v>4800000</v>
      </c>
      <c r="L831" t="s">
        <v>8</v>
      </c>
      <c r="M831" t="s">
        <v>7</v>
      </c>
      <c r="N831" t="b">
        <v>0</v>
      </c>
    </row>
    <row r="832" spans="1:14" x14ac:dyDescent="0.3">
      <c r="A832" t="s">
        <v>25</v>
      </c>
      <c r="B832" t="s">
        <v>8</v>
      </c>
      <c r="C832">
        <v>30</v>
      </c>
      <c r="E832" t="s">
        <v>93</v>
      </c>
      <c r="G832">
        <v>2</v>
      </c>
      <c r="H832">
        <v>2</v>
      </c>
      <c r="I832" t="s">
        <v>61</v>
      </c>
      <c r="J832">
        <v>3000000</v>
      </c>
      <c r="K832">
        <v>6000000</v>
      </c>
      <c r="L832" t="s">
        <v>8</v>
      </c>
      <c r="M832" t="s">
        <v>7</v>
      </c>
      <c r="N832" t="b">
        <v>0</v>
      </c>
    </row>
    <row r="833" spans="1:14" x14ac:dyDescent="0.3">
      <c r="A833" t="s">
        <v>25</v>
      </c>
      <c r="B833" t="s">
        <v>8</v>
      </c>
      <c r="C833">
        <v>31</v>
      </c>
      <c r="D833" t="s">
        <v>104</v>
      </c>
      <c r="E833" t="s">
        <v>105</v>
      </c>
      <c r="G833">
        <v>1</v>
      </c>
      <c r="H833">
        <v>2</v>
      </c>
      <c r="I833" t="s">
        <v>61</v>
      </c>
      <c r="J833">
        <v>30000000</v>
      </c>
      <c r="K833">
        <v>60000000</v>
      </c>
      <c r="L833" t="s">
        <v>8</v>
      </c>
      <c r="M833" t="s">
        <v>7</v>
      </c>
      <c r="N833" t="b">
        <v>0</v>
      </c>
    </row>
    <row r="834" spans="1:14" x14ac:dyDescent="0.3">
      <c r="A834" t="s">
        <v>25</v>
      </c>
      <c r="B834" t="s">
        <v>8</v>
      </c>
      <c r="C834">
        <v>32</v>
      </c>
      <c r="E834" t="s">
        <v>106</v>
      </c>
      <c r="G834">
        <v>1</v>
      </c>
      <c r="H834">
        <v>4</v>
      </c>
      <c r="J834">
        <v>24000000</v>
      </c>
      <c r="K834">
        <v>96000000</v>
      </c>
      <c r="L834" t="s">
        <v>8</v>
      </c>
      <c r="M834" t="s">
        <v>7</v>
      </c>
      <c r="N834" t="b">
        <v>0</v>
      </c>
    </row>
    <row r="835" spans="1:14" x14ac:dyDescent="0.3">
      <c r="A835" t="s">
        <v>25</v>
      </c>
      <c r="B835" t="s">
        <v>8</v>
      </c>
      <c r="C835">
        <v>33</v>
      </c>
      <c r="D835" t="s">
        <v>94</v>
      </c>
      <c r="E835" t="s">
        <v>95</v>
      </c>
      <c r="G835">
        <v>2</v>
      </c>
      <c r="H835">
        <v>2</v>
      </c>
      <c r="I835" t="s">
        <v>61</v>
      </c>
      <c r="J835">
        <v>1300000</v>
      </c>
      <c r="K835">
        <v>2600000</v>
      </c>
      <c r="L835" t="s">
        <v>8</v>
      </c>
      <c r="M835" t="s">
        <v>7</v>
      </c>
      <c r="N835" t="b">
        <v>0</v>
      </c>
    </row>
    <row r="836" spans="1:14" x14ac:dyDescent="0.3">
      <c r="A836" t="s">
        <v>25</v>
      </c>
      <c r="B836" t="s">
        <v>8</v>
      </c>
      <c r="C836">
        <v>34</v>
      </c>
      <c r="D836" t="s">
        <v>94</v>
      </c>
      <c r="E836" t="s">
        <v>96</v>
      </c>
      <c r="G836">
        <v>4</v>
      </c>
      <c r="H836">
        <v>2.8119999999999998</v>
      </c>
      <c r="I836" t="s">
        <v>97</v>
      </c>
      <c r="J836">
        <v>460000</v>
      </c>
      <c r="K836">
        <v>1293520</v>
      </c>
      <c r="L836" t="s">
        <v>8</v>
      </c>
      <c r="M836" t="s">
        <v>7</v>
      </c>
      <c r="N836" t="b">
        <v>0</v>
      </c>
    </row>
    <row r="837" spans="1:14" x14ac:dyDescent="0.3">
      <c r="A837" t="s">
        <v>25</v>
      </c>
      <c r="B837" t="s">
        <v>8</v>
      </c>
      <c r="C837">
        <v>35</v>
      </c>
      <c r="D837" t="s">
        <v>98</v>
      </c>
      <c r="E837" t="s">
        <v>99</v>
      </c>
      <c r="F837">
        <v>50</v>
      </c>
      <c r="G837">
        <v>8</v>
      </c>
      <c r="H837">
        <v>0.8</v>
      </c>
      <c r="I837" t="s">
        <v>100</v>
      </c>
      <c r="J837">
        <v>17526080</v>
      </c>
      <c r="K837">
        <v>14020864</v>
      </c>
      <c r="L837" t="s">
        <v>8</v>
      </c>
      <c r="M837" t="s">
        <v>7</v>
      </c>
      <c r="N837" t="b">
        <v>0</v>
      </c>
    </row>
    <row r="838" spans="1:14" x14ac:dyDescent="0.3">
      <c r="A838" t="s">
        <v>25</v>
      </c>
      <c r="B838" t="s">
        <v>8</v>
      </c>
      <c r="C838">
        <v>28</v>
      </c>
      <c r="E838" t="s">
        <v>101</v>
      </c>
      <c r="H838">
        <v>10</v>
      </c>
      <c r="I838" t="s">
        <v>102</v>
      </c>
      <c r="J838">
        <v>13000000</v>
      </c>
      <c r="K838">
        <v>130000000</v>
      </c>
      <c r="L838" t="s">
        <v>8</v>
      </c>
      <c r="M838" t="s">
        <v>7</v>
      </c>
      <c r="N838" t="b">
        <v>0</v>
      </c>
    </row>
    <row r="839" spans="1:14" x14ac:dyDescent="0.3">
      <c r="A839" t="s">
        <v>25</v>
      </c>
      <c r="B839" t="s">
        <v>8</v>
      </c>
      <c r="C839">
        <v>29</v>
      </c>
      <c r="E839" t="s">
        <v>107</v>
      </c>
      <c r="H839">
        <v>0</v>
      </c>
      <c r="I839" t="s">
        <v>108</v>
      </c>
      <c r="K839">
        <v>0</v>
      </c>
      <c r="L839" t="s">
        <v>8</v>
      </c>
      <c r="M839" t="s">
        <v>7</v>
      </c>
      <c r="N839" t="b">
        <v>0</v>
      </c>
    </row>
    <row r="840" spans="1:14" x14ac:dyDescent="0.3">
      <c r="A840" t="s">
        <v>25</v>
      </c>
      <c r="B840" t="s">
        <v>9</v>
      </c>
      <c r="C840">
        <v>1</v>
      </c>
      <c r="D840" t="s">
        <v>44</v>
      </c>
      <c r="E840" t="s">
        <v>45</v>
      </c>
      <c r="F840">
        <v>0.33500000000000002</v>
      </c>
      <c r="G840">
        <v>2</v>
      </c>
      <c r="H840">
        <v>0.93799999999999994</v>
      </c>
      <c r="I840" t="s">
        <v>46</v>
      </c>
      <c r="J840">
        <v>8500000</v>
      </c>
      <c r="K840">
        <v>7972999.9999999981</v>
      </c>
      <c r="L840" t="s">
        <v>9</v>
      </c>
      <c r="M840" t="s">
        <v>7</v>
      </c>
      <c r="N840" t="b">
        <v>0</v>
      </c>
    </row>
    <row r="841" spans="1:14" x14ac:dyDescent="0.3">
      <c r="A841" t="s">
        <v>25</v>
      </c>
      <c r="B841" t="s">
        <v>9</v>
      </c>
      <c r="C841">
        <v>2</v>
      </c>
      <c r="E841" t="s">
        <v>47</v>
      </c>
      <c r="F841">
        <v>0</v>
      </c>
      <c r="G841">
        <v>0</v>
      </c>
      <c r="H841">
        <v>0</v>
      </c>
      <c r="I841" t="s">
        <v>46</v>
      </c>
      <c r="J841">
        <v>8500000</v>
      </c>
      <c r="K841">
        <v>0</v>
      </c>
      <c r="L841" t="s">
        <v>9</v>
      </c>
      <c r="M841" t="s">
        <v>7</v>
      </c>
      <c r="N841" t="b">
        <v>0</v>
      </c>
    </row>
    <row r="842" spans="1:14" x14ac:dyDescent="0.3">
      <c r="A842" t="s">
        <v>25</v>
      </c>
      <c r="B842" t="s">
        <v>9</v>
      </c>
      <c r="C842">
        <v>3</v>
      </c>
      <c r="E842" t="s">
        <v>170</v>
      </c>
      <c r="F842">
        <v>0.33500000000000002</v>
      </c>
      <c r="G842">
        <v>2</v>
      </c>
      <c r="H842">
        <v>2.2109999999999999</v>
      </c>
      <c r="I842" t="s">
        <v>46</v>
      </c>
      <c r="J842">
        <v>8500000</v>
      </c>
      <c r="K842">
        <v>18793500</v>
      </c>
      <c r="L842" t="s">
        <v>9</v>
      </c>
      <c r="M842" t="s">
        <v>7</v>
      </c>
      <c r="N842" t="b">
        <v>0</v>
      </c>
    </row>
    <row r="843" spans="1:14" x14ac:dyDescent="0.3">
      <c r="A843" t="s">
        <v>25</v>
      </c>
      <c r="B843" t="s">
        <v>9</v>
      </c>
      <c r="C843">
        <v>4</v>
      </c>
      <c r="E843" t="s">
        <v>49</v>
      </c>
      <c r="F843">
        <v>120</v>
      </c>
      <c r="G843">
        <v>4</v>
      </c>
      <c r="H843">
        <v>0.48</v>
      </c>
      <c r="I843" t="s">
        <v>46</v>
      </c>
      <c r="J843">
        <v>8500000</v>
      </c>
      <c r="K843">
        <v>4080000</v>
      </c>
      <c r="L843" t="s">
        <v>9</v>
      </c>
      <c r="M843" t="s">
        <v>7</v>
      </c>
      <c r="N843" t="b">
        <v>0</v>
      </c>
    </row>
    <row r="844" spans="1:14" x14ac:dyDescent="0.3">
      <c r="A844" t="s">
        <v>25</v>
      </c>
      <c r="B844" t="s">
        <v>9</v>
      </c>
      <c r="C844">
        <v>5</v>
      </c>
      <c r="E844" t="s">
        <v>50</v>
      </c>
      <c r="F844">
        <v>180</v>
      </c>
      <c r="G844">
        <v>4</v>
      </c>
      <c r="H844">
        <v>1.7087760000000001</v>
      </c>
      <c r="I844" t="s">
        <v>46</v>
      </c>
      <c r="J844">
        <v>8500000</v>
      </c>
      <c r="K844">
        <v>14524596</v>
      </c>
      <c r="L844" t="s">
        <v>9</v>
      </c>
      <c r="M844" t="s">
        <v>7</v>
      </c>
      <c r="N844" t="b">
        <v>0</v>
      </c>
    </row>
    <row r="845" spans="1:14" x14ac:dyDescent="0.3">
      <c r="A845" t="s">
        <v>25</v>
      </c>
      <c r="B845" t="s">
        <v>9</v>
      </c>
      <c r="C845">
        <v>6</v>
      </c>
      <c r="E845" t="s">
        <v>51</v>
      </c>
      <c r="F845">
        <v>0.55800000000000005</v>
      </c>
      <c r="G845">
        <v>4</v>
      </c>
      <c r="H845">
        <v>8.3164320000000007</v>
      </c>
      <c r="I845" t="s">
        <v>46</v>
      </c>
      <c r="J845">
        <v>8500000</v>
      </c>
      <c r="K845">
        <v>70689672</v>
      </c>
      <c r="L845" t="s">
        <v>9</v>
      </c>
      <c r="M845" t="s">
        <v>7</v>
      </c>
      <c r="N845" t="b">
        <v>0</v>
      </c>
    </row>
    <row r="846" spans="1:14" x14ac:dyDescent="0.3">
      <c r="A846" t="s">
        <v>25</v>
      </c>
      <c r="B846" t="s">
        <v>9</v>
      </c>
      <c r="C846">
        <v>7</v>
      </c>
      <c r="D846" t="s">
        <v>52</v>
      </c>
      <c r="E846" t="s">
        <v>53</v>
      </c>
      <c r="F846">
        <v>0.13</v>
      </c>
      <c r="G846">
        <v>1.098144</v>
      </c>
      <c r="H846">
        <v>1.098144</v>
      </c>
      <c r="I846" t="s">
        <v>54</v>
      </c>
      <c r="J846">
        <v>4275000</v>
      </c>
      <c r="K846">
        <v>4694565.5999999996</v>
      </c>
      <c r="L846" t="s">
        <v>9</v>
      </c>
      <c r="M846" t="s">
        <v>7</v>
      </c>
      <c r="N846" t="b">
        <v>0</v>
      </c>
    </row>
    <row r="847" spans="1:14" x14ac:dyDescent="0.3">
      <c r="A847" t="s">
        <v>25</v>
      </c>
      <c r="B847" t="s">
        <v>9</v>
      </c>
      <c r="C847">
        <v>8</v>
      </c>
      <c r="E847" t="s">
        <v>55</v>
      </c>
      <c r="F847">
        <v>0.35</v>
      </c>
      <c r="G847">
        <v>0</v>
      </c>
      <c r="H847">
        <v>0</v>
      </c>
      <c r="I847" t="s">
        <v>46</v>
      </c>
      <c r="J847">
        <v>35750000</v>
      </c>
      <c r="K847">
        <v>0</v>
      </c>
      <c r="L847" t="s">
        <v>9</v>
      </c>
      <c r="M847" t="s">
        <v>7</v>
      </c>
      <c r="N847" t="b">
        <v>0</v>
      </c>
    </row>
    <row r="848" spans="1:14" x14ac:dyDescent="0.3">
      <c r="A848" t="s">
        <v>25</v>
      </c>
      <c r="B848" t="s">
        <v>9</v>
      </c>
      <c r="C848">
        <v>9</v>
      </c>
      <c r="E848" t="s">
        <v>55</v>
      </c>
      <c r="F848">
        <v>0.2</v>
      </c>
      <c r="G848">
        <v>0.549072</v>
      </c>
      <c r="H848">
        <v>0.549072</v>
      </c>
      <c r="I848" t="s">
        <v>46</v>
      </c>
      <c r="J848">
        <v>45760000</v>
      </c>
      <c r="K848">
        <v>25125534.719999999</v>
      </c>
      <c r="L848" t="s">
        <v>9</v>
      </c>
      <c r="M848" t="s">
        <v>7</v>
      </c>
      <c r="N848" t="b">
        <v>0</v>
      </c>
    </row>
    <row r="849" spans="1:14" x14ac:dyDescent="0.3">
      <c r="A849" t="s">
        <v>25</v>
      </c>
      <c r="B849" t="s">
        <v>9</v>
      </c>
      <c r="C849">
        <v>10</v>
      </c>
      <c r="D849" t="s">
        <v>56</v>
      </c>
      <c r="E849" t="s">
        <v>57</v>
      </c>
      <c r="G849">
        <v>3.149</v>
      </c>
      <c r="H849">
        <v>3.149</v>
      </c>
      <c r="I849" t="s">
        <v>61</v>
      </c>
      <c r="J849">
        <v>1430000</v>
      </c>
      <c r="K849">
        <v>4503070</v>
      </c>
      <c r="L849" t="s">
        <v>9</v>
      </c>
      <c r="M849" t="s">
        <v>7</v>
      </c>
      <c r="N849" t="b">
        <v>0</v>
      </c>
    </row>
    <row r="850" spans="1:14" x14ac:dyDescent="0.3">
      <c r="A850" t="s">
        <v>25</v>
      </c>
      <c r="B850" t="s">
        <v>9</v>
      </c>
      <c r="C850">
        <v>11</v>
      </c>
      <c r="D850" t="s">
        <v>58</v>
      </c>
      <c r="E850" t="s">
        <v>59</v>
      </c>
      <c r="G850" t="s">
        <v>103</v>
      </c>
      <c r="H850" t="s">
        <v>103</v>
      </c>
      <c r="I850" t="s">
        <v>46</v>
      </c>
      <c r="J850">
        <v>3000000</v>
      </c>
      <c r="K850">
        <v>24000000</v>
      </c>
      <c r="L850" t="s">
        <v>9</v>
      </c>
      <c r="M850" t="s">
        <v>7</v>
      </c>
      <c r="N850" t="b">
        <v>0</v>
      </c>
    </row>
    <row r="851" spans="1:14" x14ac:dyDescent="0.3">
      <c r="A851" t="s">
        <v>25</v>
      </c>
      <c r="B851" t="s">
        <v>9</v>
      </c>
      <c r="C851">
        <v>12</v>
      </c>
      <c r="E851" t="s">
        <v>60</v>
      </c>
      <c r="G851">
        <v>8.3164320000000007</v>
      </c>
      <c r="H851">
        <v>8.3164320000000007</v>
      </c>
      <c r="I851" t="s">
        <v>61</v>
      </c>
      <c r="J851">
        <v>3600000</v>
      </c>
      <c r="K851">
        <v>29939155.200000003</v>
      </c>
      <c r="L851" t="s">
        <v>9</v>
      </c>
      <c r="M851" t="s">
        <v>7</v>
      </c>
      <c r="N851" t="b">
        <v>0</v>
      </c>
    </row>
    <row r="852" spans="1:14" x14ac:dyDescent="0.3">
      <c r="A852" t="s">
        <v>25</v>
      </c>
      <c r="B852" t="s">
        <v>9</v>
      </c>
      <c r="C852">
        <v>13</v>
      </c>
      <c r="D852" t="s">
        <v>62</v>
      </c>
      <c r="E852" t="s">
        <v>63</v>
      </c>
      <c r="G852">
        <v>2.2320000000000002</v>
      </c>
      <c r="H852">
        <v>2.2320000000000002</v>
      </c>
      <c r="I852" t="s">
        <v>61</v>
      </c>
      <c r="J852">
        <v>3600000</v>
      </c>
      <c r="K852">
        <v>8035200.0000000019</v>
      </c>
      <c r="L852" t="s">
        <v>9</v>
      </c>
      <c r="M852" t="s">
        <v>7</v>
      </c>
      <c r="N852" t="b">
        <v>0</v>
      </c>
    </row>
    <row r="853" spans="1:14" x14ac:dyDescent="0.3">
      <c r="A853" t="s">
        <v>25</v>
      </c>
      <c r="B853" t="s">
        <v>9</v>
      </c>
      <c r="C853">
        <v>14</v>
      </c>
      <c r="E853" t="s">
        <v>64</v>
      </c>
      <c r="G853">
        <v>0.1</v>
      </c>
      <c r="H853">
        <v>0.1</v>
      </c>
      <c r="I853" t="s">
        <v>61</v>
      </c>
      <c r="J853">
        <v>5500000</v>
      </c>
      <c r="K853">
        <v>550000</v>
      </c>
      <c r="L853" t="s">
        <v>9</v>
      </c>
      <c r="M853" t="s">
        <v>7</v>
      </c>
      <c r="N853" t="b">
        <v>0</v>
      </c>
    </row>
    <row r="854" spans="1:14" x14ac:dyDescent="0.3">
      <c r="A854" t="s">
        <v>25</v>
      </c>
      <c r="B854" t="s">
        <v>9</v>
      </c>
      <c r="C854">
        <v>15</v>
      </c>
      <c r="D854" t="s">
        <v>65</v>
      </c>
      <c r="E854" t="s">
        <v>66</v>
      </c>
      <c r="G854">
        <v>20</v>
      </c>
      <c r="H854">
        <v>20</v>
      </c>
      <c r="I854" t="s">
        <v>61</v>
      </c>
      <c r="J854">
        <v>200000</v>
      </c>
      <c r="K854">
        <v>4000000</v>
      </c>
      <c r="L854" t="s">
        <v>9</v>
      </c>
      <c r="M854" t="s">
        <v>7</v>
      </c>
      <c r="N854" t="b">
        <v>0</v>
      </c>
    </row>
    <row r="855" spans="1:14" x14ac:dyDescent="0.3">
      <c r="A855" t="s">
        <v>25</v>
      </c>
      <c r="B855" t="s">
        <v>9</v>
      </c>
      <c r="C855">
        <v>16</v>
      </c>
      <c r="E855" t="s">
        <v>68</v>
      </c>
      <c r="G855">
        <v>8</v>
      </c>
      <c r="H855">
        <v>8</v>
      </c>
      <c r="I855" t="s">
        <v>61</v>
      </c>
      <c r="J855">
        <v>200000</v>
      </c>
      <c r="K855">
        <v>1600000</v>
      </c>
      <c r="L855" t="s">
        <v>9</v>
      </c>
      <c r="M855" t="s">
        <v>7</v>
      </c>
      <c r="N855" t="b">
        <v>0</v>
      </c>
    </row>
    <row r="856" spans="1:14" x14ac:dyDescent="0.3">
      <c r="A856" t="s">
        <v>25</v>
      </c>
      <c r="B856" t="s">
        <v>9</v>
      </c>
      <c r="C856">
        <v>17</v>
      </c>
      <c r="E856" t="s">
        <v>69</v>
      </c>
      <c r="G856">
        <v>16</v>
      </c>
      <c r="H856">
        <v>16</v>
      </c>
      <c r="I856" t="s">
        <v>61</v>
      </c>
      <c r="J856">
        <v>200000</v>
      </c>
      <c r="K856">
        <v>3200000</v>
      </c>
      <c r="L856" t="s">
        <v>9</v>
      </c>
      <c r="M856" t="s">
        <v>7</v>
      </c>
      <c r="N856" t="b">
        <v>0</v>
      </c>
    </row>
    <row r="857" spans="1:14" x14ac:dyDescent="0.3">
      <c r="A857" t="s">
        <v>25</v>
      </c>
      <c r="B857" t="s">
        <v>9</v>
      </c>
      <c r="C857">
        <v>18</v>
      </c>
      <c r="E857" t="s">
        <v>70</v>
      </c>
      <c r="G857">
        <v>16</v>
      </c>
      <c r="H857">
        <v>16</v>
      </c>
      <c r="I857" t="s">
        <v>61</v>
      </c>
      <c r="J857">
        <v>400000</v>
      </c>
      <c r="K857">
        <v>6400000</v>
      </c>
      <c r="L857" t="s">
        <v>9</v>
      </c>
      <c r="M857" t="s">
        <v>7</v>
      </c>
      <c r="N857" t="b">
        <v>0</v>
      </c>
    </row>
    <row r="858" spans="1:14" x14ac:dyDescent="0.3">
      <c r="A858" t="s">
        <v>25</v>
      </c>
      <c r="B858" t="s">
        <v>9</v>
      </c>
      <c r="C858">
        <v>19</v>
      </c>
      <c r="E858" t="s">
        <v>71</v>
      </c>
      <c r="G858">
        <v>16</v>
      </c>
      <c r="H858">
        <v>16</v>
      </c>
      <c r="I858" t="s">
        <v>61</v>
      </c>
      <c r="J858">
        <v>120000</v>
      </c>
      <c r="K858">
        <v>1920000</v>
      </c>
      <c r="L858" t="s">
        <v>9</v>
      </c>
      <c r="M858" t="s">
        <v>7</v>
      </c>
      <c r="N858" t="b">
        <v>0</v>
      </c>
    </row>
    <row r="859" spans="1:14" x14ac:dyDescent="0.3">
      <c r="A859" t="s">
        <v>25</v>
      </c>
      <c r="B859" t="s">
        <v>9</v>
      </c>
      <c r="C859">
        <v>20</v>
      </c>
      <c r="E859" t="s">
        <v>72</v>
      </c>
      <c r="G859">
        <v>24</v>
      </c>
      <c r="H859">
        <v>24</v>
      </c>
      <c r="I859" t="s">
        <v>61</v>
      </c>
      <c r="J859">
        <v>400000</v>
      </c>
      <c r="K859">
        <v>9600000</v>
      </c>
      <c r="L859" t="s">
        <v>9</v>
      </c>
      <c r="M859" t="s">
        <v>7</v>
      </c>
      <c r="N859" t="b">
        <v>0</v>
      </c>
    </row>
    <row r="860" spans="1:14" x14ac:dyDescent="0.3">
      <c r="A860" t="s">
        <v>25</v>
      </c>
      <c r="B860" t="s">
        <v>9</v>
      </c>
      <c r="C860">
        <v>21</v>
      </c>
      <c r="D860" t="s">
        <v>73</v>
      </c>
      <c r="E860" t="s">
        <v>74</v>
      </c>
      <c r="F860">
        <v>132</v>
      </c>
      <c r="G860" t="s">
        <v>103</v>
      </c>
      <c r="H860">
        <v>6.5286144000000004</v>
      </c>
      <c r="I860" t="s">
        <v>46</v>
      </c>
      <c r="J860">
        <v>35000000</v>
      </c>
      <c r="K860">
        <v>228501504</v>
      </c>
      <c r="L860" t="s">
        <v>9</v>
      </c>
      <c r="M860" t="s">
        <v>7</v>
      </c>
      <c r="N860" t="b">
        <v>0</v>
      </c>
    </row>
    <row r="861" spans="1:14" x14ac:dyDescent="0.3">
      <c r="A861" t="s">
        <v>25</v>
      </c>
      <c r="B861" t="s">
        <v>9</v>
      </c>
      <c r="C861">
        <v>22</v>
      </c>
      <c r="D861" t="s">
        <v>75</v>
      </c>
      <c r="E861" t="s">
        <v>76</v>
      </c>
      <c r="F861" t="s">
        <v>77</v>
      </c>
      <c r="G861">
        <v>2</v>
      </c>
      <c r="H861">
        <v>2</v>
      </c>
      <c r="I861" t="s">
        <v>46</v>
      </c>
      <c r="J861">
        <v>5200000</v>
      </c>
      <c r="K861">
        <v>10400000</v>
      </c>
      <c r="L861" t="s">
        <v>9</v>
      </c>
      <c r="M861" t="s">
        <v>7</v>
      </c>
      <c r="N861" t="b">
        <v>0</v>
      </c>
    </row>
    <row r="862" spans="1:14" x14ac:dyDescent="0.3">
      <c r="A862" t="s">
        <v>25</v>
      </c>
      <c r="B862" t="s">
        <v>9</v>
      </c>
      <c r="C862">
        <v>23</v>
      </c>
      <c r="E862" t="s">
        <v>78</v>
      </c>
      <c r="F862" t="s">
        <v>79</v>
      </c>
      <c r="G862">
        <v>2</v>
      </c>
      <c r="H862">
        <v>1.2</v>
      </c>
      <c r="I862" t="s">
        <v>46</v>
      </c>
      <c r="J862">
        <v>5200000</v>
      </c>
      <c r="K862">
        <v>6240000</v>
      </c>
      <c r="L862" t="s">
        <v>9</v>
      </c>
      <c r="M862" t="s">
        <v>7</v>
      </c>
      <c r="N862" t="b">
        <v>0</v>
      </c>
    </row>
    <row r="863" spans="1:14" x14ac:dyDescent="0.3">
      <c r="A863" t="s">
        <v>25</v>
      </c>
      <c r="B863" t="s">
        <v>9</v>
      </c>
      <c r="C863">
        <v>24</v>
      </c>
      <c r="D863" t="s">
        <v>80</v>
      </c>
      <c r="E863" t="s">
        <v>81</v>
      </c>
      <c r="F863" t="s">
        <v>171</v>
      </c>
      <c r="G863">
        <v>2</v>
      </c>
      <c r="H863">
        <v>1.0351689999999998</v>
      </c>
      <c r="I863" t="s">
        <v>46</v>
      </c>
      <c r="J863">
        <v>8500000</v>
      </c>
      <c r="K863">
        <v>8798936.4999999981</v>
      </c>
      <c r="L863" t="s">
        <v>9</v>
      </c>
      <c r="M863" t="s">
        <v>7</v>
      </c>
      <c r="N863" t="b">
        <v>0</v>
      </c>
    </row>
    <row r="864" spans="1:14" x14ac:dyDescent="0.3">
      <c r="A864" t="s">
        <v>25</v>
      </c>
      <c r="B864" t="s">
        <v>9</v>
      </c>
      <c r="C864">
        <v>25</v>
      </c>
      <c r="D864" t="s">
        <v>83</v>
      </c>
      <c r="E864" t="s">
        <v>84</v>
      </c>
      <c r="F864">
        <v>0.18</v>
      </c>
      <c r="G864">
        <v>2</v>
      </c>
      <c r="H864">
        <v>2</v>
      </c>
      <c r="I864" t="s">
        <v>61</v>
      </c>
      <c r="J864">
        <v>1300000</v>
      </c>
      <c r="K864">
        <v>2600000</v>
      </c>
      <c r="L864" t="s">
        <v>9</v>
      </c>
      <c r="M864" t="s">
        <v>7</v>
      </c>
      <c r="N864" t="b">
        <v>0</v>
      </c>
    </row>
    <row r="865" spans="1:14" x14ac:dyDescent="0.3">
      <c r="A865" t="s">
        <v>25</v>
      </c>
      <c r="B865" t="s">
        <v>9</v>
      </c>
      <c r="C865">
        <v>26</v>
      </c>
      <c r="E865" t="s">
        <v>86</v>
      </c>
      <c r="F865">
        <v>0.2</v>
      </c>
      <c r="G865">
        <v>3</v>
      </c>
      <c r="H865">
        <v>3</v>
      </c>
      <c r="I865" t="s">
        <v>61</v>
      </c>
      <c r="J865">
        <v>1300000</v>
      </c>
      <c r="K865">
        <v>3900000</v>
      </c>
      <c r="L865" t="s">
        <v>9</v>
      </c>
      <c r="M865" t="s">
        <v>7</v>
      </c>
      <c r="N865" t="b">
        <v>0</v>
      </c>
    </row>
    <row r="866" spans="1:14" x14ac:dyDescent="0.3">
      <c r="A866" t="s">
        <v>25</v>
      </c>
      <c r="B866" t="s">
        <v>9</v>
      </c>
      <c r="C866">
        <v>27</v>
      </c>
      <c r="D866" t="s">
        <v>88</v>
      </c>
      <c r="E866" t="s">
        <v>89</v>
      </c>
      <c r="F866" t="s">
        <v>90</v>
      </c>
      <c r="G866">
        <v>1</v>
      </c>
      <c r="H866">
        <v>1</v>
      </c>
      <c r="I866" t="s">
        <v>61</v>
      </c>
      <c r="J866">
        <v>100000</v>
      </c>
      <c r="K866">
        <v>100000</v>
      </c>
      <c r="L866" t="s">
        <v>9</v>
      </c>
      <c r="M866" t="s">
        <v>7</v>
      </c>
      <c r="N866" t="b">
        <v>0</v>
      </c>
    </row>
    <row r="867" spans="1:14" x14ac:dyDescent="0.3">
      <c r="A867" t="s">
        <v>25</v>
      </c>
      <c r="B867" t="s">
        <v>9</v>
      </c>
      <c r="C867">
        <v>28</v>
      </c>
      <c r="D867" t="s">
        <v>65</v>
      </c>
      <c r="E867" t="s">
        <v>91</v>
      </c>
      <c r="G867">
        <v>2</v>
      </c>
      <c r="H867">
        <v>2</v>
      </c>
      <c r="I867" t="s">
        <v>61</v>
      </c>
      <c r="J867">
        <v>2400000</v>
      </c>
      <c r="K867">
        <v>4800000</v>
      </c>
      <c r="L867" t="s">
        <v>9</v>
      </c>
      <c r="M867" t="s">
        <v>7</v>
      </c>
      <c r="N867" t="b">
        <v>0</v>
      </c>
    </row>
    <row r="868" spans="1:14" x14ac:dyDescent="0.3">
      <c r="A868" t="s">
        <v>25</v>
      </c>
      <c r="B868" t="s">
        <v>9</v>
      </c>
      <c r="C868">
        <v>29</v>
      </c>
      <c r="E868" t="s">
        <v>92</v>
      </c>
      <c r="G868">
        <v>2</v>
      </c>
      <c r="H868">
        <v>2</v>
      </c>
      <c r="I868" t="s">
        <v>61</v>
      </c>
      <c r="J868">
        <v>2400000</v>
      </c>
      <c r="K868">
        <v>4800000</v>
      </c>
      <c r="L868" t="s">
        <v>9</v>
      </c>
      <c r="M868" t="s">
        <v>7</v>
      </c>
      <c r="N868" t="b">
        <v>0</v>
      </c>
    </row>
    <row r="869" spans="1:14" x14ac:dyDescent="0.3">
      <c r="A869" t="s">
        <v>25</v>
      </c>
      <c r="B869" t="s">
        <v>9</v>
      </c>
      <c r="C869">
        <v>30</v>
      </c>
      <c r="E869" t="s">
        <v>93</v>
      </c>
      <c r="G869">
        <v>2</v>
      </c>
      <c r="H869">
        <v>2</v>
      </c>
      <c r="I869" t="s">
        <v>61</v>
      </c>
      <c r="J869">
        <v>3000000</v>
      </c>
      <c r="K869">
        <v>6000000</v>
      </c>
      <c r="L869" t="s">
        <v>9</v>
      </c>
      <c r="M869" t="s">
        <v>7</v>
      </c>
      <c r="N869" t="b">
        <v>0</v>
      </c>
    </row>
    <row r="870" spans="1:14" x14ac:dyDescent="0.3">
      <c r="A870" t="s">
        <v>25</v>
      </c>
      <c r="B870" t="s">
        <v>9</v>
      </c>
      <c r="C870">
        <v>31</v>
      </c>
      <c r="D870" t="s">
        <v>104</v>
      </c>
      <c r="E870" t="s">
        <v>105</v>
      </c>
      <c r="G870">
        <v>1</v>
      </c>
      <c r="H870">
        <v>2</v>
      </c>
      <c r="I870" t="s">
        <v>61</v>
      </c>
      <c r="J870">
        <v>30000000</v>
      </c>
      <c r="K870">
        <v>60000000</v>
      </c>
      <c r="L870" t="s">
        <v>9</v>
      </c>
      <c r="M870" t="s">
        <v>7</v>
      </c>
      <c r="N870" t="b">
        <v>0</v>
      </c>
    </row>
    <row r="871" spans="1:14" x14ac:dyDescent="0.3">
      <c r="A871" t="s">
        <v>25</v>
      </c>
      <c r="B871" t="s">
        <v>9</v>
      </c>
      <c r="C871">
        <v>32</v>
      </c>
      <c r="E871" t="s">
        <v>106</v>
      </c>
      <c r="G871">
        <v>1</v>
      </c>
      <c r="H871">
        <v>0</v>
      </c>
      <c r="I871" t="s">
        <v>61</v>
      </c>
      <c r="J871">
        <v>24000000</v>
      </c>
      <c r="K871">
        <v>0</v>
      </c>
      <c r="L871" t="s">
        <v>9</v>
      </c>
      <c r="M871" t="s">
        <v>7</v>
      </c>
      <c r="N871" t="b">
        <v>0</v>
      </c>
    </row>
    <row r="872" spans="1:14" x14ac:dyDescent="0.3">
      <c r="A872" t="s">
        <v>25</v>
      </c>
      <c r="B872" t="s">
        <v>9</v>
      </c>
      <c r="C872">
        <v>33</v>
      </c>
      <c r="D872" t="s">
        <v>94</v>
      </c>
      <c r="E872" t="s">
        <v>95</v>
      </c>
      <c r="G872">
        <v>2</v>
      </c>
      <c r="H872">
        <v>2</v>
      </c>
      <c r="I872" t="s">
        <v>61</v>
      </c>
      <c r="J872">
        <v>1300000</v>
      </c>
      <c r="K872">
        <v>2600000</v>
      </c>
      <c r="L872" t="s">
        <v>9</v>
      </c>
      <c r="M872" t="s">
        <v>7</v>
      </c>
      <c r="N872" t="b">
        <v>0</v>
      </c>
    </row>
    <row r="873" spans="1:14" x14ac:dyDescent="0.3">
      <c r="A873" t="s">
        <v>25</v>
      </c>
      <c r="B873" t="s">
        <v>9</v>
      </c>
      <c r="C873">
        <v>34</v>
      </c>
      <c r="D873" t="s">
        <v>94</v>
      </c>
      <c r="E873" t="s">
        <v>96</v>
      </c>
      <c r="G873">
        <v>4</v>
      </c>
      <c r="H873">
        <v>1.34</v>
      </c>
      <c r="I873" t="s">
        <v>97</v>
      </c>
      <c r="J873">
        <v>460000</v>
      </c>
      <c r="K873">
        <v>616400</v>
      </c>
      <c r="L873" t="s">
        <v>9</v>
      </c>
      <c r="M873" t="s">
        <v>7</v>
      </c>
      <c r="N873" t="b">
        <v>0</v>
      </c>
    </row>
    <row r="874" spans="1:14" x14ac:dyDescent="0.3">
      <c r="A874" t="s">
        <v>25</v>
      </c>
      <c r="B874" t="s">
        <v>9</v>
      </c>
      <c r="C874">
        <v>35</v>
      </c>
      <c r="D874" t="s">
        <v>98</v>
      </c>
      <c r="E874" t="s">
        <v>99</v>
      </c>
      <c r="F874">
        <v>50</v>
      </c>
      <c r="G874">
        <v>8</v>
      </c>
      <c r="H874">
        <v>0.8</v>
      </c>
      <c r="I874" t="s">
        <v>100</v>
      </c>
      <c r="J874">
        <v>17526080</v>
      </c>
      <c r="K874">
        <v>14020864</v>
      </c>
      <c r="L874" t="s">
        <v>9</v>
      </c>
      <c r="M874" t="s">
        <v>7</v>
      </c>
      <c r="N874" t="b">
        <v>0</v>
      </c>
    </row>
    <row r="875" spans="1:14" x14ac:dyDescent="0.3">
      <c r="A875" t="s">
        <v>25</v>
      </c>
      <c r="B875" t="s">
        <v>9</v>
      </c>
      <c r="C875">
        <v>28</v>
      </c>
      <c r="E875" t="s">
        <v>101</v>
      </c>
      <c r="H875">
        <v>8</v>
      </c>
      <c r="I875" t="s">
        <v>102</v>
      </c>
      <c r="J875">
        <v>13000000</v>
      </c>
      <c r="K875">
        <v>104000000</v>
      </c>
      <c r="L875" t="s">
        <v>9</v>
      </c>
      <c r="M875" t="s">
        <v>7</v>
      </c>
      <c r="N875" t="b">
        <v>0</v>
      </c>
    </row>
    <row r="876" spans="1:14" x14ac:dyDescent="0.3">
      <c r="A876" t="s">
        <v>25</v>
      </c>
      <c r="B876" t="s">
        <v>9</v>
      </c>
      <c r="C876">
        <v>29</v>
      </c>
      <c r="E876" t="s">
        <v>107</v>
      </c>
      <c r="H876">
        <v>0</v>
      </c>
      <c r="I876" t="s">
        <v>108</v>
      </c>
      <c r="K876">
        <v>0</v>
      </c>
      <c r="L876" t="s">
        <v>9</v>
      </c>
      <c r="M876" t="s">
        <v>7</v>
      </c>
      <c r="N876" t="b">
        <v>0</v>
      </c>
    </row>
    <row r="877" spans="1:14" x14ac:dyDescent="0.3">
      <c r="A877" t="s">
        <v>25</v>
      </c>
      <c r="B877" t="s">
        <v>10</v>
      </c>
      <c r="C877">
        <v>1</v>
      </c>
      <c r="D877" t="s">
        <v>44</v>
      </c>
      <c r="E877" t="s">
        <v>45</v>
      </c>
      <c r="F877">
        <v>168</v>
      </c>
      <c r="G877">
        <v>2</v>
      </c>
      <c r="H877">
        <v>0.47039999999999998</v>
      </c>
      <c r="I877" t="s">
        <v>46</v>
      </c>
      <c r="J877">
        <v>8500000</v>
      </c>
      <c r="K877">
        <v>3998400</v>
      </c>
      <c r="L877" t="s">
        <v>10</v>
      </c>
      <c r="M877" t="s">
        <v>7</v>
      </c>
      <c r="N877" t="b">
        <v>0</v>
      </c>
    </row>
    <row r="878" spans="1:14" x14ac:dyDescent="0.3">
      <c r="A878" t="s">
        <v>25</v>
      </c>
      <c r="B878" t="s">
        <v>10</v>
      </c>
      <c r="C878">
        <v>2</v>
      </c>
      <c r="E878" t="s">
        <v>47</v>
      </c>
      <c r="F878">
        <v>0</v>
      </c>
      <c r="G878">
        <v>0</v>
      </c>
      <c r="H878">
        <v>0</v>
      </c>
      <c r="I878" t="s">
        <v>46</v>
      </c>
      <c r="J878">
        <v>8500000</v>
      </c>
      <c r="K878">
        <v>0</v>
      </c>
      <c r="L878" t="s">
        <v>10</v>
      </c>
      <c r="M878" t="s">
        <v>7</v>
      </c>
      <c r="N878" t="b">
        <v>0</v>
      </c>
    </row>
    <row r="879" spans="1:14" x14ac:dyDescent="0.3">
      <c r="A879" t="s">
        <v>25</v>
      </c>
      <c r="B879" t="s">
        <v>10</v>
      </c>
      <c r="C879">
        <v>3</v>
      </c>
      <c r="E879" t="s">
        <v>170</v>
      </c>
      <c r="F879">
        <v>168</v>
      </c>
      <c r="G879">
        <v>2</v>
      </c>
      <c r="H879">
        <v>1.1088</v>
      </c>
      <c r="I879" t="s">
        <v>46</v>
      </c>
      <c r="J879">
        <v>8500000</v>
      </c>
      <c r="K879">
        <v>9424800</v>
      </c>
      <c r="L879" t="s">
        <v>10</v>
      </c>
      <c r="M879" t="s">
        <v>7</v>
      </c>
      <c r="N879" t="b">
        <v>0</v>
      </c>
    </row>
    <row r="880" spans="1:14" x14ac:dyDescent="0.3">
      <c r="A880" t="s">
        <v>25</v>
      </c>
      <c r="B880" t="s">
        <v>10</v>
      </c>
      <c r="C880">
        <v>4</v>
      </c>
      <c r="E880" t="s">
        <v>49</v>
      </c>
      <c r="F880">
        <v>120</v>
      </c>
      <c r="G880">
        <v>4</v>
      </c>
      <c r="H880">
        <v>0.48</v>
      </c>
      <c r="I880" t="s">
        <v>46</v>
      </c>
      <c r="J880">
        <v>8500000</v>
      </c>
      <c r="K880">
        <v>4080000</v>
      </c>
      <c r="L880" t="s">
        <v>10</v>
      </c>
      <c r="M880" t="s">
        <v>7</v>
      </c>
      <c r="N880" t="b">
        <v>0</v>
      </c>
    </row>
    <row r="881" spans="1:14" x14ac:dyDescent="0.3">
      <c r="A881" t="s">
        <v>25</v>
      </c>
      <c r="B881" t="s">
        <v>10</v>
      </c>
      <c r="C881">
        <v>5</v>
      </c>
      <c r="E881" t="s">
        <v>50</v>
      </c>
      <c r="F881">
        <v>180</v>
      </c>
      <c r="G881">
        <v>2</v>
      </c>
      <c r="H881">
        <v>0.85438800000000004</v>
      </c>
      <c r="I881" t="s">
        <v>46</v>
      </c>
      <c r="J881">
        <v>8500000</v>
      </c>
      <c r="K881">
        <v>7262298</v>
      </c>
      <c r="L881" t="s">
        <v>10</v>
      </c>
      <c r="M881" t="s">
        <v>7</v>
      </c>
      <c r="N881" t="b">
        <v>0</v>
      </c>
    </row>
    <row r="882" spans="1:14" x14ac:dyDescent="0.3">
      <c r="A882" t="s">
        <v>25</v>
      </c>
      <c r="B882" t="s">
        <v>10</v>
      </c>
      <c r="C882">
        <v>6</v>
      </c>
      <c r="E882" t="s">
        <v>51</v>
      </c>
      <c r="F882">
        <v>0.58799999999999997</v>
      </c>
      <c r="G882">
        <v>4</v>
      </c>
      <c r="H882">
        <v>8.7635520000000007</v>
      </c>
      <c r="I882" t="s">
        <v>46</v>
      </c>
      <c r="J882">
        <v>8500000</v>
      </c>
      <c r="K882">
        <v>74490192</v>
      </c>
      <c r="L882" t="s">
        <v>10</v>
      </c>
      <c r="M882" t="s">
        <v>7</v>
      </c>
      <c r="N882" t="b">
        <v>0</v>
      </c>
    </row>
    <row r="883" spans="1:14" x14ac:dyDescent="0.3">
      <c r="A883" t="s">
        <v>25</v>
      </c>
      <c r="B883" t="s">
        <v>10</v>
      </c>
      <c r="C883">
        <v>7</v>
      </c>
      <c r="D883" t="s">
        <v>52</v>
      </c>
      <c r="E883" t="s">
        <v>53</v>
      </c>
      <c r="F883">
        <v>0.13</v>
      </c>
      <c r="G883">
        <v>1.157184</v>
      </c>
      <c r="H883">
        <v>1.157184</v>
      </c>
      <c r="I883" t="s">
        <v>54</v>
      </c>
      <c r="J883">
        <v>4275000</v>
      </c>
      <c r="K883">
        <v>4946961.5999999996</v>
      </c>
      <c r="L883" t="s">
        <v>10</v>
      </c>
      <c r="M883" t="s">
        <v>7</v>
      </c>
      <c r="N883" t="b">
        <v>0</v>
      </c>
    </row>
    <row r="884" spans="1:14" x14ac:dyDescent="0.3">
      <c r="A884" t="s">
        <v>25</v>
      </c>
      <c r="B884" t="s">
        <v>10</v>
      </c>
      <c r="C884">
        <v>8</v>
      </c>
      <c r="E884" t="s">
        <v>55</v>
      </c>
      <c r="F884">
        <v>0.35</v>
      </c>
      <c r="G884">
        <v>0</v>
      </c>
      <c r="H884">
        <v>0</v>
      </c>
      <c r="I884" t="s">
        <v>46</v>
      </c>
      <c r="J884">
        <v>35750000</v>
      </c>
      <c r="K884">
        <v>0</v>
      </c>
      <c r="L884" t="s">
        <v>10</v>
      </c>
      <c r="M884" t="s">
        <v>7</v>
      </c>
      <c r="N884" t="b">
        <v>0</v>
      </c>
    </row>
    <row r="885" spans="1:14" x14ac:dyDescent="0.3">
      <c r="A885" t="s">
        <v>25</v>
      </c>
      <c r="B885" t="s">
        <v>10</v>
      </c>
      <c r="C885">
        <v>9</v>
      </c>
      <c r="E885" t="s">
        <v>55</v>
      </c>
      <c r="F885">
        <v>0.2</v>
      </c>
      <c r="G885">
        <v>0.578592</v>
      </c>
      <c r="H885">
        <v>0.578592</v>
      </c>
      <c r="I885" t="s">
        <v>46</v>
      </c>
      <c r="J885">
        <v>45760000</v>
      </c>
      <c r="K885">
        <v>26476369.920000002</v>
      </c>
      <c r="L885" t="s">
        <v>10</v>
      </c>
      <c r="M885" t="s">
        <v>7</v>
      </c>
      <c r="N885" t="b">
        <v>0</v>
      </c>
    </row>
    <row r="886" spans="1:14" x14ac:dyDescent="0.3">
      <c r="A886" t="s">
        <v>25</v>
      </c>
      <c r="B886" t="s">
        <v>10</v>
      </c>
      <c r="C886">
        <v>10</v>
      </c>
      <c r="D886" t="s">
        <v>56</v>
      </c>
      <c r="E886" t="s">
        <v>57</v>
      </c>
      <c r="G886">
        <v>1.5791999999999999</v>
      </c>
      <c r="H886">
        <v>1.5791999999999999</v>
      </c>
      <c r="I886" t="s">
        <v>46</v>
      </c>
      <c r="J886">
        <v>1430000</v>
      </c>
      <c r="K886">
        <v>2258256</v>
      </c>
      <c r="L886" t="s">
        <v>10</v>
      </c>
      <c r="M886" t="s">
        <v>7</v>
      </c>
      <c r="N886" t="b">
        <v>0</v>
      </c>
    </row>
    <row r="887" spans="1:14" x14ac:dyDescent="0.3">
      <c r="A887" t="s">
        <v>25</v>
      </c>
      <c r="B887" t="s">
        <v>10</v>
      </c>
      <c r="C887">
        <v>11</v>
      </c>
      <c r="D887" t="s">
        <v>58</v>
      </c>
      <c r="E887" t="s">
        <v>59</v>
      </c>
      <c r="G887">
        <v>8</v>
      </c>
      <c r="H887">
        <v>8</v>
      </c>
      <c r="I887" t="s">
        <v>46</v>
      </c>
      <c r="J887">
        <v>3000000</v>
      </c>
      <c r="K887">
        <v>24000000</v>
      </c>
      <c r="L887" t="s">
        <v>10</v>
      </c>
      <c r="M887" t="s">
        <v>7</v>
      </c>
      <c r="N887" t="b">
        <v>0</v>
      </c>
    </row>
    <row r="888" spans="1:14" x14ac:dyDescent="0.3">
      <c r="A888" t="s">
        <v>25</v>
      </c>
      <c r="B888" t="s">
        <v>10</v>
      </c>
      <c r="C888">
        <v>12</v>
      </c>
      <c r="E888" t="s">
        <v>60</v>
      </c>
      <c r="G888">
        <v>8.7635520000000007</v>
      </c>
      <c r="H888">
        <v>8.7635520000000007</v>
      </c>
      <c r="I888" t="s">
        <v>61</v>
      </c>
      <c r="J888">
        <v>3600000</v>
      </c>
      <c r="K888">
        <v>31548787.200000003</v>
      </c>
      <c r="L888" t="s">
        <v>10</v>
      </c>
      <c r="M888" t="s">
        <v>7</v>
      </c>
      <c r="N888" t="b">
        <v>0</v>
      </c>
    </row>
    <row r="889" spans="1:14" x14ac:dyDescent="0.3">
      <c r="A889" t="s">
        <v>25</v>
      </c>
      <c r="B889" t="s">
        <v>10</v>
      </c>
      <c r="C889">
        <v>13</v>
      </c>
      <c r="D889" t="s">
        <v>62</v>
      </c>
      <c r="E889" t="s">
        <v>63</v>
      </c>
      <c r="G889">
        <v>2.3519999999999999</v>
      </c>
      <c r="H889">
        <v>2.3519999999999999</v>
      </c>
      <c r="I889" t="s">
        <v>61</v>
      </c>
      <c r="J889">
        <v>3600000</v>
      </c>
      <c r="K889">
        <v>8467200</v>
      </c>
      <c r="L889" t="s">
        <v>10</v>
      </c>
      <c r="M889" t="s">
        <v>7</v>
      </c>
      <c r="N889" t="b">
        <v>0</v>
      </c>
    </row>
    <row r="890" spans="1:14" x14ac:dyDescent="0.3">
      <c r="A890" t="s">
        <v>25</v>
      </c>
      <c r="B890" t="s">
        <v>10</v>
      </c>
      <c r="C890">
        <v>14</v>
      </c>
      <c r="E890" t="s">
        <v>64</v>
      </c>
      <c r="G890">
        <v>0.1</v>
      </c>
      <c r="H890">
        <v>0.1</v>
      </c>
      <c r="I890" t="s">
        <v>61</v>
      </c>
      <c r="J890">
        <v>5500000</v>
      </c>
      <c r="K890">
        <v>550000</v>
      </c>
      <c r="L890" t="s">
        <v>10</v>
      </c>
      <c r="M890" t="s">
        <v>7</v>
      </c>
      <c r="N890" t="b">
        <v>0</v>
      </c>
    </row>
    <row r="891" spans="1:14" x14ac:dyDescent="0.3">
      <c r="A891" t="s">
        <v>25</v>
      </c>
      <c r="B891" t="s">
        <v>10</v>
      </c>
      <c r="C891">
        <v>15</v>
      </c>
      <c r="D891" t="s">
        <v>65</v>
      </c>
      <c r="E891" t="s">
        <v>66</v>
      </c>
      <c r="G891" t="s">
        <v>67</v>
      </c>
      <c r="H891">
        <v>8</v>
      </c>
      <c r="I891" t="s">
        <v>61</v>
      </c>
      <c r="J891">
        <v>200000</v>
      </c>
      <c r="K891">
        <v>1600000</v>
      </c>
      <c r="L891" t="s">
        <v>10</v>
      </c>
      <c r="M891" t="s">
        <v>7</v>
      </c>
      <c r="N891" t="b">
        <v>0</v>
      </c>
    </row>
    <row r="892" spans="1:14" x14ac:dyDescent="0.3">
      <c r="A892" t="s">
        <v>25</v>
      </c>
      <c r="B892" t="s">
        <v>10</v>
      </c>
      <c r="C892">
        <v>16</v>
      </c>
      <c r="E892" t="s">
        <v>68</v>
      </c>
      <c r="G892">
        <v>8</v>
      </c>
      <c r="H892">
        <v>8</v>
      </c>
      <c r="I892" t="s">
        <v>61</v>
      </c>
      <c r="J892">
        <v>200000</v>
      </c>
      <c r="K892">
        <v>1600000</v>
      </c>
      <c r="L892" t="s">
        <v>10</v>
      </c>
      <c r="M892" t="s">
        <v>7</v>
      </c>
      <c r="N892" t="b">
        <v>0</v>
      </c>
    </row>
    <row r="893" spans="1:14" x14ac:dyDescent="0.3">
      <c r="A893" t="s">
        <v>25</v>
      </c>
      <c r="B893" t="s">
        <v>10</v>
      </c>
      <c r="C893">
        <v>17</v>
      </c>
      <c r="E893" t="s">
        <v>69</v>
      </c>
      <c r="G893">
        <v>88</v>
      </c>
      <c r="H893">
        <v>16</v>
      </c>
      <c r="I893" t="s">
        <v>61</v>
      </c>
      <c r="J893">
        <v>200000</v>
      </c>
      <c r="K893">
        <v>3200000</v>
      </c>
      <c r="L893" t="s">
        <v>10</v>
      </c>
      <c r="M893" t="s">
        <v>7</v>
      </c>
      <c r="N893" t="b">
        <v>0</v>
      </c>
    </row>
    <row r="894" spans="1:14" x14ac:dyDescent="0.3">
      <c r="A894" t="s">
        <v>25</v>
      </c>
      <c r="B894" t="s">
        <v>10</v>
      </c>
      <c r="C894">
        <v>18</v>
      </c>
      <c r="E894" t="s">
        <v>70</v>
      </c>
      <c r="G894">
        <v>16</v>
      </c>
      <c r="H894">
        <v>16</v>
      </c>
      <c r="I894" t="s">
        <v>61</v>
      </c>
      <c r="J894">
        <v>400000</v>
      </c>
      <c r="K894">
        <v>6400000</v>
      </c>
      <c r="L894" t="s">
        <v>10</v>
      </c>
      <c r="M894" t="s">
        <v>7</v>
      </c>
      <c r="N894" t="b">
        <v>0</v>
      </c>
    </row>
    <row r="895" spans="1:14" x14ac:dyDescent="0.3">
      <c r="A895" t="s">
        <v>25</v>
      </c>
      <c r="B895" t="s">
        <v>10</v>
      </c>
      <c r="C895">
        <v>19</v>
      </c>
      <c r="E895" t="s">
        <v>71</v>
      </c>
      <c r="G895">
        <v>16</v>
      </c>
      <c r="H895">
        <v>16</v>
      </c>
      <c r="I895" t="s">
        <v>61</v>
      </c>
      <c r="J895">
        <v>120000</v>
      </c>
      <c r="K895">
        <v>1920000</v>
      </c>
      <c r="L895" t="s">
        <v>10</v>
      </c>
      <c r="M895" t="s">
        <v>7</v>
      </c>
      <c r="N895" t="b">
        <v>0</v>
      </c>
    </row>
    <row r="896" spans="1:14" x14ac:dyDescent="0.3">
      <c r="A896" t="s">
        <v>25</v>
      </c>
      <c r="B896" t="s">
        <v>10</v>
      </c>
      <c r="C896">
        <v>20</v>
      </c>
      <c r="E896" t="s">
        <v>72</v>
      </c>
      <c r="G896">
        <v>24</v>
      </c>
      <c r="H896">
        <v>24</v>
      </c>
      <c r="I896" t="s">
        <v>61</v>
      </c>
      <c r="J896">
        <v>400000</v>
      </c>
      <c r="K896">
        <v>9600000</v>
      </c>
      <c r="L896" t="s">
        <v>10</v>
      </c>
      <c r="M896" t="s">
        <v>7</v>
      </c>
      <c r="N896" t="b">
        <v>0</v>
      </c>
    </row>
    <row r="897" spans="1:14" x14ac:dyDescent="0.3">
      <c r="A897" t="s">
        <v>25</v>
      </c>
      <c r="B897" t="s">
        <v>10</v>
      </c>
      <c r="C897">
        <v>21</v>
      </c>
      <c r="D897" t="s">
        <v>73</v>
      </c>
      <c r="E897" t="s">
        <v>74</v>
      </c>
      <c r="F897">
        <v>132</v>
      </c>
      <c r="G897">
        <v>8</v>
      </c>
      <c r="H897">
        <v>6.5286144000000004</v>
      </c>
      <c r="I897" t="s">
        <v>46</v>
      </c>
      <c r="J897">
        <v>35000000</v>
      </c>
      <c r="K897">
        <v>228501504</v>
      </c>
      <c r="L897" t="s">
        <v>10</v>
      </c>
      <c r="M897" t="s">
        <v>7</v>
      </c>
      <c r="N897" t="b">
        <v>0</v>
      </c>
    </row>
    <row r="898" spans="1:14" x14ac:dyDescent="0.3">
      <c r="A898" t="s">
        <v>25</v>
      </c>
      <c r="B898" t="s">
        <v>10</v>
      </c>
      <c r="C898">
        <v>22</v>
      </c>
      <c r="D898" t="s">
        <v>75</v>
      </c>
      <c r="E898" t="s">
        <v>76</v>
      </c>
      <c r="F898" t="s">
        <v>77</v>
      </c>
      <c r="G898">
        <v>2</v>
      </c>
      <c r="H898">
        <v>2</v>
      </c>
      <c r="I898" t="s">
        <v>46</v>
      </c>
      <c r="J898">
        <v>5200000</v>
      </c>
      <c r="K898">
        <v>10400000</v>
      </c>
      <c r="L898" t="s">
        <v>10</v>
      </c>
      <c r="M898" t="s">
        <v>7</v>
      </c>
      <c r="N898" t="b">
        <v>0</v>
      </c>
    </row>
    <row r="899" spans="1:14" x14ac:dyDescent="0.3">
      <c r="A899" t="s">
        <v>25</v>
      </c>
      <c r="B899" t="s">
        <v>10</v>
      </c>
      <c r="C899">
        <v>23</v>
      </c>
      <c r="E899" t="s">
        <v>78</v>
      </c>
      <c r="F899" t="s">
        <v>79</v>
      </c>
      <c r="G899">
        <v>2</v>
      </c>
      <c r="H899">
        <v>1.2</v>
      </c>
      <c r="I899" t="s">
        <v>46</v>
      </c>
      <c r="J899">
        <v>5200000</v>
      </c>
      <c r="K899">
        <v>6240000</v>
      </c>
      <c r="L899" t="s">
        <v>10</v>
      </c>
      <c r="M899" t="s">
        <v>7</v>
      </c>
      <c r="N899" t="b">
        <v>0</v>
      </c>
    </row>
    <row r="900" spans="1:14" x14ac:dyDescent="0.3">
      <c r="A900" t="s">
        <v>25</v>
      </c>
      <c r="B900" t="s">
        <v>10</v>
      </c>
      <c r="C900">
        <v>24</v>
      </c>
      <c r="D900" t="s">
        <v>80</v>
      </c>
      <c r="E900" t="s">
        <v>81</v>
      </c>
      <c r="F900" t="s">
        <v>171</v>
      </c>
      <c r="G900">
        <v>2</v>
      </c>
      <c r="H900">
        <v>1.0351689999999998</v>
      </c>
      <c r="I900" t="s">
        <v>46</v>
      </c>
      <c r="J900">
        <v>8500000</v>
      </c>
      <c r="K900">
        <v>8798936.4999999981</v>
      </c>
      <c r="L900" t="s">
        <v>10</v>
      </c>
      <c r="M900" t="s">
        <v>7</v>
      </c>
      <c r="N900" t="b">
        <v>0</v>
      </c>
    </row>
    <row r="901" spans="1:14" x14ac:dyDescent="0.3">
      <c r="A901" t="s">
        <v>25</v>
      </c>
      <c r="B901" t="s">
        <v>10</v>
      </c>
      <c r="C901">
        <v>25</v>
      </c>
      <c r="D901" t="s">
        <v>83</v>
      </c>
      <c r="E901" t="s">
        <v>84</v>
      </c>
      <c r="F901">
        <v>0.18</v>
      </c>
      <c r="G901" t="s">
        <v>85</v>
      </c>
      <c r="H901" t="s">
        <v>85</v>
      </c>
      <c r="I901" t="s">
        <v>61</v>
      </c>
      <c r="J901">
        <v>1300000</v>
      </c>
      <c r="K901">
        <v>2600000</v>
      </c>
      <c r="L901" t="s">
        <v>10</v>
      </c>
      <c r="M901" t="s">
        <v>7</v>
      </c>
      <c r="N901" t="b">
        <v>0</v>
      </c>
    </row>
    <row r="902" spans="1:14" x14ac:dyDescent="0.3">
      <c r="A902" t="s">
        <v>25</v>
      </c>
      <c r="B902" t="s">
        <v>10</v>
      </c>
      <c r="C902">
        <v>26</v>
      </c>
      <c r="E902" t="s">
        <v>86</v>
      </c>
      <c r="F902">
        <v>0.2</v>
      </c>
      <c r="G902" t="s">
        <v>87</v>
      </c>
      <c r="H902" t="s">
        <v>87</v>
      </c>
      <c r="I902" t="s">
        <v>61</v>
      </c>
      <c r="J902">
        <v>1300000</v>
      </c>
      <c r="K902">
        <v>3900000</v>
      </c>
      <c r="L902" t="s">
        <v>10</v>
      </c>
      <c r="M902" t="s">
        <v>7</v>
      </c>
      <c r="N902" t="b">
        <v>0</v>
      </c>
    </row>
    <row r="903" spans="1:14" x14ac:dyDescent="0.3">
      <c r="A903" t="s">
        <v>25</v>
      </c>
      <c r="B903" t="s">
        <v>10</v>
      </c>
      <c r="C903">
        <v>27</v>
      </c>
      <c r="D903" t="s">
        <v>88</v>
      </c>
      <c r="E903" t="s">
        <v>89</v>
      </c>
      <c r="F903" t="s">
        <v>90</v>
      </c>
      <c r="G903">
        <v>1</v>
      </c>
      <c r="H903">
        <v>1</v>
      </c>
      <c r="I903" t="s">
        <v>61</v>
      </c>
      <c r="J903">
        <v>100000</v>
      </c>
      <c r="K903">
        <v>100000</v>
      </c>
      <c r="L903" t="s">
        <v>10</v>
      </c>
      <c r="M903" t="s">
        <v>7</v>
      </c>
      <c r="N903" t="b">
        <v>0</v>
      </c>
    </row>
    <row r="904" spans="1:14" x14ac:dyDescent="0.3">
      <c r="A904" t="s">
        <v>25</v>
      </c>
      <c r="B904" t="s">
        <v>10</v>
      </c>
      <c r="C904">
        <v>28</v>
      </c>
      <c r="D904" t="s">
        <v>65</v>
      </c>
      <c r="E904" t="s">
        <v>91</v>
      </c>
      <c r="G904">
        <v>2</v>
      </c>
      <c r="H904">
        <v>2</v>
      </c>
      <c r="I904" t="s">
        <v>61</v>
      </c>
      <c r="J904">
        <v>2400000</v>
      </c>
      <c r="K904">
        <v>4800000</v>
      </c>
      <c r="L904" t="s">
        <v>10</v>
      </c>
      <c r="M904" t="s">
        <v>7</v>
      </c>
      <c r="N904" t="b">
        <v>0</v>
      </c>
    </row>
    <row r="905" spans="1:14" x14ac:dyDescent="0.3">
      <c r="A905" t="s">
        <v>25</v>
      </c>
      <c r="B905" t="s">
        <v>10</v>
      </c>
      <c r="C905">
        <v>29</v>
      </c>
      <c r="E905" t="s">
        <v>92</v>
      </c>
      <c r="G905">
        <v>2</v>
      </c>
      <c r="H905">
        <v>2</v>
      </c>
      <c r="I905" t="s">
        <v>61</v>
      </c>
      <c r="J905">
        <v>2400000</v>
      </c>
      <c r="K905">
        <v>4800000</v>
      </c>
      <c r="L905" t="s">
        <v>10</v>
      </c>
      <c r="M905" t="s">
        <v>7</v>
      </c>
      <c r="N905" t="b">
        <v>0</v>
      </c>
    </row>
    <row r="906" spans="1:14" x14ac:dyDescent="0.3">
      <c r="A906" t="s">
        <v>25</v>
      </c>
      <c r="B906" t="s">
        <v>10</v>
      </c>
      <c r="C906">
        <v>30</v>
      </c>
      <c r="E906" t="s">
        <v>93</v>
      </c>
      <c r="G906">
        <v>2</v>
      </c>
      <c r="H906">
        <v>2</v>
      </c>
      <c r="I906" t="s">
        <v>61</v>
      </c>
      <c r="J906">
        <v>3000000</v>
      </c>
      <c r="K906">
        <v>6000000</v>
      </c>
      <c r="L906" t="s">
        <v>10</v>
      </c>
      <c r="M906" t="s">
        <v>7</v>
      </c>
      <c r="N906" t="b">
        <v>0</v>
      </c>
    </row>
    <row r="907" spans="1:14" x14ac:dyDescent="0.3">
      <c r="A907" t="s">
        <v>25</v>
      </c>
      <c r="B907" t="s">
        <v>10</v>
      </c>
      <c r="C907">
        <v>31</v>
      </c>
      <c r="D907" t="s">
        <v>94</v>
      </c>
      <c r="E907" t="s">
        <v>95</v>
      </c>
      <c r="G907">
        <v>2</v>
      </c>
      <c r="H907">
        <v>2</v>
      </c>
      <c r="I907" t="s">
        <v>61</v>
      </c>
      <c r="J907">
        <v>1300000</v>
      </c>
      <c r="K907">
        <v>2600000</v>
      </c>
      <c r="L907" t="s">
        <v>10</v>
      </c>
      <c r="M907" t="s">
        <v>7</v>
      </c>
      <c r="N907" t="b">
        <v>0</v>
      </c>
    </row>
    <row r="908" spans="1:14" x14ac:dyDescent="0.3">
      <c r="A908" t="s">
        <v>25</v>
      </c>
      <c r="B908" t="s">
        <v>10</v>
      </c>
      <c r="C908">
        <v>32</v>
      </c>
      <c r="D908" t="s">
        <v>94</v>
      </c>
      <c r="E908" t="s">
        <v>96</v>
      </c>
      <c r="G908">
        <v>4</v>
      </c>
      <c r="H908">
        <v>0.67200000000000004</v>
      </c>
      <c r="I908" t="s">
        <v>97</v>
      </c>
      <c r="J908">
        <v>460000</v>
      </c>
      <c r="K908">
        <v>309120</v>
      </c>
      <c r="L908" t="s">
        <v>10</v>
      </c>
      <c r="M908" t="s">
        <v>7</v>
      </c>
      <c r="N908" t="b">
        <v>0</v>
      </c>
    </row>
    <row r="909" spans="1:14" x14ac:dyDescent="0.3">
      <c r="A909" t="s">
        <v>25</v>
      </c>
      <c r="B909" t="s">
        <v>10</v>
      </c>
      <c r="C909">
        <v>33</v>
      </c>
      <c r="D909" t="s">
        <v>98</v>
      </c>
      <c r="E909" t="s">
        <v>99</v>
      </c>
      <c r="F909">
        <v>50</v>
      </c>
      <c r="G909">
        <v>8</v>
      </c>
      <c r="H909">
        <v>0.8</v>
      </c>
      <c r="I909" t="s">
        <v>100</v>
      </c>
      <c r="J909">
        <v>12655280.000000002</v>
      </c>
      <c r="K909">
        <v>10124224.000000002</v>
      </c>
      <c r="L909" t="s">
        <v>10</v>
      </c>
      <c r="M909" t="s">
        <v>7</v>
      </c>
      <c r="N909" t="b">
        <v>0</v>
      </c>
    </row>
    <row r="910" spans="1:14" x14ac:dyDescent="0.3">
      <c r="A910" t="s">
        <v>25</v>
      </c>
      <c r="B910" t="s">
        <v>10</v>
      </c>
      <c r="C910">
        <v>28</v>
      </c>
      <c r="E910" t="s">
        <v>101</v>
      </c>
      <c r="H910">
        <v>8</v>
      </c>
      <c r="I910" t="s">
        <v>102</v>
      </c>
      <c r="J910">
        <v>13000000</v>
      </c>
      <c r="K910">
        <v>104000000</v>
      </c>
      <c r="L910" t="s">
        <v>10</v>
      </c>
      <c r="M910" t="s">
        <v>7</v>
      </c>
      <c r="N910" t="b">
        <v>0</v>
      </c>
    </row>
    <row r="911" spans="1:14" x14ac:dyDescent="0.3">
      <c r="A911" t="s">
        <v>25</v>
      </c>
      <c r="B911" t="s">
        <v>10</v>
      </c>
      <c r="C911">
        <v>29</v>
      </c>
      <c r="E911" t="s">
        <v>107</v>
      </c>
      <c r="H911">
        <v>0</v>
      </c>
      <c r="I911" t="s">
        <v>108</v>
      </c>
      <c r="K911">
        <v>0</v>
      </c>
      <c r="L911" t="s">
        <v>10</v>
      </c>
      <c r="M911" t="s">
        <v>7</v>
      </c>
      <c r="N911" t="b">
        <v>0</v>
      </c>
    </row>
    <row r="912" spans="1:14" x14ac:dyDescent="0.3">
      <c r="A912" t="s">
        <v>25</v>
      </c>
      <c r="B912" t="s">
        <v>11</v>
      </c>
      <c r="C912">
        <v>1</v>
      </c>
      <c r="D912" t="s">
        <v>75</v>
      </c>
      <c r="E912" t="s">
        <v>109</v>
      </c>
      <c r="G912">
        <v>1</v>
      </c>
      <c r="H912">
        <v>9</v>
      </c>
      <c r="I912" t="s">
        <v>46</v>
      </c>
      <c r="J912">
        <v>5200000</v>
      </c>
      <c r="K912">
        <v>46800000</v>
      </c>
      <c r="L912" t="s">
        <v>11</v>
      </c>
      <c r="M912" t="s">
        <v>7</v>
      </c>
      <c r="N912" t="b">
        <v>0</v>
      </c>
    </row>
    <row r="913" spans="1:14" x14ac:dyDescent="0.3">
      <c r="A913" t="s">
        <v>25</v>
      </c>
      <c r="B913" t="s">
        <v>11</v>
      </c>
      <c r="C913">
        <v>4</v>
      </c>
      <c r="D913" t="s">
        <v>110</v>
      </c>
      <c r="E913" t="s">
        <v>111</v>
      </c>
      <c r="G913">
        <v>4</v>
      </c>
      <c r="H913">
        <v>0.5</v>
      </c>
      <c r="I913" t="s">
        <v>46</v>
      </c>
      <c r="J913">
        <v>22000000</v>
      </c>
      <c r="K913">
        <v>11000000</v>
      </c>
      <c r="L913" t="s">
        <v>11</v>
      </c>
      <c r="M913" t="s">
        <v>7</v>
      </c>
      <c r="N913" t="b">
        <v>0</v>
      </c>
    </row>
    <row r="914" spans="1:14" x14ac:dyDescent="0.3">
      <c r="A914" t="s">
        <v>25</v>
      </c>
      <c r="B914" t="s">
        <v>11</v>
      </c>
      <c r="C914">
        <v>5</v>
      </c>
      <c r="E914" t="s">
        <v>112</v>
      </c>
      <c r="G914">
        <v>20</v>
      </c>
      <c r="H914">
        <v>20</v>
      </c>
      <c r="I914" t="s">
        <v>61</v>
      </c>
      <c r="J914">
        <v>26000</v>
      </c>
      <c r="K914">
        <v>520000</v>
      </c>
      <c r="L914" t="s">
        <v>11</v>
      </c>
      <c r="M914" t="s">
        <v>7</v>
      </c>
      <c r="N914" t="b">
        <v>0</v>
      </c>
    </row>
    <row r="915" spans="1:14" x14ac:dyDescent="0.3">
      <c r="A915" t="s">
        <v>25</v>
      </c>
      <c r="B915" t="s">
        <v>11</v>
      </c>
      <c r="C915">
        <v>6</v>
      </c>
      <c r="E915" t="s">
        <v>113</v>
      </c>
      <c r="G915">
        <v>6</v>
      </c>
      <c r="H915">
        <v>6</v>
      </c>
      <c r="I915" t="s">
        <v>61</v>
      </c>
      <c r="J915">
        <v>195000</v>
      </c>
      <c r="K915">
        <v>1170000</v>
      </c>
      <c r="L915" t="s">
        <v>11</v>
      </c>
      <c r="M915" t="s">
        <v>7</v>
      </c>
      <c r="N915" t="b">
        <v>0</v>
      </c>
    </row>
    <row r="916" spans="1:14" x14ac:dyDescent="0.3">
      <c r="A916" t="s">
        <v>25</v>
      </c>
      <c r="B916" t="s">
        <v>11</v>
      </c>
      <c r="C916">
        <v>7</v>
      </c>
      <c r="E916" t="s">
        <v>114</v>
      </c>
      <c r="G916">
        <v>20</v>
      </c>
      <c r="H916">
        <v>20</v>
      </c>
      <c r="I916" t="s">
        <v>61</v>
      </c>
      <c r="J916">
        <v>13000</v>
      </c>
      <c r="K916">
        <v>260000</v>
      </c>
      <c r="L916" t="s">
        <v>11</v>
      </c>
      <c r="M916" t="s">
        <v>7</v>
      </c>
      <c r="N916" t="b">
        <v>0</v>
      </c>
    </row>
    <row r="917" spans="1:14" x14ac:dyDescent="0.3">
      <c r="A917" t="s">
        <v>25</v>
      </c>
      <c r="B917" t="s">
        <v>11</v>
      </c>
      <c r="C917">
        <v>8</v>
      </c>
      <c r="E917" t="s">
        <v>115</v>
      </c>
      <c r="G917">
        <v>20</v>
      </c>
      <c r="H917">
        <v>20</v>
      </c>
      <c r="I917" t="s">
        <v>61</v>
      </c>
      <c r="J917">
        <v>75000</v>
      </c>
      <c r="K917">
        <v>1500000</v>
      </c>
      <c r="L917" t="s">
        <v>11</v>
      </c>
      <c r="M917" t="s">
        <v>7</v>
      </c>
      <c r="N917" t="b">
        <v>0</v>
      </c>
    </row>
    <row r="918" spans="1:14" x14ac:dyDescent="0.3">
      <c r="A918" t="s">
        <v>25</v>
      </c>
      <c r="B918" t="s">
        <v>11</v>
      </c>
      <c r="C918">
        <v>9</v>
      </c>
      <c r="E918" t="s">
        <v>116</v>
      </c>
      <c r="G918">
        <v>1</v>
      </c>
      <c r="H918">
        <v>1</v>
      </c>
      <c r="I918" t="s">
        <v>61</v>
      </c>
      <c r="J918">
        <v>11250000</v>
      </c>
      <c r="K918">
        <v>11250000</v>
      </c>
      <c r="L918" t="s">
        <v>11</v>
      </c>
      <c r="M918" t="s">
        <v>7</v>
      </c>
      <c r="N918" t="b">
        <v>0</v>
      </c>
    </row>
    <row r="919" spans="1:14" x14ac:dyDescent="0.3">
      <c r="A919" t="s">
        <v>25</v>
      </c>
      <c r="B919" t="s">
        <v>11</v>
      </c>
      <c r="C919">
        <v>10</v>
      </c>
      <c r="E919" t="s">
        <v>117</v>
      </c>
      <c r="G919">
        <v>1</v>
      </c>
      <c r="H919">
        <v>1</v>
      </c>
      <c r="I919" t="s">
        <v>61</v>
      </c>
      <c r="J919">
        <v>7500000</v>
      </c>
      <c r="K919">
        <v>7500000</v>
      </c>
      <c r="L919" t="s">
        <v>11</v>
      </c>
      <c r="M919" t="s">
        <v>7</v>
      </c>
      <c r="N919" t="b">
        <v>0</v>
      </c>
    </row>
    <row r="920" spans="1:14" x14ac:dyDescent="0.3">
      <c r="A920" t="s">
        <v>25</v>
      </c>
      <c r="B920" t="s">
        <v>11</v>
      </c>
      <c r="C920">
        <v>11</v>
      </c>
      <c r="E920" t="s">
        <v>118</v>
      </c>
      <c r="G920">
        <v>2</v>
      </c>
      <c r="H920">
        <v>2</v>
      </c>
      <c r="I920" t="s">
        <v>61</v>
      </c>
      <c r="J920">
        <v>150000</v>
      </c>
      <c r="K920">
        <v>300000</v>
      </c>
      <c r="L920" t="s">
        <v>11</v>
      </c>
      <c r="M920" t="s">
        <v>7</v>
      </c>
      <c r="N920" t="b">
        <v>0</v>
      </c>
    </row>
    <row r="921" spans="1:14" x14ac:dyDescent="0.3">
      <c r="A921" t="s">
        <v>25</v>
      </c>
      <c r="B921" t="s">
        <v>11</v>
      </c>
      <c r="C921">
        <v>12</v>
      </c>
      <c r="E921" t="s">
        <v>119</v>
      </c>
      <c r="G921">
        <v>2</v>
      </c>
      <c r="H921">
        <v>2</v>
      </c>
      <c r="I921" t="s">
        <v>61</v>
      </c>
      <c r="J921">
        <v>100000</v>
      </c>
      <c r="K921">
        <v>200000</v>
      </c>
      <c r="L921" t="s">
        <v>11</v>
      </c>
      <c r="M921" t="s">
        <v>7</v>
      </c>
      <c r="N921" t="b">
        <v>0</v>
      </c>
    </row>
    <row r="922" spans="1:14" x14ac:dyDescent="0.3">
      <c r="A922" t="s">
        <v>25</v>
      </c>
      <c r="B922" t="s">
        <v>11</v>
      </c>
      <c r="C922">
        <v>13</v>
      </c>
      <c r="E922" t="s">
        <v>120</v>
      </c>
      <c r="G922">
        <v>4</v>
      </c>
      <c r="H922">
        <v>4</v>
      </c>
      <c r="I922" t="s">
        <v>61</v>
      </c>
      <c r="J922">
        <v>50000</v>
      </c>
      <c r="K922">
        <v>200000</v>
      </c>
      <c r="L922" t="s">
        <v>11</v>
      </c>
      <c r="M922" t="s">
        <v>7</v>
      </c>
      <c r="N922" t="b">
        <v>0</v>
      </c>
    </row>
    <row r="923" spans="1:14" x14ac:dyDescent="0.3">
      <c r="A923" t="s">
        <v>25</v>
      </c>
      <c r="B923" t="s">
        <v>11</v>
      </c>
      <c r="C923">
        <v>14</v>
      </c>
      <c r="E923" t="s">
        <v>121</v>
      </c>
      <c r="G923">
        <v>2</v>
      </c>
      <c r="H923">
        <v>2</v>
      </c>
      <c r="I923" t="s">
        <v>61</v>
      </c>
      <c r="J923">
        <v>100000</v>
      </c>
      <c r="K923">
        <v>200000</v>
      </c>
      <c r="L923" t="s">
        <v>11</v>
      </c>
      <c r="M923" t="s">
        <v>7</v>
      </c>
      <c r="N923" t="b">
        <v>0</v>
      </c>
    </row>
    <row r="924" spans="1:14" x14ac:dyDescent="0.3">
      <c r="A924" t="s">
        <v>25</v>
      </c>
      <c r="B924" t="s">
        <v>11</v>
      </c>
      <c r="C924">
        <v>15</v>
      </c>
      <c r="E924" t="s">
        <v>122</v>
      </c>
      <c r="G924">
        <v>1</v>
      </c>
      <c r="H924">
        <v>0.1</v>
      </c>
      <c r="I924" t="s">
        <v>46</v>
      </c>
      <c r="J924">
        <v>4200000</v>
      </c>
      <c r="K924">
        <v>420000</v>
      </c>
      <c r="L924" t="s">
        <v>11</v>
      </c>
      <c r="M924" t="s">
        <v>7</v>
      </c>
      <c r="N924" t="b">
        <v>0</v>
      </c>
    </row>
    <row r="925" spans="1:14" x14ac:dyDescent="0.3">
      <c r="A925" t="s">
        <v>25</v>
      </c>
      <c r="B925" t="s">
        <v>11</v>
      </c>
      <c r="C925">
        <v>16</v>
      </c>
      <c r="E925" t="s">
        <v>123</v>
      </c>
      <c r="G925">
        <v>1</v>
      </c>
      <c r="H925">
        <v>0.3</v>
      </c>
      <c r="I925" t="s">
        <v>97</v>
      </c>
      <c r="K925">
        <v>0</v>
      </c>
      <c r="L925" t="s">
        <v>11</v>
      </c>
      <c r="M925" t="s">
        <v>7</v>
      </c>
      <c r="N925" t="b">
        <v>0</v>
      </c>
    </row>
    <row r="926" spans="1:14" x14ac:dyDescent="0.3">
      <c r="A926" t="s">
        <v>25</v>
      </c>
      <c r="B926" t="s">
        <v>11</v>
      </c>
      <c r="C926">
        <v>17</v>
      </c>
      <c r="E926" t="s">
        <v>124</v>
      </c>
      <c r="G926">
        <v>1</v>
      </c>
      <c r="H926">
        <v>0.15</v>
      </c>
      <c r="I926" t="s">
        <v>97</v>
      </c>
      <c r="K926">
        <v>0</v>
      </c>
      <c r="L926" t="s">
        <v>11</v>
      </c>
      <c r="M926" t="s">
        <v>7</v>
      </c>
      <c r="N926" t="b">
        <v>0</v>
      </c>
    </row>
    <row r="927" spans="1:14" x14ac:dyDescent="0.3">
      <c r="A927" t="s">
        <v>25</v>
      </c>
      <c r="B927" t="s">
        <v>11</v>
      </c>
      <c r="C927">
        <v>18</v>
      </c>
      <c r="E927" t="s">
        <v>125</v>
      </c>
      <c r="G927">
        <v>1</v>
      </c>
      <c r="I927" t="s">
        <v>61</v>
      </c>
      <c r="K927">
        <v>0</v>
      </c>
      <c r="L927" t="s">
        <v>11</v>
      </c>
      <c r="M927" t="s">
        <v>7</v>
      </c>
      <c r="N927" t="b">
        <v>0</v>
      </c>
    </row>
    <row r="928" spans="1:14" x14ac:dyDescent="0.3">
      <c r="A928" t="s">
        <v>25</v>
      </c>
      <c r="B928" t="s">
        <v>11</v>
      </c>
      <c r="C928">
        <v>19</v>
      </c>
      <c r="E928" t="s">
        <v>126</v>
      </c>
      <c r="G928">
        <v>1</v>
      </c>
      <c r="I928" t="s">
        <v>61</v>
      </c>
      <c r="K928">
        <v>0</v>
      </c>
      <c r="L928" t="s">
        <v>11</v>
      </c>
      <c r="M928" t="s">
        <v>7</v>
      </c>
      <c r="N928" t="b">
        <v>0</v>
      </c>
    </row>
    <row r="929" spans="1:14" x14ac:dyDescent="0.3">
      <c r="A929" t="s">
        <v>25</v>
      </c>
      <c r="B929" t="s">
        <v>11</v>
      </c>
      <c r="C929">
        <v>20</v>
      </c>
      <c r="E929" t="s">
        <v>127</v>
      </c>
      <c r="G929">
        <v>1</v>
      </c>
      <c r="I929" t="s">
        <v>61</v>
      </c>
      <c r="K929">
        <v>0</v>
      </c>
      <c r="L929" t="s">
        <v>11</v>
      </c>
      <c r="M929" t="s">
        <v>7</v>
      </c>
      <c r="N929" t="b">
        <v>0</v>
      </c>
    </row>
    <row r="930" spans="1:14" x14ac:dyDescent="0.3">
      <c r="A930" t="s">
        <v>25</v>
      </c>
      <c r="B930" t="s">
        <v>11</v>
      </c>
      <c r="C930">
        <v>21</v>
      </c>
      <c r="E930" t="s">
        <v>128</v>
      </c>
      <c r="G930">
        <v>1</v>
      </c>
      <c r="H930">
        <v>1</v>
      </c>
      <c r="I930" t="s">
        <v>61</v>
      </c>
      <c r="J930">
        <v>74000000</v>
      </c>
      <c r="K930">
        <v>74000000</v>
      </c>
      <c r="L930" t="s">
        <v>11</v>
      </c>
      <c r="M930" t="s">
        <v>7</v>
      </c>
      <c r="N930" t="b">
        <v>0</v>
      </c>
    </row>
    <row r="931" spans="1:14" x14ac:dyDescent="0.3">
      <c r="A931" t="s">
        <v>25</v>
      </c>
      <c r="B931" t="s">
        <v>11</v>
      </c>
      <c r="C931">
        <v>7</v>
      </c>
      <c r="E931" t="s">
        <v>101</v>
      </c>
      <c r="H931">
        <v>5</v>
      </c>
      <c r="I931" t="s">
        <v>102</v>
      </c>
      <c r="J931">
        <v>13000000</v>
      </c>
      <c r="K931">
        <v>65000000</v>
      </c>
      <c r="L931" t="s">
        <v>11</v>
      </c>
      <c r="M931" t="s">
        <v>7</v>
      </c>
      <c r="N931" t="b">
        <v>0</v>
      </c>
    </row>
    <row r="932" spans="1:14" x14ac:dyDescent="0.3">
      <c r="A932" t="s">
        <v>25</v>
      </c>
      <c r="B932" t="s">
        <v>11</v>
      </c>
      <c r="C932">
        <v>8</v>
      </c>
      <c r="E932" t="s">
        <v>107</v>
      </c>
      <c r="H932">
        <v>0</v>
      </c>
      <c r="I932" t="s">
        <v>108</v>
      </c>
      <c r="K932">
        <v>0</v>
      </c>
      <c r="L932" t="s">
        <v>11</v>
      </c>
      <c r="M932" t="s">
        <v>7</v>
      </c>
      <c r="N932" t="b">
        <v>0</v>
      </c>
    </row>
    <row r="933" spans="1:14" x14ac:dyDescent="0.3">
      <c r="A933" t="s">
        <v>25</v>
      </c>
      <c r="B933" t="s">
        <v>12</v>
      </c>
      <c r="C933">
        <v>1</v>
      </c>
      <c r="D933" t="s">
        <v>129</v>
      </c>
      <c r="E933" t="s">
        <v>130</v>
      </c>
      <c r="G933">
        <v>1</v>
      </c>
      <c r="H933">
        <v>7</v>
      </c>
      <c r="I933" t="s">
        <v>131</v>
      </c>
      <c r="J933">
        <v>27599999.999999996</v>
      </c>
      <c r="K933">
        <v>193199999.99999997</v>
      </c>
      <c r="L933" t="s">
        <v>12</v>
      </c>
      <c r="M933" t="s">
        <v>7</v>
      </c>
      <c r="N933" t="b">
        <v>0</v>
      </c>
    </row>
    <row r="934" spans="1:14" x14ac:dyDescent="0.3">
      <c r="A934" t="s">
        <v>25</v>
      </c>
      <c r="B934" t="s">
        <v>12</v>
      </c>
      <c r="D934" t="s">
        <v>58</v>
      </c>
      <c r="E934" t="s">
        <v>60</v>
      </c>
      <c r="G934">
        <v>0</v>
      </c>
      <c r="H934">
        <v>12</v>
      </c>
      <c r="I934" t="s">
        <v>46</v>
      </c>
      <c r="J934">
        <v>3600000</v>
      </c>
      <c r="K934">
        <v>43200000</v>
      </c>
      <c r="L934" t="s">
        <v>12</v>
      </c>
      <c r="M934" t="s">
        <v>7</v>
      </c>
      <c r="N934" t="b">
        <v>0</v>
      </c>
    </row>
    <row r="935" spans="1:14" x14ac:dyDescent="0.3">
      <c r="A935" t="s">
        <v>25</v>
      </c>
      <c r="B935" t="s">
        <v>12</v>
      </c>
      <c r="C935">
        <v>3</v>
      </c>
      <c r="E935" t="s">
        <v>132</v>
      </c>
      <c r="G935">
        <v>16</v>
      </c>
      <c r="I935" t="s">
        <v>61</v>
      </c>
      <c r="J935">
        <v>50000</v>
      </c>
      <c r="K935">
        <v>800000</v>
      </c>
      <c r="L935" t="s">
        <v>12</v>
      </c>
      <c r="M935" t="s">
        <v>7</v>
      </c>
      <c r="N935" t="b">
        <v>0</v>
      </c>
    </row>
    <row r="936" spans="1:14" x14ac:dyDescent="0.3">
      <c r="A936" t="s">
        <v>25</v>
      </c>
      <c r="B936" t="s">
        <v>12</v>
      </c>
      <c r="C936">
        <v>4</v>
      </c>
      <c r="E936" t="s">
        <v>133</v>
      </c>
      <c r="G936">
        <v>16</v>
      </c>
      <c r="I936" t="s">
        <v>61</v>
      </c>
      <c r="J936">
        <v>15000</v>
      </c>
      <c r="K936">
        <v>240000</v>
      </c>
      <c r="L936" t="s">
        <v>12</v>
      </c>
      <c r="M936" t="s">
        <v>7</v>
      </c>
      <c r="N936" t="b">
        <v>0</v>
      </c>
    </row>
    <row r="937" spans="1:14" x14ac:dyDescent="0.3">
      <c r="A937" t="s">
        <v>25</v>
      </c>
      <c r="B937" t="s">
        <v>12</v>
      </c>
      <c r="C937">
        <v>5</v>
      </c>
      <c r="E937" t="s">
        <v>134</v>
      </c>
      <c r="G937">
        <v>32</v>
      </c>
      <c r="I937" t="s">
        <v>61</v>
      </c>
      <c r="J937">
        <v>5000</v>
      </c>
      <c r="K937">
        <v>160000</v>
      </c>
      <c r="L937" t="s">
        <v>12</v>
      </c>
      <c r="M937" t="s">
        <v>7</v>
      </c>
      <c r="N937" t="b">
        <v>0</v>
      </c>
    </row>
    <row r="938" spans="1:14" x14ac:dyDescent="0.3">
      <c r="A938" t="s">
        <v>25</v>
      </c>
      <c r="B938" t="s">
        <v>12</v>
      </c>
      <c r="C938">
        <v>6</v>
      </c>
      <c r="E938" t="s">
        <v>135</v>
      </c>
      <c r="G938">
        <v>16</v>
      </c>
      <c r="I938" t="s">
        <v>61</v>
      </c>
      <c r="J938">
        <v>5000</v>
      </c>
      <c r="K938">
        <v>80000</v>
      </c>
      <c r="L938" t="s">
        <v>12</v>
      </c>
      <c r="M938" t="s">
        <v>7</v>
      </c>
      <c r="N938" t="b">
        <v>0</v>
      </c>
    </row>
    <row r="939" spans="1:14" x14ac:dyDescent="0.3">
      <c r="A939" t="s">
        <v>25</v>
      </c>
      <c r="B939" t="s">
        <v>12</v>
      </c>
      <c r="C939">
        <v>7</v>
      </c>
      <c r="E939" t="s">
        <v>101</v>
      </c>
      <c r="H939">
        <v>1</v>
      </c>
      <c r="I939" t="s">
        <v>102</v>
      </c>
      <c r="J939">
        <v>13000000</v>
      </c>
      <c r="K939">
        <v>13000000</v>
      </c>
      <c r="L939" t="s">
        <v>12</v>
      </c>
      <c r="M939" t="s">
        <v>7</v>
      </c>
      <c r="N939" t="b">
        <v>0</v>
      </c>
    </row>
    <row r="940" spans="1:14" x14ac:dyDescent="0.3">
      <c r="A940" t="s">
        <v>25</v>
      </c>
      <c r="B940" t="s">
        <v>12</v>
      </c>
      <c r="C940">
        <v>8</v>
      </c>
      <c r="E940" t="s">
        <v>107</v>
      </c>
      <c r="H940">
        <v>0</v>
      </c>
      <c r="I940" t="s">
        <v>108</v>
      </c>
      <c r="K940">
        <v>0</v>
      </c>
      <c r="L940" t="s">
        <v>12</v>
      </c>
      <c r="M940" t="s">
        <v>7</v>
      </c>
      <c r="N940" t="b">
        <v>0</v>
      </c>
    </row>
    <row r="941" spans="1:14" x14ac:dyDescent="0.3">
      <c r="A941" t="s">
        <v>25</v>
      </c>
      <c r="B941" t="s">
        <v>13</v>
      </c>
      <c r="C941">
        <v>1</v>
      </c>
      <c r="D941" t="s">
        <v>73</v>
      </c>
      <c r="E941" t="s">
        <v>136</v>
      </c>
      <c r="G941">
        <v>1</v>
      </c>
      <c r="H941">
        <v>12</v>
      </c>
      <c r="I941" t="s">
        <v>46</v>
      </c>
      <c r="J941">
        <v>8500000</v>
      </c>
      <c r="K941">
        <v>102000000</v>
      </c>
      <c r="L941" t="s">
        <v>13</v>
      </c>
      <c r="M941" t="s">
        <v>7</v>
      </c>
      <c r="N941" t="b">
        <v>0</v>
      </c>
    </row>
    <row r="942" spans="1:14" x14ac:dyDescent="0.3">
      <c r="A942" t="s">
        <v>25</v>
      </c>
      <c r="B942" t="s">
        <v>13</v>
      </c>
      <c r="D942" t="s">
        <v>58</v>
      </c>
      <c r="E942" t="s">
        <v>60</v>
      </c>
      <c r="G942">
        <v>0</v>
      </c>
      <c r="H942">
        <v>12</v>
      </c>
      <c r="I942" t="s">
        <v>46</v>
      </c>
      <c r="J942">
        <v>3600000</v>
      </c>
      <c r="K942">
        <v>43200000</v>
      </c>
      <c r="L942" t="s">
        <v>13</v>
      </c>
      <c r="M942" t="s">
        <v>7</v>
      </c>
      <c r="N942" t="b">
        <v>0</v>
      </c>
    </row>
    <row r="943" spans="1:14" x14ac:dyDescent="0.3">
      <c r="A943" t="s">
        <v>25</v>
      </c>
      <c r="B943" t="s">
        <v>13</v>
      </c>
      <c r="C943">
        <v>3</v>
      </c>
      <c r="E943" t="s">
        <v>132</v>
      </c>
      <c r="G943">
        <v>4</v>
      </c>
      <c r="I943" t="s">
        <v>61</v>
      </c>
      <c r="J943">
        <v>50000</v>
      </c>
      <c r="K943">
        <v>200000</v>
      </c>
      <c r="L943" t="s">
        <v>13</v>
      </c>
      <c r="M943" t="s">
        <v>7</v>
      </c>
      <c r="N943" t="b">
        <v>0</v>
      </c>
    </row>
    <row r="944" spans="1:14" x14ac:dyDescent="0.3">
      <c r="A944" t="s">
        <v>25</v>
      </c>
      <c r="B944" t="s">
        <v>13</v>
      </c>
      <c r="C944">
        <v>4</v>
      </c>
      <c r="E944" t="s">
        <v>133</v>
      </c>
      <c r="G944">
        <v>4</v>
      </c>
      <c r="I944" t="s">
        <v>61</v>
      </c>
      <c r="J944">
        <v>15000</v>
      </c>
      <c r="K944">
        <v>60000</v>
      </c>
      <c r="L944" t="s">
        <v>13</v>
      </c>
      <c r="M944" t="s">
        <v>7</v>
      </c>
      <c r="N944" t="b">
        <v>0</v>
      </c>
    </row>
    <row r="945" spans="1:14" x14ac:dyDescent="0.3">
      <c r="A945" t="s">
        <v>25</v>
      </c>
      <c r="B945" t="s">
        <v>13</v>
      </c>
      <c r="C945">
        <v>5</v>
      </c>
      <c r="E945" t="s">
        <v>134</v>
      </c>
      <c r="G945">
        <v>8</v>
      </c>
      <c r="I945" t="s">
        <v>61</v>
      </c>
      <c r="J945">
        <v>5000</v>
      </c>
      <c r="K945">
        <v>40000</v>
      </c>
      <c r="L945" t="s">
        <v>13</v>
      </c>
      <c r="M945" t="s">
        <v>7</v>
      </c>
      <c r="N945" t="b">
        <v>0</v>
      </c>
    </row>
    <row r="946" spans="1:14" x14ac:dyDescent="0.3">
      <c r="A946" t="s">
        <v>25</v>
      </c>
      <c r="B946" t="s">
        <v>13</v>
      </c>
      <c r="C946">
        <v>6</v>
      </c>
      <c r="E946" t="s">
        <v>135</v>
      </c>
      <c r="G946">
        <v>4</v>
      </c>
      <c r="I946" t="s">
        <v>61</v>
      </c>
      <c r="J946">
        <v>5000</v>
      </c>
      <c r="K946">
        <v>20000</v>
      </c>
      <c r="L946" t="s">
        <v>13</v>
      </c>
      <c r="M946" t="s">
        <v>7</v>
      </c>
      <c r="N946" t="b">
        <v>0</v>
      </c>
    </row>
    <row r="947" spans="1:14" x14ac:dyDescent="0.3">
      <c r="A947" t="s">
        <v>25</v>
      </c>
      <c r="B947" t="s">
        <v>13</v>
      </c>
      <c r="C947">
        <v>7</v>
      </c>
      <c r="E947" t="s">
        <v>101</v>
      </c>
      <c r="H947">
        <v>5</v>
      </c>
      <c r="I947" t="s">
        <v>102</v>
      </c>
      <c r="J947">
        <v>13000000</v>
      </c>
      <c r="K947">
        <v>65000000</v>
      </c>
      <c r="L947" t="s">
        <v>13</v>
      </c>
      <c r="M947" t="s">
        <v>7</v>
      </c>
      <c r="N947" t="b">
        <v>0</v>
      </c>
    </row>
    <row r="948" spans="1:14" x14ac:dyDescent="0.3">
      <c r="A948" t="s">
        <v>25</v>
      </c>
      <c r="B948" t="s">
        <v>13</v>
      </c>
      <c r="C948">
        <v>8</v>
      </c>
      <c r="E948" t="s">
        <v>107</v>
      </c>
      <c r="H948">
        <v>0</v>
      </c>
      <c r="I948" t="s">
        <v>108</v>
      </c>
      <c r="K948">
        <v>0</v>
      </c>
      <c r="L948" t="s">
        <v>13</v>
      </c>
      <c r="M948" t="s">
        <v>7</v>
      </c>
      <c r="N948" t="b">
        <v>0</v>
      </c>
    </row>
    <row r="949" spans="1:14" x14ac:dyDescent="0.3">
      <c r="A949" t="s">
        <v>25</v>
      </c>
      <c r="B949" t="s">
        <v>14</v>
      </c>
      <c r="C949">
        <v>1</v>
      </c>
      <c r="D949" t="s">
        <v>73</v>
      </c>
      <c r="E949" t="s">
        <v>137</v>
      </c>
      <c r="G949">
        <v>1</v>
      </c>
      <c r="H949">
        <v>12</v>
      </c>
      <c r="I949" t="s">
        <v>46</v>
      </c>
      <c r="J949">
        <v>8500000</v>
      </c>
      <c r="K949">
        <v>102000000</v>
      </c>
      <c r="L949" t="s">
        <v>14</v>
      </c>
      <c r="M949" t="s">
        <v>7</v>
      </c>
      <c r="N949" t="b">
        <v>0</v>
      </c>
    </row>
    <row r="950" spans="1:14" x14ac:dyDescent="0.3">
      <c r="A950" t="s">
        <v>25</v>
      </c>
      <c r="B950" t="s">
        <v>14</v>
      </c>
      <c r="D950" t="s">
        <v>58</v>
      </c>
      <c r="E950" t="s">
        <v>60</v>
      </c>
      <c r="G950">
        <v>0</v>
      </c>
      <c r="H950">
        <v>12</v>
      </c>
      <c r="I950" t="s">
        <v>46</v>
      </c>
      <c r="J950">
        <v>3600000</v>
      </c>
      <c r="K950">
        <v>43200000</v>
      </c>
      <c r="L950" t="s">
        <v>14</v>
      </c>
      <c r="M950" t="s">
        <v>7</v>
      </c>
      <c r="N950" t="b">
        <v>0</v>
      </c>
    </row>
    <row r="951" spans="1:14" x14ac:dyDescent="0.3">
      <c r="A951" t="s">
        <v>25</v>
      </c>
      <c r="B951" t="s">
        <v>14</v>
      </c>
      <c r="C951">
        <v>3</v>
      </c>
      <c r="E951" t="s">
        <v>132</v>
      </c>
      <c r="G951">
        <v>16</v>
      </c>
      <c r="I951" t="s">
        <v>61</v>
      </c>
      <c r="J951">
        <v>50000</v>
      </c>
      <c r="K951">
        <v>800000</v>
      </c>
      <c r="L951" t="s">
        <v>14</v>
      </c>
      <c r="M951" t="s">
        <v>7</v>
      </c>
      <c r="N951" t="b">
        <v>0</v>
      </c>
    </row>
    <row r="952" spans="1:14" x14ac:dyDescent="0.3">
      <c r="A952" t="s">
        <v>25</v>
      </c>
      <c r="B952" t="s">
        <v>14</v>
      </c>
      <c r="C952">
        <v>4</v>
      </c>
      <c r="E952" t="s">
        <v>133</v>
      </c>
      <c r="G952">
        <v>16</v>
      </c>
      <c r="I952" t="s">
        <v>61</v>
      </c>
      <c r="J952">
        <v>15000</v>
      </c>
      <c r="K952">
        <v>240000</v>
      </c>
      <c r="L952" t="s">
        <v>14</v>
      </c>
      <c r="M952" t="s">
        <v>7</v>
      </c>
      <c r="N952" t="b">
        <v>0</v>
      </c>
    </row>
    <row r="953" spans="1:14" x14ac:dyDescent="0.3">
      <c r="A953" t="s">
        <v>25</v>
      </c>
      <c r="B953" t="s">
        <v>14</v>
      </c>
      <c r="C953">
        <v>5</v>
      </c>
      <c r="E953" t="s">
        <v>134</v>
      </c>
      <c r="G953">
        <v>32</v>
      </c>
      <c r="I953" t="s">
        <v>61</v>
      </c>
      <c r="J953">
        <v>5000</v>
      </c>
      <c r="K953">
        <v>160000</v>
      </c>
      <c r="L953" t="s">
        <v>14</v>
      </c>
      <c r="M953" t="s">
        <v>7</v>
      </c>
      <c r="N953" t="b">
        <v>0</v>
      </c>
    </row>
    <row r="954" spans="1:14" x14ac:dyDescent="0.3">
      <c r="A954" t="s">
        <v>25</v>
      </c>
      <c r="B954" t="s">
        <v>14</v>
      </c>
      <c r="C954">
        <v>6</v>
      </c>
      <c r="E954" t="s">
        <v>135</v>
      </c>
      <c r="G954">
        <v>16</v>
      </c>
      <c r="I954" t="s">
        <v>61</v>
      </c>
      <c r="J954">
        <v>5000</v>
      </c>
      <c r="K954">
        <v>80000</v>
      </c>
      <c r="L954" t="s">
        <v>14</v>
      </c>
      <c r="M954" t="s">
        <v>7</v>
      </c>
      <c r="N954" t="b">
        <v>0</v>
      </c>
    </row>
    <row r="955" spans="1:14" x14ac:dyDescent="0.3">
      <c r="A955" t="s">
        <v>25</v>
      </c>
      <c r="B955" t="s">
        <v>14</v>
      </c>
      <c r="C955">
        <v>7</v>
      </c>
      <c r="E955" t="s">
        <v>101</v>
      </c>
      <c r="H955">
        <v>5</v>
      </c>
      <c r="I955" t="s">
        <v>102</v>
      </c>
      <c r="J955">
        <v>13000000</v>
      </c>
      <c r="K955">
        <v>65000000</v>
      </c>
      <c r="L955" t="s">
        <v>14</v>
      </c>
      <c r="M955" t="s">
        <v>7</v>
      </c>
      <c r="N955" t="b">
        <v>0</v>
      </c>
    </row>
    <row r="956" spans="1:14" x14ac:dyDescent="0.3">
      <c r="A956" t="s">
        <v>25</v>
      </c>
      <c r="B956" t="s">
        <v>14</v>
      </c>
      <c r="C956">
        <v>8</v>
      </c>
      <c r="E956" t="s">
        <v>107</v>
      </c>
      <c r="H956">
        <v>0</v>
      </c>
      <c r="I956" t="s">
        <v>108</v>
      </c>
      <c r="K956">
        <v>0</v>
      </c>
      <c r="L956" t="s">
        <v>14</v>
      </c>
      <c r="M956" t="s">
        <v>7</v>
      </c>
      <c r="N956" t="b">
        <v>0</v>
      </c>
    </row>
    <row r="957" spans="1:14" x14ac:dyDescent="0.3">
      <c r="A957" t="s">
        <v>25</v>
      </c>
      <c r="B957" t="s">
        <v>15</v>
      </c>
      <c r="C957">
        <v>1</v>
      </c>
      <c r="D957" t="s">
        <v>75</v>
      </c>
      <c r="E957" t="s">
        <v>138</v>
      </c>
      <c r="G957">
        <v>1</v>
      </c>
      <c r="H957">
        <v>25</v>
      </c>
      <c r="I957" t="s">
        <v>46</v>
      </c>
      <c r="J957">
        <v>5200000</v>
      </c>
      <c r="K957">
        <v>130000000</v>
      </c>
      <c r="L957" t="s">
        <v>15</v>
      </c>
      <c r="M957" t="s">
        <v>7</v>
      </c>
      <c r="N957" t="b">
        <v>0</v>
      </c>
    </row>
    <row r="958" spans="1:14" x14ac:dyDescent="0.3">
      <c r="A958" t="s">
        <v>25</v>
      </c>
      <c r="B958" t="s">
        <v>15</v>
      </c>
      <c r="D958" t="s">
        <v>75</v>
      </c>
      <c r="E958" t="s">
        <v>139</v>
      </c>
      <c r="G958">
        <v>1</v>
      </c>
      <c r="I958" t="s">
        <v>46</v>
      </c>
      <c r="K958">
        <v>0</v>
      </c>
      <c r="L958" t="s">
        <v>15</v>
      </c>
      <c r="M958" t="s">
        <v>7</v>
      </c>
      <c r="N958" t="b">
        <v>0</v>
      </c>
    </row>
    <row r="959" spans="1:14" x14ac:dyDescent="0.3">
      <c r="A959" t="s">
        <v>25</v>
      </c>
      <c r="B959" t="s">
        <v>15</v>
      </c>
      <c r="C959">
        <v>3</v>
      </c>
      <c r="E959" t="s">
        <v>140</v>
      </c>
      <c r="G959">
        <v>32</v>
      </c>
      <c r="I959" t="s">
        <v>61</v>
      </c>
      <c r="J959">
        <v>10000</v>
      </c>
      <c r="K959">
        <v>320000</v>
      </c>
      <c r="L959" t="s">
        <v>15</v>
      </c>
      <c r="M959" t="s">
        <v>7</v>
      </c>
      <c r="N959" t="b">
        <v>0</v>
      </c>
    </row>
    <row r="960" spans="1:14" x14ac:dyDescent="0.3">
      <c r="A960" t="s">
        <v>25</v>
      </c>
      <c r="B960" t="s">
        <v>15</v>
      </c>
      <c r="C960">
        <v>4</v>
      </c>
      <c r="E960" t="s">
        <v>69</v>
      </c>
      <c r="G960">
        <v>32</v>
      </c>
      <c r="I960" t="s">
        <v>61</v>
      </c>
      <c r="J960">
        <v>60000</v>
      </c>
      <c r="K960">
        <v>1920000</v>
      </c>
      <c r="L960" t="s">
        <v>15</v>
      </c>
      <c r="M960" t="s">
        <v>7</v>
      </c>
      <c r="N960" t="b">
        <v>0</v>
      </c>
    </row>
    <row r="961" spans="1:14" x14ac:dyDescent="0.3">
      <c r="A961" t="s">
        <v>25</v>
      </c>
      <c r="B961" t="s">
        <v>15</v>
      </c>
      <c r="C961">
        <v>5</v>
      </c>
      <c r="E961" t="s">
        <v>141</v>
      </c>
      <c r="G961">
        <v>32</v>
      </c>
      <c r="I961" t="s">
        <v>61</v>
      </c>
      <c r="J961">
        <v>60000</v>
      </c>
      <c r="K961">
        <v>1920000</v>
      </c>
      <c r="L961" t="s">
        <v>15</v>
      </c>
      <c r="M961" t="s">
        <v>7</v>
      </c>
      <c r="N961" t="b">
        <v>0</v>
      </c>
    </row>
    <row r="962" spans="1:14" x14ac:dyDescent="0.3">
      <c r="A962" t="s">
        <v>25</v>
      </c>
      <c r="B962" t="s">
        <v>15</v>
      </c>
      <c r="C962">
        <v>6</v>
      </c>
      <c r="E962" t="s">
        <v>140</v>
      </c>
      <c r="G962">
        <v>12</v>
      </c>
      <c r="I962" t="s">
        <v>61</v>
      </c>
      <c r="J962">
        <v>10000</v>
      </c>
      <c r="K962">
        <v>120000</v>
      </c>
      <c r="L962" t="s">
        <v>15</v>
      </c>
      <c r="M962" t="s">
        <v>7</v>
      </c>
      <c r="N962" t="b">
        <v>0</v>
      </c>
    </row>
    <row r="963" spans="1:14" x14ac:dyDescent="0.3">
      <c r="A963" t="s">
        <v>25</v>
      </c>
      <c r="B963" t="s">
        <v>15</v>
      </c>
      <c r="C963">
        <v>7</v>
      </c>
      <c r="E963" t="s">
        <v>142</v>
      </c>
      <c r="G963">
        <v>12</v>
      </c>
      <c r="I963" t="s">
        <v>61</v>
      </c>
      <c r="J963">
        <v>10000</v>
      </c>
      <c r="K963">
        <v>120000</v>
      </c>
      <c r="L963" t="s">
        <v>15</v>
      </c>
      <c r="M963" t="s">
        <v>7</v>
      </c>
      <c r="N963" t="b">
        <v>0</v>
      </c>
    </row>
    <row r="964" spans="1:14" x14ac:dyDescent="0.3">
      <c r="A964" t="s">
        <v>25</v>
      </c>
      <c r="B964" t="s">
        <v>15</v>
      </c>
      <c r="C964">
        <v>8</v>
      </c>
      <c r="E964" t="s">
        <v>114</v>
      </c>
      <c r="G964">
        <v>12</v>
      </c>
      <c r="I964" t="s">
        <v>61</v>
      </c>
      <c r="J964">
        <v>60000</v>
      </c>
      <c r="K964">
        <v>720000</v>
      </c>
      <c r="L964" t="s">
        <v>15</v>
      </c>
      <c r="M964" t="s">
        <v>7</v>
      </c>
      <c r="N964" t="b">
        <v>0</v>
      </c>
    </row>
    <row r="965" spans="1:14" x14ac:dyDescent="0.3">
      <c r="A965" t="s">
        <v>25</v>
      </c>
      <c r="B965" t="s">
        <v>15</v>
      </c>
      <c r="C965">
        <v>9</v>
      </c>
      <c r="E965" t="s">
        <v>143</v>
      </c>
      <c r="G965">
        <v>32</v>
      </c>
      <c r="I965" t="s">
        <v>61</v>
      </c>
      <c r="J965">
        <v>10000</v>
      </c>
      <c r="K965">
        <v>320000</v>
      </c>
      <c r="L965" t="s">
        <v>15</v>
      </c>
      <c r="M965" t="s">
        <v>7</v>
      </c>
      <c r="N965" t="b">
        <v>0</v>
      </c>
    </row>
    <row r="966" spans="1:14" x14ac:dyDescent="0.3">
      <c r="A966" t="s">
        <v>25</v>
      </c>
      <c r="B966" t="s">
        <v>15</v>
      </c>
      <c r="C966">
        <v>10</v>
      </c>
      <c r="E966" t="s">
        <v>57</v>
      </c>
      <c r="G966">
        <v>25</v>
      </c>
      <c r="I966" t="s">
        <v>46</v>
      </c>
      <c r="J966">
        <v>1430000</v>
      </c>
      <c r="K966">
        <v>35750000</v>
      </c>
      <c r="L966" t="s">
        <v>15</v>
      </c>
      <c r="M966" t="s">
        <v>7</v>
      </c>
      <c r="N966" t="b">
        <v>0</v>
      </c>
    </row>
    <row r="967" spans="1:14" x14ac:dyDescent="0.3">
      <c r="A967" t="s">
        <v>25</v>
      </c>
      <c r="B967" t="s">
        <v>15</v>
      </c>
      <c r="E967" t="s">
        <v>96</v>
      </c>
      <c r="G967">
        <v>1</v>
      </c>
      <c r="H967">
        <v>6</v>
      </c>
      <c r="I967" t="s">
        <v>97</v>
      </c>
      <c r="J967">
        <v>460000</v>
      </c>
      <c r="K967">
        <v>2760000</v>
      </c>
      <c r="L967" t="s">
        <v>15</v>
      </c>
      <c r="M967" t="s">
        <v>7</v>
      </c>
      <c r="N967" t="b">
        <v>0</v>
      </c>
    </row>
    <row r="968" spans="1:14" x14ac:dyDescent="0.3">
      <c r="A968" t="s">
        <v>25</v>
      </c>
      <c r="B968" t="s">
        <v>15</v>
      </c>
      <c r="C968">
        <v>11</v>
      </c>
      <c r="E968" t="s">
        <v>101</v>
      </c>
      <c r="H968">
        <v>5</v>
      </c>
      <c r="I968" t="s">
        <v>102</v>
      </c>
      <c r="J968">
        <v>13000000</v>
      </c>
      <c r="K968">
        <v>65000000</v>
      </c>
      <c r="L968" t="s">
        <v>15</v>
      </c>
      <c r="M968" t="s">
        <v>7</v>
      </c>
      <c r="N968" t="b">
        <v>0</v>
      </c>
    </row>
    <row r="969" spans="1:14" x14ac:dyDescent="0.3">
      <c r="A969" t="s">
        <v>25</v>
      </c>
      <c r="B969" t="s">
        <v>15</v>
      </c>
      <c r="C969">
        <v>12</v>
      </c>
      <c r="E969" t="s">
        <v>107</v>
      </c>
      <c r="H969">
        <v>0</v>
      </c>
      <c r="I969" t="s">
        <v>108</v>
      </c>
      <c r="K969">
        <v>0</v>
      </c>
      <c r="L969" t="s">
        <v>15</v>
      </c>
      <c r="M969" t="s">
        <v>7</v>
      </c>
      <c r="N969" t="b">
        <v>0</v>
      </c>
    </row>
    <row r="970" spans="1:14" x14ac:dyDescent="0.3">
      <c r="A970" t="s">
        <v>25</v>
      </c>
      <c r="B970" t="s">
        <v>16</v>
      </c>
      <c r="C970">
        <v>1</v>
      </c>
      <c r="D970" t="s">
        <v>144</v>
      </c>
      <c r="E970" t="s">
        <v>145</v>
      </c>
      <c r="F970" t="s">
        <v>146</v>
      </c>
      <c r="G970">
        <v>2</v>
      </c>
      <c r="H970">
        <v>2.8296000000000001</v>
      </c>
      <c r="I970" t="s">
        <v>46</v>
      </c>
      <c r="J970">
        <v>800000</v>
      </c>
      <c r="K970">
        <v>2263680</v>
      </c>
      <c r="L970" t="s">
        <v>16</v>
      </c>
      <c r="M970" t="s">
        <v>7</v>
      </c>
      <c r="N970" t="b">
        <v>0</v>
      </c>
    </row>
    <row r="971" spans="1:14" x14ac:dyDescent="0.3">
      <c r="A971" t="s">
        <v>25</v>
      </c>
      <c r="B971" t="s">
        <v>16</v>
      </c>
      <c r="E971" t="s">
        <v>147</v>
      </c>
      <c r="F971" t="s">
        <v>148</v>
      </c>
      <c r="G971">
        <v>2</v>
      </c>
      <c r="H971">
        <v>0.94320000000000004</v>
      </c>
      <c r="I971" t="s">
        <v>46</v>
      </c>
      <c r="J971">
        <v>800000</v>
      </c>
      <c r="K971">
        <v>754560</v>
      </c>
      <c r="L971" t="s">
        <v>16</v>
      </c>
      <c r="M971" t="s">
        <v>7</v>
      </c>
      <c r="N971" t="b">
        <v>0</v>
      </c>
    </row>
    <row r="972" spans="1:14" x14ac:dyDescent="0.3">
      <c r="A972" t="s">
        <v>25</v>
      </c>
      <c r="B972" t="s">
        <v>16</v>
      </c>
      <c r="E972" t="s">
        <v>149</v>
      </c>
      <c r="G972">
        <v>2</v>
      </c>
      <c r="I972" t="s">
        <v>61</v>
      </c>
      <c r="J972">
        <v>5000000</v>
      </c>
      <c r="K972">
        <v>10000000</v>
      </c>
      <c r="L972" t="s">
        <v>16</v>
      </c>
      <c r="M972" t="s">
        <v>7</v>
      </c>
      <c r="N972" t="b">
        <v>0</v>
      </c>
    </row>
    <row r="973" spans="1:14" x14ac:dyDescent="0.3">
      <c r="A973" t="s">
        <v>25</v>
      </c>
      <c r="B973" t="s">
        <v>16</v>
      </c>
      <c r="C973">
        <v>2</v>
      </c>
      <c r="E973" t="s">
        <v>150</v>
      </c>
      <c r="F973">
        <v>260</v>
      </c>
      <c r="G973">
        <v>2</v>
      </c>
      <c r="H973">
        <v>0.52</v>
      </c>
      <c r="I973" t="s">
        <v>151</v>
      </c>
      <c r="J973">
        <v>2000000</v>
      </c>
      <c r="K973">
        <v>1040000</v>
      </c>
      <c r="L973" t="s">
        <v>16</v>
      </c>
      <c r="M973" t="s">
        <v>7</v>
      </c>
      <c r="N973" t="b">
        <v>0</v>
      </c>
    </row>
    <row r="974" spans="1:14" x14ac:dyDescent="0.3">
      <c r="A974" t="s">
        <v>25</v>
      </c>
      <c r="B974" t="s">
        <v>16</v>
      </c>
      <c r="E974" t="s">
        <v>152</v>
      </c>
      <c r="G974">
        <v>10</v>
      </c>
      <c r="I974" t="s">
        <v>61</v>
      </c>
      <c r="J974">
        <v>200000</v>
      </c>
      <c r="K974">
        <v>2000000</v>
      </c>
      <c r="L974" t="s">
        <v>16</v>
      </c>
      <c r="M974" t="s">
        <v>7</v>
      </c>
      <c r="N974" t="b">
        <v>0</v>
      </c>
    </row>
    <row r="975" spans="1:14" x14ac:dyDescent="0.3">
      <c r="A975" t="s">
        <v>25</v>
      </c>
      <c r="B975" t="s">
        <v>16</v>
      </c>
      <c r="C975">
        <v>7</v>
      </c>
      <c r="E975" t="s">
        <v>153</v>
      </c>
      <c r="G975">
        <v>4</v>
      </c>
      <c r="H975">
        <v>4</v>
      </c>
      <c r="I975" t="s">
        <v>61</v>
      </c>
      <c r="J975">
        <v>300000</v>
      </c>
      <c r="K975">
        <v>1200000</v>
      </c>
      <c r="L975" t="s">
        <v>16</v>
      </c>
      <c r="M975" t="s">
        <v>7</v>
      </c>
      <c r="N975" t="b">
        <v>0</v>
      </c>
    </row>
    <row r="976" spans="1:14" x14ac:dyDescent="0.3">
      <c r="A976" t="s">
        <v>25</v>
      </c>
      <c r="B976" t="s">
        <v>16</v>
      </c>
      <c r="C976">
        <v>8</v>
      </c>
      <c r="E976" t="s">
        <v>134</v>
      </c>
      <c r="G976">
        <v>10</v>
      </c>
      <c r="H976">
        <v>10</v>
      </c>
      <c r="I976" t="s">
        <v>61</v>
      </c>
      <c r="J976">
        <v>30000</v>
      </c>
      <c r="K976">
        <v>300000</v>
      </c>
      <c r="L976" t="s">
        <v>16</v>
      </c>
      <c r="M976" t="s">
        <v>7</v>
      </c>
      <c r="N976" t="b">
        <v>0</v>
      </c>
    </row>
    <row r="977" spans="1:14" x14ac:dyDescent="0.3">
      <c r="A977" t="s">
        <v>25</v>
      </c>
      <c r="B977" t="s">
        <v>16</v>
      </c>
      <c r="C977">
        <v>9</v>
      </c>
      <c r="E977" t="s">
        <v>154</v>
      </c>
      <c r="G977">
        <v>4</v>
      </c>
      <c r="H977">
        <v>4</v>
      </c>
      <c r="I977" t="s">
        <v>61</v>
      </c>
      <c r="J977">
        <v>30000</v>
      </c>
      <c r="K977">
        <v>120000</v>
      </c>
      <c r="L977" t="s">
        <v>16</v>
      </c>
      <c r="M977" t="s">
        <v>7</v>
      </c>
      <c r="N977" t="b">
        <v>0</v>
      </c>
    </row>
    <row r="978" spans="1:14" x14ac:dyDescent="0.3">
      <c r="A978" t="s">
        <v>25</v>
      </c>
      <c r="B978" t="s">
        <v>16</v>
      </c>
      <c r="C978">
        <v>12</v>
      </c>
      <c r="E978" t="s">
        <v>120</v>
      </c>
      <c r="G978">
        <v>4</v>
      </c>
      <c r="H978">
        <v>4</v>
      </c>
      <c r="I978" t="s">
        <v>61</v>
      </c>
      <c r="J978">
        <v>30000</v>
      </c>
      <c r="K978">
        <v>120000</v>
      </c>
      <c r="L978" t="s">
        <v>16</v>
      </c>
      <c r="M978" t="s">
        <v>7</v>
      </c>
      <c r="N978" t="b">
        <v>0</v>
      </c>
    </row>
    <row r="979" spans="1:14" x14ac:dyDescent="0.3">
      <c r="A979" t="s">
        <v>25</v>
      </c>
      <c r="B979" t="s">
        <v>16</v>
      </c>
      <c r="C979">
        <v>13</v>
      </c>
      <c r="E979" t="s">
        <v>101</v>
      </c>
      <c r="H979">
        <v>1</v>
      </c>
      <c r="I979" t="s">
        <v>102</v>
      </c>
      <c r="J979">
        <v>13000000</v>
      </c>
      <c r="K979">
        <v>13000000</v>
      </c>
      <c r="L979" t="s">
        <v>16</v>
      </c>
      <c r="M979" t="s">
        <v>7</v>
      </c>
      <c r="N979" t="b">
        <v>0</v>
      </c>
    </row>
    <row r="980" spans="1:14" x14ac:dyDescent="0.3">
      <c r="A980" t="s">
        <v>25</v>
      </c>
      <c r="B980" t="s">
        <v>16</v>
      </c>
      <c r="C980">
        <v>14</v>
      </c>
      <c r="E980" t="s">
        <v>107</v>
      </c>
      <c r="H980">
        <v>0</v>
      </c>
      <c r="I980" t="s">
        <v>108</v>
      </c>
      <c r="K980">
        <v>0</v>
      </c>
      <c r="L980" t="s">
        <v>16</v>
      </c>
      <c r="M980" t="s">
        <v>7</v>
      </c>
      <c r="N980" t="b">
        <v>0</v>
      </c>
    </row>
    <row r="981" spans="1:14" x14ac:dyDescent="0.3">
      <c r="A981" t="s">
        <v>25</v>
      </c>
      <c r="B981" t="s">
        <v>16</v>
      </c>
      <c r="E981" t="s">
        <v>155</v>
      </c>
      <c r="F981">
        <v>300</v>
      </c>
      <c r="G981">
        <v>200</v>
      </c>
      <c r="H981">
        <v>3</v>
      </c>
      <c r="I981">
        <v>7.86</v>
      </c>
      <c r="K981">
        <v>1.4148000000000001</v>
      </c>
      <c r="L981" t="s">
        <v>16</v>
      </c>
      <c r="M981" t="s">
        <v>7</v>
      </c>
      <c r="N981" t="b">
        <v>0</v>
      </c>
    </row>
    <row r="982" spans="1:14" x14ac:dyDescent="0.3">
      <c r="A982" t="s">
        <v>25</v>
      </c>
      <c r="B982" t="s">
        <v>16</v>
      </c>
      <c r="E982" t="s">
        <v>156</v>
      </c>
      <c r="F982">
        <v>200</v>
      </c>
      <c r="G982">
        <v>100</v>
      </c>
      <c r="H982">
        <v>3</v>
      </c>
      <c r="I982">
        <v>7.86</v>
      </c>
      <c r="K982">
        <v>0.47160000000000002</v>
      </c>
      <c r="L982" t="s">
        <v>16</v>
      </c>
      <c r="M982" t="s">
        <v>7</v>
      </c>
      <c r="N982" t="b">
        <v>0</v>
      </c>
    </row>
    <row r="983" spans="1:14" x14ac:dyDescent="0.3">
      <c r="A983" t="s">
        <v>25</v>
      </c>
      <c r="B983" t="s">
        <v>17</v>
      </c>
      <c r="C983">
        <v>1</v>
      </c>
      <c r="D983" t="s">
        <v>75</v>
      </c>
      <c r="E983" t="s">
        <v>157</v>
      </c>
      <c r="G983">
        <v>1</v>
      </c>
      <c r="H983">
        <v>1.6485000000000001</v>
      </c>
      <c r="I983" t="s">
        <v>46</v>
      </c>
      <c r="J983">
        <v>700000</v>
      </c>
      <c r="K983">
        <v>1153950</v>
      </c>
      <c r="L983" t="s">
        <v>17</v>
      </c>
      <c r="M983" t="s">
        <v>7</v>
      </c>
      <c r="N983" t="b">
        <v>0</v>
      </c>
    </row>
    <row r="984" spans="1:14" x14ac:dyDescent="0.3">
      <c r="A984" t="s">
        <v>25</v>
      </c>
      <c r="B984" t="s">
        <v>17</v>
      </c>
      <c r="C984">
        <v>2</v>
      </c>
      <c r="D984" t="s">
        <v>75</v>
      </c>
      <c r="E984" t="s">
        <v>158</v>
      </c>
      <c r="G984">
        <v>2</v>
      </c>
      <c r="I984" t="s">
        <v>151</v>
      </c>
      <c r="J984">
        <v>1200000</v>
      </c>
      <c r="K984">
        <v>2400000</v>
      </c>
      <c r="L984" t="s">
        <v>17</v>
      </c>
      <c r="M984" t="s">
        <v>7</v>
      </c>
      <c r="N984" t="b">
        <v>0</v>
      </c>
    </row>
    <row r="985" spans="1:14" x14ac:dyDescent="0.3">
      <c r="A985" t="s">
        <v>25</v>
      </c>
      <c r="B985" t="s">
        <v>17</v>
      </c>
      <c r="C985">
        <v>3</v>
      </c>
      <c r="E985" t="s">
        <v>159</v>
      </c>
      <c r="G985">
        <v>2</v>
      </c>
      <c r="I985" t="s">
        <v>61</v>
      </c>
      <c r="J985">
        <v>100000</v>
      </c>
      <c r="K985">
        <v>200000</v>
      </c>
      <c r="L985" t="s">
        <v>17</v>
      </c>
      <c r="M985" t="s">
        <v>7</v>
      </c>
      <c r="N985" t="b">
        <v>0</v>
      </c>
    </row>
    <row r="986" spans="1:14" x14ac:dyDescent="0.3">
      <c r="A986" t="s">
        <v>25</v>
      </c>
      <c r="B986" t="s">
        <v>17</v>
      </c>
      <c r="C986">
        <v>4</v>
      </c>
      <c r="E986" t="s">
        <v>133</v>
      </c>
      <c r="G986">
        <v>6</v>
      </c>
      <c r="I986" t="s">
        <v>61</v>
      </c>
      <c r="J986">
        <v>10000</v>
      </c>
      <c r="K986">
        <v>60000</v>
      </c>
      <c r="L986" t="s">
        <v>17</v>
      </c>
      <c r="M986" t="s">
        <v>7</v>
      </c>
      <c r="N986" t="b">
        <v>0</v>
      </c>
    </row>
    <row r="987" spans="1:14" x14ac:dyDescent="0.3">
      <c r="A987" t="s">
        <v>25</v>
      </c>
      <c r="B987" t="s">
        <v>17</v>
      </c>
      <c r="C987">
        <v>5</v>
      </c>
      <c r="E987" t="s">
        <v>134</v>
      </c>
      <c r="G987">
        <v>6</v>
      </c>
      <c r="I987" t="s">
        <v>61</v>
      </c>
      <c r="J987">
        <v>5000</v>
      </c>
      <c r="K987">
        <v>30000</v>
      </c>
      <c r="L987" t="s">
        <v>17</v>
      </c>
      <c r="M987" t="s">
        <v>7</v>
      </c>
      <c r="N987" t="b">
        <v>0</v>
      </c>
    </row>
    <row r="988" spans="1:14" x14ac:dyDescent="0.3">
      <c r="A988" t="s">
        <v>25</v>
      </c>
      <c r="B988" t="s">
        <v>17</v>
      </c>
      <c r="C988">
        <v>6</v>
      </c>
      <c r="E988" t="s">
        <v>160</v>
      </c>
      <c r="G988">
        <v>2</v>
      </c>
      <c r="I988" t="s">
        <v>61</v>
      </c>
      <c r="J988">
        <v>500000</v>
      </c>
      <c r="K988">
        <v>1000000</v>
      </c>
      <c r="L988" t="s">
        <v>17</v>
      </c>
      <c r="M988" t="s">
        <v>7</v>
      </c>
      <c r="N988" t="b">
        <v>0</v>
      </c>
    </row>
    <row r="989" spans="1:14" x14ac:dyDescent="0.3">
      <c r="A989" t="s">
        <v>25</v>
      </c>
      <c r="B989" t="s">
        <v>17</v>
      </c>
      <c r="C989">
        <v>7</v>
      </c>
      <c r="E989" t="s">
        <v>161</v>
      </c>
      <c r="G989">
        <v>2</v>
      </c>
      <c r="I989" t="s">
        <v>61</v>
      </c>
      <c r="J989">
        <v>10000</v>
      </c>
      <c r="K989">
        <v>20000</v>
      </c>
      <c r="L989" t="s">
        <v>17</v>
      </c>
      <c r="M989" t="s">
        <v>7</v>
      </c>
      <c r="N989" t="b">
        <v>0</v>
      </c>
    </row>
    <row r="990" spans="1:14" x14ac:dyDescent="0.3">
      <c r="A990" t="s">
        <v>25</v>
      </c>
      <c r="B990" t="s">
        <v>17</v>
      </c>
      <c r="C990">
        <v>8</v>
      </c>
      <c r="E990" t="s">
        <v>142</v>
      </c>
      <c r="G990">
        <v>2</v>
      </c>
      <c r="I990" t="s">
        <v>61</v>
      </c>
      <c r="J990">
        <v>5000</v>
      </c>
      <c r="K990">
        <v>10000</v>
      </c>
      <c r="L990" t="s">
        <v>17</v>
      </c>
      <c r="M990" t="s">
        <v>7</v>
      </c>
      <c r="N990" t="b">
        <v>0</v>
      </c>
    </row>
    <row r="991" spans="1:14" x14ac:dyDescent="0.3">
      <c r="A991" t="s">
        <v>25</v>
      </c>
      <c r="B991" t="s">
        <v>17</v>
      </c>
      <c r="C991">
        <v>9</v>
      </c>
      <c r="E991" t="s">
        <v>114</v>
      </c>
      <c r="G991">
        <v>2</v>
      </c>
      <c r="I991" t="s">
        <v>61</v>
      </c>
      <c r="J991">
        <v>60000</v>
      </c>
      <c r="K991">
        <v>120000</v>
      </c>
      <c r="L991" t="s">
        <v>17</v>
      </c>
      <c r="M991" t="s">
        <v>7</v>
      </c>
      <c r="N991" t="b">
        <v>0</v>
      </c>
    </row>
    <row r="992" spans="1:14" x14ac:dyDescent="0.3">
      <c r="A992" t="s">
        <v>25</v>
      </c>
      <c r="B992" t="s">
        <v>17</v>
      </c>
      <c r="C992">
        <v>10</v>
      </c>
      <c r="E992" t="s">
        <v>101</v>
      </c>
      <c r="H992">
        <v>3</v>
      </c>
      <c r="I992" t="s">
        <v>102</v>
      </c>
      <c r="J992">
        <v>13000000</v>
      </c>
      <c r="K992">
        <v>39000000</v>
      </c>
      <c r="L992" t="s">
        <v>17</v>
      </c>
      <c r="M992" t="s">
        <v>7</v>
      </c>
      <c r="N992" t="b">
        <v>0</v>
      </c>
    </row>
    <row r="993" spans="1:14" x14ac:dyDescent="0.3">
      <c r="A993" t="s">
        <v>25</v>
      </c>
      <c r="B993" t="s">
        <v>17</v>
      </c>
      <c r="C993">
        <v>11</v>
      </c>
      <c r="E993" t="s">
        <v>107</v>
      </c>
      <c r="H993">
        <v>0</v>
      </c>
      <c r="I993" t="s">
        <v>108</v>
      </c>
      <c r="K993">
        <v>0</v>
      </c>
      <c r="L993" t="s">
        <v>17</v>
      </c>
      <c r="M993" t="s">
        <v>7</v>
      </c>
      <c r="N993" t="b">
        <v>0</v>
      </c>
    </row>
    <row r="994" spans="1:14" x14ac:dyDescent="0.3">
      <c r="A994" t="s">
        <v>25</v>
      </c>
      <c r="B994" t="s">
        <v>18</v>
      </c>
      <c r="C994">
        <v>1</v>
      </c>
      <c r="D994" t="s">
        <v>144</v>
      </c>
      <c r="E994" t="s">
        <v>145</v>
      </c>
      <c r="F994" t="s">
        <v>162</v>
      </c>
      <c r="G994">
        <v>1</v>
      </c>
      <c r="H994">
        <v>0.58950000000000002</v>
      </c>
      <c r="I994" t="s">
        <v>46</v>
      </c>
      <c r="J994">
        <v>800000</v>
      </c>
      <c r="K994">
        <v>471600</v>
      </c>
      <c r="L994" t="s">
        <v>18</v>
      </c>
      <c r="M994" t="s">
        <v>7</v>
      </c>
      <c r="N994" t="b">
        <v>0</v>
      </c>
    </row>
    <row r="995" spans="1:14" x14ac:dyDescent="0.3">
      <c r="A995" t="s">
        <v>25</v>
      </c>
      <c r="B995" t="s">
        <v>18</v>
      </c>
      <c r="C995">
        <v>2</v>
      </c>
      <c r="D995" t="s">
        <v>73</v>
      </c>
      <c r="E995" t="s">
        <v>163</v>
      </c>
      <c r="F995" t="s">
        <v>164</v>
      </c>
      <c r="G995">
        <v>2</v>
      </c>
      <c r="H995">
        <v>1.2631449600000002</v>
      </c>
      <c r="I995" t="s">
        <v>46</v>
      </c>
      <c r="J995">
        <v>1500000</v>
      </c>
      <c r="K995">
        <v>3000000</v>
      </c>
      <c r="L995" t="s">
        <v>18</v>
      </c>
      <c r="M995" t="s">
        <v>7</v>
      </c>
      <c r="N995" t="b">
        <v>0</v>
      </c>
    </row>
    <row r="996" spans="1:14" x14ac:dyDescent="0.3">
      <c r="A996" t="s">
        <v>25</v>
      </c>
      <c r="B996" t="s">
        <v>18</v>
      </c>
      <c r="C996">
        <v>7</v>
      </c>
      <c r="E996" t="s">
        <v>66</v>
      </c>
      <c r="G996">
        <v>2</v>
      </c>
      <c r="H996">
        <v>2</v>
      </c>
      <c r="I996" t="s">
        <v>61</v>
      </c>
      <c r="J996">
        <v>50000</v>
      </c>
      <c r="K996">
        <v>100000</v>
      </c>
      <c r="L996" t="s">
        <v>18</v>
      </c>
      <c r="M996" t="s">
        <v>7</v>
      </c>
      <c r="N996" t="b">
        <v>0</v>
      </c>
    </row>
    <row r="997" spans="1:14" x14ac:dyDescent="0.3">
      <c r="A997" t="s">
        <v>25</v>
      </c>
      <c r="B997" t="s">
        <v>18</v>
      </c>
      <c r="C997">
        <v>8</v>
      </c>
      <c r="E997" t="s">
        <v>141</v>
      </c>
      <c r="G997">
        <v>4</v>
      </c>
      <c r="H997">
        <v>4</v>
      </c>
      <c r="I997" t="s">
        <v>61</v>
      </c>
      <c r="J997">
        <v>30000</v>
      </c>
      <c r="K997">
        <v>120000</v>
      </c>
      <c r="L997" t="s">
        <v>18</v>
      </c>
      <c r="M997" t="s">
        <v>7</v>
      </c>
      <c r="N997" t="b">
        <v>0</v>
      </c>
    </row>
    <row r="998" spans="1:14" x14ac:dyDescent="0.3">
      <c r="A998" t="s">
        <v>25</v>
      </c>
      <c r="B998" t="s">
        <v>18</v>
      </c>
      <c r="C998">
        <v>9</v>
      </c>
      <c r="E998" t="s">
        <v>165</v>
      </c>
      <c r="G998">
        <v>1</v>
      </c>
      <c r="H998">
        <v>1</v>
      </c>
      <c r="I998" t="s">
        <v>61</v>
      </c>
      <c r="J998">
        <v>30000</v>
      </c>
      <c r="K998">
        <v>30000</v>
      </c>
      <c r="L998" t="s">
        <v>18</v>
      </c>
      <c r="M998" t="s">
        <v>7</v>
      </c>
      <c r="N998" t="b">
        <v>0</v>
      </c>
    </row>
    <row r="999" spans="1:14" x14ac:dyDescent="0.3">
      <c r="A999" t="s">
        <v>25</v>
      </c>
      <c r="B999" t="s">
        <v>18</v>
      </c>
      <c r="C999">
        <v>13</v>
      </c>
      <c r="E999" t="s">
        <v>101</v>
      </c>
      <c r="H999">
        <v>1</v>
      </c>
      <c r="I999" t="s">
        <v>102</v>
      </c>
      <c r="J999">
        <v>13000000</v>
      </c>
      <c r="K999">
        <v>13000000</v>
      </c>
      <c r="L999" t="s">
        <v>18</v>
      </c>
      <c r="M999" t="s">
        <v>7</v>
      </c>
      <c r="N999" t="b">
        <v>0</v>
      </c>
    </row>
    <row r="1000" spans="1:14" x14ac:dyDescent="0.3">
      <c r="A1000" t="s">
        <v>25</v>
      </c>
      <c r="B1000" t="s">
        <v>18</v>
      </c>
      <c r="C1000">
        <v>14</v>
      </c>
      <c r="E1000" t="s">
        <v>107</v>
      </c>
      <c r="H1000">
        <v>0</v>
      </c>
      <c r="I1000" t="s">
        <v>108</v>
      </c>
      <c r="K1000">
        <v>0</v>
      </c>
      <c r="L1000" t="s">
        <v>18</v>
      </c>
      <c r="M1000" t="s">
        <v>7</v>
      </c>
      <c r="N1000" t="b">
        <v>0</v>
      </c>
    </row>
    <row r="1001" spans="1:14" x14ac:dyDescent="0.3">
      <c r="A1001" t="s">
        <v>25</v>
      </c>
      <c r="B1001" t="s">
        <v>18</v>
      </c>
      <c r="E1001" t="s">
        <v>155</v>
      </c>
      <c r="F1001">
        <v>300</v>
      </c>
      <c r="G1001">
        <v>100</v>
      </c>
      <c r="H1001">
        <v>2.5</v>
      </c>
      <c r="I1001">
        <v>7.86</v>
      </c>
      <c r="K1001">
        <v>0.58950000000000002</v>
      </c>
      <c r="L1001" t="s">
        <v>18</v>
      </c>
      <c r="M1001" t="s">
        <v>7</v>
      </c>
      <c r="N1001" t="b">
        <v>0</v>
      </c>
    </row>
    <row r="1002" spans="1:14" x14ac:dyDescent="0.3">
      <c r="A1002" t="s">
        <v>27</v>
      </c>
      <c r="B1002" t="s">
        <v>28</v>
      </c>
      <c r="C1002">
        <v>1</v>
      </c>
      <c r="D1002" t="s">
        <v>44</v>
      </c>
      <c r="E1002" t="s">
        <v>45</v>
      </c>
      <c r="F1002">
        <v>2735</v>
      </c>
      <c r="G1002">
        <v>2</v>
      </c>
      <c r="H1002">
        <v>7.6580000000000004</v>
      </c>
      <c r="I1002" t="s">
        <v>46</v>
      </c>
      <c r="J1002">
        <v>8500000</v>
      </c>
      <c r="K1002">
        <v>65092999.999999993</v>
      </c>
      <c r="L1002" t="s">
        <v>28</v>
      </c>
      <c r="M1002" t="s">
        <v>7</v>
      </c>
      <c r="N1002" t="b">
        <v>0</v>
      </c>
    </row>
    <row r="1003" spans="1:14" x14ac:dyDescent="0.3">
      <c r="A1003" t="s">
        <v>27</v>
      </c>
      <c r="B1003" t="s">
        <v>28</v>
      </c>
      <c r="C1003">
        <v>2</v>
      </c>
      <c r="E1003" t="s">
        <v>47</v>
      </c>
      <c r="F1003">
        <v>2735</v>
      </c>
      <c r="G1003">
        <v>1</v>
      </c>
      <c r="H1003">
        <v>3.8290000000000002</v>
      </c>
      <c r="I1003" t="s">
        <v>46</v>
      </c>
      <c r="J1003">
        <v>8500000</v>
      </c>
      <c r="K1003">
        <v>32546499.999999996</v>
      </c>
      <c r="L1003" t="s">
        <v>28</v>
      </c>
      <c r="M1003" t="s">
        <v>7</v>
      </c>
      <c r="N1003" t="b">
        <v>0</v>
      </c>
    </row>
    <row r="1004" spans="1:14" x14ac:dyDescent="0.3">
      <c r="A1004" t="s">
        <v>27</v>
      </c>
      <c r="B1004" t="s">
        <v>28</v>
      </c>
      <c r="C1004">
        <v>3</v>
      </c>
      <c r="E1004" t="s">
        <v>172</v>
      </c>
      <c r="F1004">
        <v>2703</v>
      </c>
      <c r="G1004">
        <v>4</v>
      </c>
      <c r="H1004">
        <v>28.1112</v>
      </c>
      <c r="I1004" t="s">
        <v>46</v>
      </c>
      <c r="J1004">
        <v>8500000</v>
      </c>
      <c r="K1004">
        <v>238945200</v>
      </c>
      <c r="L1004" t="s">
        <v>28</v>
      </c>
      <c r="M1004" t="s">
        <v>7</v>
      </c>
      <c r="N1004" t="b">
        <v>0</v>
      </c>
    </row>
    <row r="1005" spans="1:14" x14ac:dyDescent="0.3">
      <c r="A1005" t="s">
        <v>27</v>
      </c>
      <c r="B1005" t="s">
        <v>28</v>
      </c>
      <c r="C1005">
        <v>4</v>
      </c>
      <c r="E1005" t="s">
        <v>49</v>
      </c>
      <c r="F1005">
        <v>120</v>
      </c>
      <c r="G1005">
        <v>4</v>
      </c>
      <c r="H1005">
        <v>0.48</v>
      </c>
      <c r="I1005" t="s">
        <v>46</v>
      </c>
      <c r="J1005">
        <v>8500000</v>
      </c>
      <c r="K1005">
        <v>4080000</v>
      </c>
      <c r="L1005" t="s">
        <v>28</v>
      </c>
      <c r="M1005" t="s">
        <v>7</v>
      </c>
      <c r="N1005" t="b">
        <v>0</v>
      </c>
    </row>
    <row r="1006" spans="1:14" x14ac:dyDescent="0.3">
      <c r="A1006" t="s">
        <v>27</v>
      </c>
      <c r="B1006" t="s">
        <v>28</v>
      </c>
      <c r="C1006">
        <v>5</v>
      </c>
      <c r="E1006" t="s">
        <v>50</v>
      </c>
      <c r="F1006">
        <v>180</v>
      </c>
      <c r="G1006">
        <v>4</v>
      </c>
      <c r="H1006">
        <v>2.4552719999999999</v>
      </c>
      <c r="I1006" t="s">
        <v>46</v>
      </c>
      <c r="J1006">
        <v>8500000</v>
      </c>
      <c r="K1006">
        <v>20869812</v>
      </c>
      <c r="L1006" t="s">
        <v>28</v>
      </c>
      <c r="M1006" t="s">
        <v>7</v>
      </c>
      <c r="N1006" t="b">
        <v>0</v>
      </c>
    </row>
    <row r="1007" spans="1:14" x14ac:dyDescent="0.3">
      <c r="A1007" t="s">
        <v>27</v>
      </c>
      <c r="B1007" t="s">
        <v>28</v>
      </c>
      <c r="C1007">
        <v>6</v>
      </c>
      <c r="E1007" t="s">
        <v>51</v>
      </c>
      <c r="F1007" t="s">
        <v>173</v>
      </c>
      <c r="G1007">
        <v>8</v>
      </c>
      <c r="H1007">
        <v>53.887680000000017</v>
      </c>
      <c r="I1007" t="s">
        <v>46</v>
      </c>
      <c r="J1007">
        <v>8500000</v>
      </c>
      <c r="K1007">
        <v>458045280.00000018</v>
      </c>
      <c r="L1007" t="s">
        <v>28</v>
      </c>
      <c r="M1007" t="s">
        <v>7</v>
      </c>
      <c r="N1007" t="b">
        <v>0</v>
      </c>
    </row>
    <row r="1008" spans="1:14" x14ac:dyDescent="0.3">
      <c r="A1008" t="s">
        <v>27</v>
      </c>
      <c r="B1008" t="s">
        <v>28</v>
      </c>
      <c r="C1008">
        <v>7</v>
      </c>
      <c r="D1008" t="s">
        <v>52</v>
      </c>
      <c r="E1008" t="s">
        <v>53</v>
      </c>
      <c r="F1008">
        <v>0.13</v>
      </c>
      <c r="G1008">
        <v>9.1238399999999995</v>
      </c>
      <c r="H1008">
        <v>9.1238399999999995</v>
      </c>
      <c r="I1008" t="s">
        <v>54</v>
      </c>
      <c r="J1008">
        <v>4275000</v>
      </c>
      <c r="K1008">
        <v>39004416</v>
      </c>
      <c r="L1008" t="s">
        <v>28</v>
      </c>
      <c r="M1008" t="s">
        <v>7</v>
      </c>
      <c r="N1008" t="b">
        <v>0</v>
      </c>
    </row>
    <row r="1009" spans="1:14" x14ac:dyDescent="0.3">
      <c r="A1009" t="s">
        <v>27</v>
      </c>
      <c r="B1009" t="s">
        <v>28</v>
      </c>
      <c r="C1009">
        <v>8</v>
      </c>
      <c r="E1009" t="s">
        <v>55</v>
      </c>
      <c r="F1009">
        <v>0.35</v>
      </c>
      <c r="G1009">
        <v>3.2617728000000001</v>
      </c>
      <c r="H1009">
        <v>3.2617728000000001</v>
      </c>
      <c r="I1009" t="s">
        <v>46</v>
      </c>
      <c r="J1009">
        <v>35750000</v>
      </c>
      <c r="K1009">
        <v>116608377.59999999</v>
      </c>
      <c r="L1009" t="s">
        <v>28</v>
      </c>
      <c r="M1009" t="s">
        <v>7</v>
      </c>
      <c r="N1009" t="b">
        <v>0</v>
      </c>
    </row>
    <row r="1010" spans="1:14" x14ac:dyDescent="0.3">
      <c r="A1010" t="s">
        <v>27</v>
      </c>
      <c r="B1010" t="s">
        <v>28</v>
      </c>
      <c r="C1010">
        <v>9</v>
      </c>
      <c r="E1010" t="s">
        <v>55</v>
      </c>
      <c r="F1010">
        <v>0.2</v>
      </c>
      <c r="G1010">
        <v>0</v>
      </c>
      <c r="H1010">
        <v>0</v>
      </c>
      <c r="I1010" t="s">
        <v>46</v>
      </c>
      <c r="J1010">
        <v>45760000</v>
      </c>
      <c r="K1010">
        <v>0</v>
      </c>
      <c r="L1010" t="s">
        <v>28</v>
      </c>
      <c r="M1010" t="s">
        <v>7</v>
      </c>
      <c r="N1010" t="b">
        <v>0</v>
      </c>
    </row>
    <row r="1011" spans="1:14" x14ac:dyDescent="0.3">
      <c r="A1011" t="s">
        <v>27</v>
      </c>
      <c r="B1011" t="s">
        <v>28</v>
      </c>
      <c r="C1011">
        <v>10</v>
      </c>
      <c r="D1011" t="s">
        <v>56</v>
      </c>
      <c r="E1011" t="s">
        <v>57</v>
      </c>
      <c r="G1011">
        <v>39.598199999999999</v>
      </c>
      <c r="H1011">
        <v>39.598199999999999</v>
      </c>
      <c r="I1011" t="s">
        <v>46</v>
      </c>
      <c r="J1011">
        <v>1430000</v>
      </c>
      <c r="K1011">
        <v>56625426</v>
      </c>
      <c r="L1011" t="s">
        <v>28</v>
      </c>
      <c r="M1011" t="s">
        <v>7</v>
      </c>
      <c r="N1011" t="b">
        <v>0</v>
      </c>
    </row>
    <row r="1012" spans="1:14" x14ac:dyDescent="0.3">
      <c r="A1012" t="s">
        <v>27</v>
      </c>
      <c r="B1012" t="s">
        <v>28</v>
      </c>
      <c r="C1012">
        <v>11</v>
      </c>
      <c r="D1012" t="s">
        <v>58</v>
      </c>
      <c r="E1012" t="s">
        <v>59</v>
      </c>
      <c r="G1012">
        <v>16</v>
      </c>
      <c r="H1012">
        <v>16</v>
      </c>
      <c r="I1012" t="s">
        <v>46</v>
      </c>
      <c r="J1012">
        <v>3000000</v>
      </c>
      <c r="K1012">
        <v>48000000</v>
      </c>
      <c r="L1012" t="s">
        <v>28</v>
      </c>
      <c r="M1012" t="s">
        <v>7</v>
      </c>
      <c r="N1012" t="b">
        <v>0</v>
      </c>
    </row>
    <row r="1013" spans="1:14" x14ac:dyDescent="0.3">
      <c r="A1013" t="s">
        <v>27</v>
      </c>
      <c r="B1013" t="s">
        <v>28</v>
      </c>
      <c r="C1013">
        <v>12</v>
      </c>
      <c r="E1013" t="s">
        <v>60</v>
      </c>
      <c r="G1013">
        <v>53.887680000000017</v>
      </c>
      <c r="H1013">
        <v>53.887680000000017</v>
      </c>
      <c r="I1013" t="s">
        <v>61</v>
      </c>
      <c r="J1013">
        <v>3600000</v>
      </c>
      <c r="K1013">
        <v>193995648.00000009</v>
      </c>
      <c r="L1013" t="s">
        <v>28</v>
      </c>
      <c r="M1013" t="s">
        <v>7</v>
      </c>
      <c r="N1013" t="b">
        <v>0</v>
      </c>
    </row>
    <row r="1014" spans="1:14" x14ac:dyDescent="0.3">
      <c r="A1014" t="s">
        <v>27</v>
      </c>
      <c r="B1014" t="s">
        <v>28</v>
      </c>
      <c r="C1014">
        <v>13</v>
      </c>
      <c r="D1014" t="s">
        <v>62</v>
      </c>
      <c r="E1014" t="s">
        <v>63</v>
      </c>
      <c r="G1014">
        <v>23.76</v>
      </c>
      <c r="H1014">
        <v>23.76</v>
      </c>
      <c r="I1014" t="s">
        <v>61</v>
      </c>
      <c r="J1014">
        <v>3600000</v>
      </c>
      <c r="K1014">
        <v>85536000</v>
      </c>
      <c r="L1014" t="s">
        <v>28</v>
      </c>
      <c r="M1014" t="s">
        <v>7</v>
      </c>
      <c r="N1014" t="b">
        <v>0</v>
      </c>
    </row>
    <row r="1015" spans="1:14" x14ac:dyDescent="0.3">
      <c r="A1015" t="s">
        <v>27</v>
      </c>
      <c r="B1015" t="s">
        <v>28</v>
      </c>
      <c r="C1015">
        <v>14</v>
      </c>
      <c r="E1015" t="s">
        <v>64</v>
      </c>
      <c r="G1015">
        <v>0.4</v>
      </c>
      <c r="H1015">
        <v>0.4</v>
      </c>
      <c r="I1015" t="s">
        <v>61</v>
      </c>
      <c r="J1015">
        <v>5500000</v>
      </c>
      <c r="K1015">
        <v>2200000</v>
      </c>
      <c r="L1015" t="s">
        <v>28</v>
      </c>
      <c r="M1015" t="s">
        <v>7</v>
      </c>
      <c r="N1015" t="b">
        <v>0</v>
      </c>
    </row>
    <row r="1016" spans="1:14" x14ac:dyDescent="0.3">
      <c r="A1016" t="s">
        <v>27</v>
      </c>
      <c r="B1016" t="s">
        <v>28</v>
      </c>
      <c r="C1016">
        <v>15</v>
      </c>
      <c r="D1016" t="s">
        <v>65</v>
      </c>
      <c r="E1016" t="s">
        <v>66</v>
      </c>
      <c r="G1016" t="s">
        <v>67</v>
      </c>
      <c r="H1016" t="s">
        <v>67</v>
      </c>
      <c r="I1016" t="s">
        <v>61</v>
      </c>
      <c r="J1016">
        <v>200000</v>
      </c>
      <c r="K1016">
        <v>16000000</v>
      </c>
      <c r="L1016" t="s">
        <v>28</v>
      </c>
      <c r="M1016" t="s">
        <v>7</v>
      </c>
      <c r="N1016" t="b">
        <v>0</v>
      </c>
    </row>
    <row r="1017" spans="1:14" x14ac:dyDescent="0.3">
      <c r="A1017" t="s">
        <v>27</v>
      </c>
      <c r="B1017" t="s">
        <v>28</v>
      </c>
      <c r="C1017">
        <v>16</v>
      </c>
      <c r="E1017" t="s">
        <v>68</v>
      </c>
      <c r="G1017">
        <v>8</v>
      </c>
      <c r="H1017">
        <v>8</v>
      </c>
      <c r="I1017" t="s">
        <v>61</v>
      </c>
      <c r="J1017">
        <v>200000</v>
      </c>
      <c r="K1017">
        <v>1600000</v>
      </c>
      <c r="L1017" t="s">
        <v>28</v>
      </c>
      <c r="M1017" t="s">
        <v>7</v>
      </c>
      <c r="N1017" t="b">
        <v>0</v>
      </c>
    </row>
    <row r="1018" spans="1:14" x14ac:dyDescent="0.3">
      <c r="A1018" t="s">
        <v>27</v>
      </c>
      <c r="B1018" t="s">
        <v>28</v>
      </c>
      <c r="C1018">
        <v>17</v>
      </c>
      <c r="E1018" t="s">
        <v>69</v>
      </c>
      <c r="G1018">
        <v>88</v>
      </c>
      <c r="H1018">
        <v>88</v>
      </c>
      <c r="I1018" t="s">
        <v>61</v>
      </c>
      <c r="J1018">
        <v>200000</v>
      </c>
      <c r="K1018">
        <v>17600000</v>
      </c>
      <c r="L1018" t="s">
        <v>28</v>
      </c>
      <c r="M1018" t="s">
        <v>7</v>
      </c>
      <c r="N1018" t="b">
        <v>0</v>
      </c>
    </row>
    <row r="1019" spans="1:14" x14ac:dyDescent="0.3">
      <c r="A1019" t="s">
        <v>27</v>
      </c>
      <c r="B1019" t="s">
        <v>28</v>
      </c>
      <c r="C1019">
        <v>18</v>
      </c>
      <c r="E1019" t="s">
        <v>70</v>
      </c>
      <c r="G1019">
        <v>16</v>
      </c>
      <c r="H1019">
        <v>16</v>
      </c>
      <c r="I1019" t="s">
        <v>61</v>
      </c>
      <c r="J1019">
        <v>400000</v>
      </c>
      <c r="K1019">
        <v>6400000</v>
      </c>
      <c r="L1019" t="s">
        <v>28</v>
      </c>
      <c r="M1019" t="s">
        <v>7</v>
      </c>
      <c r="N1019" t="b">
        <v>0</v>
      </c>
    </row>
    <row r="1020" spans="1:14" x14ac:dyDescent="0.3">
      <c r="A1020" t="s">
        <v>27</v>
      </c>
      <c r="B1020" t="s">
        <v>28</v>
      </c>
      <c r="C1020">
        <v>19</v>
      </c>
      <c r="E1020" t="s">
        <v>71</v>
      </c>
      <c r="G1020">
        <v>16</v>
      </c>
      <c r="H1020">
        <v>16</v>
      </c>
      <c r="I1020" t="s">
        <v>61</v>
      </c>
      <c r="J1020">
        <v>120000</v>
      </c>
      <c r="K1020">
        <v>1920000</v>
      </c>
      <c r="L1020" t="s">
        <v>28</v>
      </c>
      <c r="M1020" t="s">
        <v>7</v>
      </c>
      <c r="N1020" t="b">
        <v>0</v>
      </c>
    </row>
    <row r="1021" spans="1:14" x14ac:dyDescent="0.3">
      <c r="A1021" t="s">
        <v>27</v>
      </c>
      <c r="B1021" t="s">
        <v>28</v>
      </c>
      <c r="C1021">
        <v>20</v>
      </c>
      <c r="E1021" t="s">
        <v>72</v>
      </c>
      <c r="G1021">
        <v>24</v>
      </c>
      <c r="H1021">
        <v>24</v>
      </c>
      <c r="I1021" t="s">
        <v>61</v>
      </c>
      <c r="J1021">
        <v>400000</v>
      </c>
      <c r="K1021">
        <v>9600000</v>
      </c>
      <c r="L1021" t="s">
        <v>28</v>
      </c>
      <c r="M1021" t="s">
        <v>7</v>
      </c>
      <c r="N1021" t="b">
        <v>0</v>
      </c>
    </row>
    <row r="1022" spans="1:14" x14ac:dyDescent="0.3">
      <c r="A1022" t="s">
        <v>27</v>
      </c>
      <c r="B1022" t="s">
        <v>28</v>
      </c>
      <c r="C1022">
        <v>21</v>
      </c>
      <c r="D1022" t="s">
        <v>73</v>
      </c>
      <c r="E1022" t="s">
        <v>74</v>
      </c>
      <c r="F1022">
        <v>132</v>
      </c>
      <c r="G1022">
        <v>16</v>
      </c>
      <c r="H1022">
        <v>7.9478783999999996</v>
      </c>
      <c r="I1022" t="s">
        <v>46</v>
      </c>
      <c r="J1022">
        <v>35000000</v>
      </c>
      <c r="K1022">
        <v>278175744</v>
      </c>
      <c r="L1022" t="s">
        <v>28</v>
      </c>
      <c r="M1022" t="s">
        <v>7</v>
      </c>
      <c r="N1022" t="b">
        <v>0</v>
      </c>
    </row>
    <row r="1023" spans="1:14" x14ac:dyDescent="0.3">
      <c r="A1023" t="s">
        <v>27</v>
      </c>
      <c r="B1023" t="s">
        <v>28</v>
      </c>
      <c r="C1023">
        <v>22</v>
      </c>
      <c r="D1023" t="s">
        <v>75</v>
      </c>
      <c r="E1023" t="s">
        <v>76</v>
      </c>
      <c r="F1023" t="s">
        <v>77</v>
      </c>
      <c r="G1023">
        <v>2</v>
      </c>
      <c r="H1023">
        <v>2.6</v>
      </c>
      <c r="I1023" t="s">
        <v>46</v>
      </c>
      <c r="J1023">
        <v>5200000</v>
      </c>
      <c r="K1023">
        <v>13520000</v>
      </c>
      <c r="L1023" t="s">
        <v>28</v>
      </c>
      <c r="M1023" t="s">
        <v>7</v>
      </c>
      <c r="N1023" t="b">
        <v>0</v>
      </c>
    </row>
    <row r="1024" spans="1:14" x14ac:dyDescent="0.3">
      <c r="A1024" t="s">
        <v>27</v>
      </c>
      <c r="B1024" t="s">
        <v>28</v>
      </c>
      <c r="C1024">
        <v>23</v>
      </c>
      <c r="E1024" t="s">
        <v>78</v>
      </c>
      <c r="F1024" t="s">
        <v>79</v>
      </c>
      <c r="G1024">
        <v>2</v>
      </c>
      <c r="H1024">
        <v>1.2</v>
      </c>
      <c r="I1024" t="s">
        <v>46</v>
      </c>
      <c r="J1024">
        <v>5200000</v>
      </c>
      <c r="K1024">
        <v>6240000</v>
      </c>
      <c r="L1024" t="s">
        <v>28</v>
      </c>
      <c r="M1024" t="s">
        <v>7</v>
      </c>
      <c r="N1024" t="b">
        <v>0</v>
      </c>
    </row>
    <row r="1025" spans="1:14" x14ac:dyDescent="0.3">
      <c r="A1025" t="s">
        <v>27</v>
      </c>
      <c r="B1025" t="s">
        <v>28</v>
      </c>
      <c r="C1025">
        <v>24</v>
      </c>
      <c r="D1025" t="s">
        <v>80</v>
      </c>
      <c r="E1025" t="s">
        <v>81</v>
      </c>
      <c r="F1025" t="s">
        <v>174</v>
      </c>
      <c r="G1025">
        <v>2</v>
      </c>
      <c r="H1025">
        <v>1.487393</v>
      </c>
      <c r="I1025" t="s">
        <v>46</v>
      </c>
      <c r="J1025">
        <v>8500000</v>
      </c>
      <c r="K1025">
        <v>12642840.5</v>
      </c>
      <c r="L1025" t="s">
        <v>28</v>
      </c>
      <c r="M1025" t="s">
        <v>7</v>
      </c>
      <c r="N1025" t="b">
        <v>0</v>
      </c>
    </row>
    <row r="1026" spans="1:14" x14ac:dyDescent="0.3">
      <c r="A1026" t="s">
        <v>27</v>
      </c>
      <c r="B1026" t="s">
        <v>28</v>
      </c>
      <c r="C1026">
        <v>25</v>
      </c>
      <c r="D1026" t="s">
        <v>83</v>
      </c>
      <c r="E1026" t="s">
        <v>84</v>
      </c>
      <c r="F1026">
        <v>0.18</v>
      </c>
      <c r="G1026">
        <v>4</v>
      </c>
      <c r="H1026">
        <v>4</v>
      </c>
      <c r="I1026" t="s">
        <v>61</v>
      </c>
      <c r="J1026">
        <v>910000</v>
      </c>
      <c r="K1026">
        <v>3640000</v>
      </c>
      <c r="L1026" t="s">
        <v>28</v>
      </c>
      <c r="M1026" t="s">
        <v>7</v>
      </c>
      <c r="N1026" t="b">
        <v>0</v>
      </c>
    </row>
    <row r="1027" spans="1:14" x14ac:dyDescent="0.3">
      <c r="A1027" t="s">
        <v>27</v>
      </c>
      <c r="B1027" t="s">
        <v>28</v>
      </c>
      <c r="C1027">
        <v>26</v>
      </c>
      <c r="E1027" t="s">
        <v>86</v>
      </c>
      <c r="F1027">
        <v>0.2</v>
      </c>
      <c r="G1027">
        <v>6</v>
      </c>
      <c r="H1027">
        <v>6</v>
      </c>
      <c r="I1027" t="s">
        <v>61</v>
      </c>
      <c r="J1027">
        <v>910000</v>
      </c>
      <c r="K1027">
        <v>5460000</v>
      </c>
      <c r="L1027" t="s">
        <v>28</v>
      </c>
      <c r="M1027" t="s">
        <v>7</v>
      </c>
      <c r="N1027" t="b">
        <v>0</v>
      </c>
    </row>
    <row r="1028" spans="1:14" x14ac:dyDescent="0.3">
      <c r="A1028" t="s">
        <v>27</v>
      </c>
      <c r="B1028" t="s">
        <v>28</v>
      </c>
      <c r="C1028">
        <v>27</v>
      </c>
      <c r="D1028" t="s">
        <v>88</v>
      </c>
      <c r="E1028" t="s">
        <v>89</v>
      </c>
      <c r="F1028" t="s">
        <v>90</v>
      </c>
      <c r="G1028">
        <v>2</v>
      </c>
      <c r="H1028">
        <v>2</v>
      </c>
      <c r="I1028" t="s">
        <v>61</v>
      </c>
      <c r="J1028">
        <v>100000</v>
      </c>
      <c r="K1028">
        <v>200000</v>
      </c>
      <c r="L1028" t="s">
        <v>28</v>
      </c>
      <c r="M1028" t="s">
        <v>7</v>
      </c>
      <c r="N1028" t="b">
        <v>0</v>
      </c>
    </row>
    <row r="1029" spans="1:14" x14ac:dyDescent="0.3">
      <c r="A1029" t="s">
        <v>27</v>
      </c>
      <c r="B1029" t="s">
        <v>28</v>
      </c>
      <c r="C1029">
        <v>28</v>
      </c>
      <c r="D1029" t="s">
        <v>65</v>
      </c>
      <c r="E1029" t="s">
        <v>91</v>
      </c>
      <c r="G1029">
        <v>4</v>
      </c>
      <c r="H1029">
        <v>4</v>
      </c>
      <c r="I1029" t="s">
        <v>61</v>
      </c>
      <c r="J1029">
        <v>2400000</v>
      </c>
      <c r="K1029">
        <v>9600000</v>
      </c>
      <c r="L1029" t="s">
        <v>28</v>
      </c>
      <c r="M1029" t="s">
        <v>7</v>
      </c>
      <c r="N1029" t="b">
        <v>0</v>
      </c>
    </row>
    <row r="1030" spans="1:14" x14ac:dyDescent="0.3">
      <c r="A1030" t="s">
        <v>27</v>
      </c>
      <c r="B1030" t="s">
        <v>28</v>
      </c>
      <c r="C1030">
        <v>29</v>
      </c>
      <c r="E1030" t="s">
        <v>92</v>
      </c>
      <c r="G1030">
        <v>4</v>
      </c>
      <c r="H1030">
        <v>4</v>
      </c>
      <c r="I1030" t="s">
        <v>61</v>
      </c>
      <c r="J1030">
        <v>2400000</v>
      </c>
      <c r="K1030">
        <v>9600000</v>
      </c>
      <c r="L1030" t="s">
        <v>28</v>
      </c>
      <c r="M1030" t="s">
        <v>7</v>
      </c>
      <c r="N1030" t="b">
        <v>0</v>
      </c>
    </row>
    <row r="1031" spans="1:14" x14ac:dyDescent="0.3">
      <c r="A1031" t="s">
        <v>27</v>
      </c>
      <c r="B1031" t="s">
        <v>28</v>
      </c>
      <c r="C1031">
        <v>30</v>
      </c>
      <c r="E1031" t="s">
        <v>93</v>
      </c>
      <c r="G1031">
        <v>4</v>
      </c>
      <c r="H1031">
        <v>4</v>
      </c>
      <c r="I1031" t="s">
        <v>61</v>
      </c>
      <c r="J1031">
        <v>3000000</v>
      </c>
      <c r="K1031">
        <v>12000000</v>
      </c>
      <c r="L1031" t="s">
        <v>28</v>
      </c>
      <c r="M1031" t="s">
        <v>7</v>
      </c>
      <c r="N1031" t="b">
        <v>0</v>
      </c>
    </row>
    <row r="1032" spans="1:14" x14ac:dyDescent="0.3">
      <c r="A1032" t="s">
        <v>27</v>
      </c>
      <c r="B1032" t="s">
        <v>28</v>
      </c>
      <c r="C1032">
        <v>31</v>
      </c>
      <c r="D1032" t="s">
        <v>94</v>
      </c>
      <c r="E1032" t="s">
        <v>95</v>
      </c>
      <c r="G1032">
        <v>2</v>
      </c>
      <c r="H1032">
        <v>2</v>
      </c>
      <c r="I1032" t="s">
        <v>61</v>
      </c>
      <c r="J1032">
        <v>1300000</v>
      </c>
      <c r="K1032">
        <v>2600000</v>
      </c>
      <c r="L1032" t="s">
        <v>28</v>
      </c>
      <c r="M1032" t="s">
        <v>7</v>
      </c>
      <c r="N1032" t="b">
        <v>0</v>
      </c>
    </row>
    <row r="1033" spans="1:14" x14ac:dyDescent="0.3">
      <c r="A1033" t="s">
        <v>27</v>
      </c>
      <c r="B1033" t="s">
        <v>28</v>
      </c>
      <c r="C1033">
        <v>32</v>
      </c>
      <c r="D1033" t="s">
        <v>94</v>
      </c>
      <c r="E1033" t="s">
        <v>96</v>
      </c>
      <c r="G1033">
        <v>8</v>
      </c>
      <c r="H1033">
        <v>21.623999999999999</v>
      </c>
      <c r="I1033" t="s">
        <v>97</v>
      </c>
      <c r="J1033">
        <v>460000</v>
      </c>
      <c r="K1033">
        <v>9947040</v>
      </c>
      <c r="L1033" t="s">
        <v>28</v>
      </c>
      <c r="M1033" t="s">
        <v>7</v>
      </c>
      <c r="N1033" t="b">
        <v>0</v>
      </c>
    </row>
    <row r="1034" spans="1:14" x14ac:dyDescent="0.3">
      <c r="A1034" t="s">
        <v>27</v>
      </c>
      <c r="B1034" t="s">
        <v>28</v>
      </c>
      <c r="C1034">
        <v>33</v>
      </c>
      <c r="D1034" t="s">
        <v>98</v>
      </c>
      <c r="E1034" t="s">
        <v>99</v>
      </c>
      <c r="F1034">
        <v>50</v>
      </c>
      <c r="G1034">
        <v>16</v>
      </c>
      <c r="H1034">
        <v>1.6</v>
      </c>
      <c r="I1034" t="s">
        <v>100</v>
      </c>
      <c r="J1034">
        <v>9739400</v>
      </c>
      <c r="K1034">
        <v>15583040</v>
      </c>
      <c r="L1034" t="s">
        <v>28</v>
      </c>
      <c r="M1034" t="s">
        <v>7</v>
      </c>
      <c r="N1034" t="b">
        <v>0</v>
      </c>
    </row>
    <row r="1035" spans="1:14" x14ac:dyDescent="0.3">
      <c r="A1035" t="s">
        <v>27</v>
      </c>
      <c r="B1035" t="s">
        <v>28</v>
      </c>
      <c r="C1035">
        <v>28</v>
      </c>
      <c r="E1035" t="s">
        <v>101</v>
      </c>
      <c r="H1035">
        <v>8</v>
      </c>
      <c r="I1035" t="s">
        <v>102</v>
      </c>
      <c r="J1035">
        <v>13000000</v>
      </c>
      <c r="K1035">
        <v>104000000</v>
      </c>
      <c r="L1035" t="s">
        <v>28</v>
      </c>
      <c r="M1035" t="s">
        <v>7</v>
      </c>
      <c r="N1035" t="b">
        <v>0</v>
      </c>
    </row>
    <row r="1036" spans="1:14" x14ac:dyDescent="0.3">
      <c r="A1036" t="s">
        <v>27</v>
      </c>
      <c r="B1036" t="s">
        <v>8</v>
      </c>
      <c r="C1036">
        <v>1</v>
      </c>
      <c r="D1036" t="s">
        <v>44</v>
      </c>
      <c r="E1036" t="s">
        <v>45</v>
      </c>
      <c r="F1036">
        <v>0.76800000000000002</v>
      </c>
      <c r="G1036">
        <v>2</v>
      </c>
      <c r="H1036">
        <v>2.1503999999999999</v>
      </c>
      <c r="I1036" t="s">
        <v>46</v>
      </c>
      <c r="J1036">
        <v>8500000</v>
      </c>
      <c r="K1036">
        <v>18278400</v>
      </c>
      <c r="L1036" t="s">
        <v>8</v>
      </c>
      <c r="M1036" t="s">
        <v>7</v>
      </c>
      <c r="N1036" t="b">
        <v>0</v>
      </c>
    </row>
    <row r="1037" spans="1:14" x14ac:dyDescent="0.3">
      <c r="A1037" t="s">
        <v>27</v>
      </c>
      <c r="B1037" t="s">
        <v>8</v>
      </c>
      <c r="C1037">
        <v>2</v>
      </c>
      <c r="E1037" t="s">
        <v>47</v>
      </c>
      <c r="F1037">
        <v>0.76800000000000002</v>
      </c>
      <c r="G1037">
        <v>1</v>
      </c>
      <c r="H1037">
        <v>1.0751999999999999</v>
      </c>
      <c r="I1037" t="s">
        <v>46</v>
      </c>
      <c r="J1037">
        <v>8500000</v>
      </c>
      <c r="K1037">
        <v>9139200</v>
      </c>
      <c r="L1037" t="s">
        <v>8</v>
      </c>
      <c r="M1037" t="s">
        <v>7</v>
      </c>
      <c r="N1037" t="b">
        <v>0</v>
      </c>
    </row>
    <row r="1038" spans="1:14" x14ac:dyDescent="0.3">
      <c r="A1038" t="s">
        <v>27</v>
      </c>
      <c r="B1038" t="s">
        <v>8</v>
      </c>
      <c r="C1038">
        <v>3</v>
      </c>
      <c r="E1038" t="s">
        <v>172</v>
      </c>
      <c r="F1038">
        <v>0.70299999999999996</v>
      </c>
      <c r="G1038">
        <v>4</v>
      </c>
      <c r="H1038">
        <v>7.3112000000000004</v>
      </c>
      <c r="I1038" t="s">
        <v>46</v>
      </c>
      <c r="J1038">
        <v>8500000</v>
      </c>
      <c r="K1038">
        <v>62145199.999999993</v>
      </c>
      <c r="L1038" t="s">
        <v>8</v>
      </c>
      <c r="M1038" t="s">
        <v>7</v>
      </c>
      <c r="N1038" t="b">
        <v>0</v>
      </c>
    </row>
    <row r="1039" spans="1:14" x14ac:dyDescent="0.3">
      <c r="A1039" t="s">
        <v>27</v>
      </c>
      <c r="B1039" t="s">
        <v>8</v>
      </c>
      <c r="C1039">
        <v>4</v>
      </c>
      <c r="E1039" t="s">
        <v>49</v>
      </c>
      <c r="F1039">
        <v>120</v>
      </c>
      <c r="G1039">
        <v>4</v>
      </c>
      <c r="H1039">
        <v>0.48</v>
      </c>
      <c r="I1039" t="s">
        <v>46</v>
      </c>
      <c r="J1039">
        <v>8500000</v>
      </c>
      <c r="K1039">
        <v>4080000</v>
      </c>
      <c r="L1039" t="s">
        <v>8</v>
      </c>
      <c r="M1039" t="s">
        <v>7</v>
      </c>
      <c r="N1039" t="b">
        <v>0</v>
      </c>
    </row>
    <row r="1040" spans="1:14" x14ac:dyDescent="0.3">
      <c r="A1040" t="s">
        <v>27</v>
      </c>
      <c r="B1040" t="s">
        <v>8</v>
      </c>
      <c r="C1040">
        <v>5</v>
      </c>
      <c r="E1040" t="s">
        <v>50</v>
      </c>
      <c r="F1040">
        <v>180</v>
      </c>
      <c r="G1040">
        <v>4</v>
      </c>
      <c r="H1040">
        <v>2.4552719999999999</v>
      </c>
      <c r="I1040" t="s">
        <v>46</v>
      </c>
      <c r="J1040">
        <v>8500000</v>
      </c>
      <c r="K1040">
        <v>20869812</v>
      </c>
      <c r="L1040" t="s">
        <v>8</v>
      </c>
      <c r="M1040" t="s">
        <v>7</v>
      </c>
      <c r="N1040" t="b">
        <v>0</v>
      </c>
    </row>
    <row r="1041" spans="1:14" x14ac:dyDescent="0.3">
      <c r="A1041" t="s">
        <v>27</v>
      </c>
      <c r="B1041" t="s">
        <v>8</v>
      </c>
      <c r="C1041">
        <v>6</v>
      </c>
      <c r="E1041" t="s">
        <v>51</v>
      </c>
      <c r="F1041">
        <v>0.96299999999999997</v>
      </c>
      <c r="G1041">
        <v>8</v>
      </c>
      <c r="H1041">
        <v>17.472672000000003</v>
      </c>
      <c r="I1041" t="s">
        <v>46</v>
      </c>
      <c r="J1041">
        <v>8500000</v>
      </c>
      <c r="K1041">
        <v>148517712.00000003</v>
      </c>
      <c r="L1041" t="s">
        <v>8</v>
      </c>
      <c r="M1041" t="s">
        <v>7</v>
      </c>
      <c r="N1041" t="b">
        <v>0</v>
      </c>
    </row>
    <row r="1042" spans="1:14" x14ac:dyDescent="0.3">
      <c r="A1042" t="s">
        <v>27</v>
      </c>
      <c r="B1042" t="s">
        <v>8</v>
      </c>
      <c r="C1042">
        <v>7</v>
      </c>
      <c r="D1042" t="s">
        <v>52</v>
      </c>
      <c r="E1042" t="s">
        <v>53</v>
      </c>
      <c r="F1042">
        <v>0.13</v>
      </c>
      <c r="G1042">
        <v>2.403648</v>
      </c>
      <c r="H1042">
        <v>2.403648</v>
      </c>
      <c r="I1042" t="s">
        <v>54</v>
      </c>
      <c r="J1042">
        <v>4275000</v>
      </c>
      <c r="K1042">
        <v>10275595.199999999</v>
      </c>
      <c r="L1042" t="s">
        <v>8</v>
      </c>
      <c r="M1042" t="s">
        <v>7</v>
      </c>
      <c r="N1042" t="b">
        <v>0</v>
      </c>
    </row>
    <row r="1043" spans="1:14" x14ac:dyDescent="0.3">
      <c r="A1043" t="s">
        <v>27</v>
      </c>
      <c r="B1043" t="s">
        <v>8</v>
      </c>
      <c r="C1043">
        <v>8</v>
      </c>
      <c r="E1043" t="s">
        <v>55</v>
      </c>
      <c r="F1043">
        <v>0.35</v>
      </c>
      <c r="G1043">
        <v>0</v>
      </c>
      <c r="H1043">
        <v>0</v>
      </c>
      <c r="I1043" t="s">
        <v>46</v>
      </c>
      <c r="J1043">
        <v>35750000</v>
      </c>
      <c r="K1043">
        <v>0</v>
      </c>
      <c r="L1043" t="s">
        <v>8</v>
      </c>
      <c r="M1043" t="s">
        <v>7</v>
      </c>
      <c r="N1043" t="b">
        <v>0</v>
      </c>
    </row>
    <row r="1044" spans="1:14" x14ac:dyDescent="0.3">
      <c r="A1044" t="s">
        <v>27</v>
      </c>
      <c r="B1044" t="s">
        <v>8</v>
      </c>
      <c r="C1044">
        <v>9</v>
      </c>
      <c r="E1044" t="s">
        <v>55</v>
      </c>
      <c r="F1044">
        <v>0.2</v>
      </c>
      <c r="G1044">
        <v>1.201824</v>
      </c>
      <c r="H1044">
        <v>1.201824</v>
      </c>
      <c r="I1044" t="s">
        <v>46</v>
      </c>
      <c r="J1044">
        <v>45760000</v>
      </c>
      <c r="K1044">
        <v>54995466.240000002</v>
      </c>
      <c r="L1044" t="s">
        <v>8</v>
      </c>
      <c r="M1044" t="s">
        <v>7</v>
      </c>
      <c r="N1044" t="b">
        <v>0</v>
      </c>
    </row>
    <row r="1045" spans="1:14" x14ac:dyDescent="0.3">
      <c r="A1045" t="s">
        <v>27</v>
      </c>
      <c r="B1045" t="s">
        <v>8</v>
      </c>
      <c r="C1045">
        <v>10</v>
      </c>
      <c r="D1045" t="s">
        <v>56</v>
      </c>
      <c r="E1045" t="s">
        <v>57</v>
      </c>
      <c r="G1045">
        <v>10.536799999999999</v>
      </c>
      <c r="H1045">
        <v>10.536799999999999</v>
      </c>
      <c r="I1045" t="s">
        <v>61</v>
      </c>
      <c r="J1045">
        <v>1430000</v>
      </c>
      <c r="K1045">
        <v>15067624</v>
      </c>
      <c r="L1045" t="s">
        <v>8</v>
      </c>
      <c r="M1045" t="s">
        <v>7</v>
      </c>
      <c r="N1045" t="b">
        <v>0</v>
      </c>
    </row>
    <row r="1046" spans="1:14" x14ac:dyDescent="0.3">
      <c r="A1046" t="s">
        <v>27</v>
      </c>
      <c r="B1046" t="s">
        <v>8</v>
      </c>
      <c r="C1046">
        <v>11</v>
      </c>
      <c r="D1046" t="s">
        <v>58</v>
      </c>
      <c r="E1046" t="s">
        <v>59</v>
      </c>
      <c r="G1046">
        <v>16</v>
      </c>
      <c r="H1046">
        <v>16</v>
      </c>
      <c r="I1046" t="s">
        <v>46</v>
      </c>
      <c r="J1046">
        <v>3000000</v>
      </c>
      <c r="K1046">
        <v>48000000</v>
      </c>
      <c r="L1046" t="s">
        <v>8</v>
      </c>
      <c r="M1046" t="s">
        <v>7</v>
      </c>
      <c r="N1046" t="b">
        <v>0</v>
      </c>
    </row>
    <row r="1047" spans="1:14" x14ac:dyDescent="0.3">
      <c r="A1047" t="s">
        <v>27</v>
      </c>
      <c r="B1047" t="s">
        <v>8</v>
      </c>
      <c r="C1047">
        <v>12</v>
      </c>
      <c r="E1047" t="s">
        <v>60</v>
      </c>
      <c r="G1047">
        <v>17.472672000000003</v>
      </c>
      <c r="H1047">
        <v>17.472672000000003</v>
      </c>
      <c r="I1047" t="s">
        <v>61</v>
      </c>
      <c r="J1047">
        <v>3600000</v>
      </c>
      <c r="K1047">
        <v>62901619.20000001</v>
      </c>
      <c r="L1047" t="s">
        <v>8</v>
      </c>
      <c r="M1047" t="s">
        <v>7</v>
      </c>
      <c r="N1047" t="b">
        <v>0</v>
      </c>
    </row>
    <row r="1048" spans="1:14" x14ac:dyDescent="0.3">
      <c r="A1048" t="s">
        <v>27</v>
      </c>
      <c r="B1048" t="s">
        <v>8</v>
      </c>
      <c r="C1048">
        <v>13</v>
      </c>
      <c r="D1048" t="s">
        <v>62</v>
      </c>
      <c r="E1048" t="s">
        <v>63</v>
      </c>
      <c r="G1048">
        <v>7.7039999999999997</v>
      </c>
      <c r="H1048">
        <v>7.7039999999999997</v>
      </c>
      <c r="I1048" t="s">
        <v>61</v>
      </c>
      <c r="J1048">
        <v>3600000</v>
      </c>
      <c r="K1048">
        <v>27734400</v>
      </c>
      <c r="L1048" t="s">
        <v>8</v>
      </c>
      <c r="M1048" t="s">
        <v>7</v>
      </c>
      <c r="N1048" t="b">
        <v>0</v>
      </c>
    </row>
    <row r="1049" spans="1:14" x14ac:dyDescent="0.3">
      <c r="A1049" t="s">
        <v>27</v>
      </c>
      <c r="B1049" t="s">
        <v>8</v>
      </c>
      <c r="C1049">
        <v>14</v>
      </c>
      <c r="E1049" t="s">
        <v>64</v>
      </c>
      <c r="G1049">
        <v>0.4</v>
      </c>
      <c r="H1049">
        <v>0.4</v>
      </c>
      <c r="I1049" t="s">
        <v>61</v>
      </c>
      <c r="J1049">
        <v>5500000</v>
      </c>
      <c r="K1049">
        <v>2200000</v>
      </c>
      <c r="L1049" t="s">
        <v>8</v>
      </c>
      <c r="M1049" t="s">
        <v>7</v>
      </c>
      <c r="N1049" t="b">
        <v>0</v>
      </c>
    </row>
    <row r="1050" spans="1:14" x14ac:dyDescent="0.3">
      <c r="A1050" t="s">
        <v>27</v>
      </c>
      <c r="B1050" t="s">
        <v>8</v>
      </c>
      <c r="C1050">
        <v>15</v>
      </c>
      <c r="D1050" t="s">
        <v>65</v>
      </c>
      <c r="E1050" t="s">
        <v>66</v>
      </c>
      <c r="G1050">
        <v>20</v>
      </c>
      <c r="H1050">
        <v>20</v>
      </c>
      <c r="I1050" t="s">
        <v>61</v>
      </c>
      <c r="J1050">
        <v>200000</v>
      </c>
      <c r="K1050">
        <v>4000000</v>
      </c>
      <c r="L1050" t="s">
        <v>8</v>
      </c>
      <c r="M1050" t="s">
        <v>7</v>
      </c>
      <c r="N1050" t="b">
        <v>0</v>
      </c>
    </row>
    <row r="1051" spans="1:14" x14ac:dyDescent="0.3">
      <c r="A1051" t="s">
        <v>27</v>
      </c>
      <c r="B1051" t="s">
        <v>8</v>
      </c>
      <c r="C1051">
        <v>16</v>
      </c>
      <c r="E1051" t="s">
        <v>68</v>
      </c>
      <c r="G1051">
        <v>8</v>
      </c>
      <c r="H1051">
        <v>8</v>
      </c>
      <c r="I1051" t="s">
        <v>61</v>
      </c>
      <c r="J1051">
        <v>200000</v>
      </c>
      <c r="K1051">
        <v>1600000</v>
      </c>
      <c r="L1051" t="s">
        <v>8</v>
      </c>
      <c r="M1051" t="s">
        <v>7</v>
      </c>
      <c r="N1051" t="b">
        <v>0</v>
      </c>
    </row>
    <row r="1052" spans="1:14" x14ac:dyDescent="0.3">
      <c r="A1052" t="s">
        <v>27</v>
      </c>
      <c r="B1052" t="s">
        <v>8</v>
      </c>
      <c r="C1052">
        <v>17</v>
      </c>
      <c r="E1052" t="s">
        <v>69</v>
      </c>
      <c r="G1052">
        <v>28</v>
      </c>
      <c r="H1052">
        <v>28</v>
      </c>
      <c r="I1052" t="s">
        <v>61</v>
      </c>
      <c r="J1052">
        <v>200000</v>
      </c>
      <c r="K1052">
        <v>5600000</v>
      </c>
      <c r="L1052" t="s">
        <v>8</v>
      </c>
      <c r="M1052" t="s">
        <v>7</v>
      </c>
      <c r="N1052" t="b">
        <v>0</v>
      </c>
    </row>
    <row r="1053" spans="1:14" x14ac:dyDescent="0.3">
      <c r="A1053" t="s">
        <v>27</v>
      </c>
      <c r="B1053" t="s">
        <v>8</v>
      </c>
      <c r="C1053">
        <v>18</v>
      </c>
      <c r="E1053" t="s">
        <v>70</v>
      </c>
      <c r="G1053">
        <v>16</v>
      </c>
      <c r="H1053">
        <v>16</v>
      </c>
      <c r="I1053" t="s">
        <v>61</v>
      </c>
      <c r="J1053">
        <v>400000</v>
      </c>
      <c r="K1053">
        <v>6400000</v>
      </c>
      <c r="L1053" t="s">
        <v>8</v>
      </c>
      <c r="M1053" t="s">
        <v>7</v>
      </c>
      <c r="N1053" t="b">
        <v>0</v>
      </c>
    </row>
    <row r="1054" spans="1:14" x14ac:dyDescent="0.3">
      <c r="A1054" t="s">
        <v>27</v>
      </c>
      <c r="B1054" t="s">
        <v>8</v>
      </c>
      <c r="C1054">
        <v>19</v>
      </c>
      <c r="E1054" t="s">
        <v>71</v>
      </c>
      <c r="G1054">
        <v>16</v>
      </c>
      <c r="H1054">
        <v>16</v>
      </c>
      <c r="I1054" t="s">
        <v>61</v>
      </c>
      <c r="J1054">
        <v>120000</v>
      </c>
      <c r="K1054">
        <v>1920000</v>
      </c>
      <c r="L1054" t="s">
        <v>8</v>
      </c>
      <c r="M1054" t="s">
        <v>7</v>
      </c>
      <c r="N1054" t="b">
        <v>0</v>
      </c>
    </row>
    <row r="1055" spans="1:14" x14ac:dyDescent="0.3">
      <c r="A1055" t="s">
        <v>27</v>
      </c>
      <c r="B1055" t="s">
        <v>8</v>
      </c>
      <c r="C1055">
        <v>20</v>
      </c>
      <c r="E1055" t="s">
        <v>72</v>
      </c>
      <c r="G1055">
        <v>24</v>
      </c>
      <c r="H1055">
        <v>24</v>
      </c>
      <c r="I1055" t="s">
        <v>61</v>
      </c>
      <c r="J1055">
        <v>400000</v>
      </c>
      <c r="K1055">
        <v>9600000</v>
      </c>
      <c r="L1055" t="s">
        <v>8</v>
      </c>
      <c r="M1055" t="s">
        <v>7</v>
      </c>
      <c r="N1055" t="b">
        <v>0</v>
      </c>
    </row>
    <row r="1056" spans="1:14" x14ac:dyDescent="0.3">
      <c r="A1056" t="s">
        <v>27</v>
      </c>
      <c r="B1056" t="s">
        <v>8</v>
      </c>
      <c r="C1056">
        <v>21</v>
      </c>
      <c r="D1056" t="s">
        <v>73</v>
      </c>
      <c r="E1056" t="s">
        <v>74</v>
      </c>
      <c r="F1056">
        <v>132</v>
      </c>
      <c r="G1056">
        <v>16</v>
      </c>
      <c r="H1056">
        <v>7.9478783999999996</v>
      </c>
      <c r="I1056" t="s">
        <v>46</v>
      </c>
      <c r="J1056">
        <v>35000000</v>
      </c>
      <c r="K1056">
        <v>278175744</v>
      </c>
      <c r="L1056" t="s">
        <v>8</v>
      </c>
      <c r="M1056" t="s">
        <v>7</v>
      </c>
      <c r="N1056" t="b">
        <v>0</v>
      </c>
    </row>
    <row r="1057" spans="1:14" x14ac:dyDescent="0.3">
      <c r="A1057" t="s">
        <v>27</v>
      </c>
      <c r="B1057" t="s">
        <v>8</v>
      </c>
      <c r="C1057">
        <v>22</v>
      </c>
      <c r="D1057" t="s">
        <v>75</v>
      </c>
      <c r="E1057" t="s">
        <v>76</v>
      </c>
      <c r="F1057" t="s">
        <v>77</v>
      </c>
      <c r="G1057">
        <v>2</v>
      </c>
      <c r="H1057">
        <v>2.6</v>
      </c>
      <c r="I1057" t="s">
        <v>46</v>
      </c>
      <c r="J1057">
        <v>5200000</v>
      </c>
      <c r="K1057">
        <v>13520000</v>
      </c>
      <c r="L1057" t="s">
        <v>8</v>
      </c>
      <c r="M1057" t="s">
        <v>7</v>
      </c>
      <c r="N1057" t="b">
        <v>0</v>
      </c>
    </row>
    <row r="1058" spans="1:14" x14ac:dyDescent="0.3">
      <c r="A1058" t="s">
        <v>27</v>
      </c>
      <c r="B1058" t="s">
        <v>8</v>
      </c>
      <c r="C1058">
        <v>23</v>
      </c>
      <c r="E1058" t="s">
        <v>78</v>
      </c>
      <c r="F1058" t="s">
        <v>79</v>
      </c>
      <c r="G1058">
        <v>2</v>
      </c>
      <c r="H1058">
        <v>1.2</v>
      </c>
      <c r="I1058" t="s">
        <v>46</v>
      </c>
      <c r="J1058">
        <v>5200000</v>
      </c>
      <c r="K1058">
        <v>6240000</v>
      </c>
      <c r="L1058" t="s">
        <v>8</v>
      </c>
      <c r="M1058" t="s">
        <v>7</v>
      </c>
      <c r="N1058" t="b">
        <v>0</v>
      </c>
    </row>
    <row r="1059" spans="1:14" x14ac:dyDescent="0.3">
      <c r="A1059" t="s">
        <v>27</v>
      </c>
      <c r="B1059" t="s">
        <v>8</v>
      </c>
      <c r="C1059">
        <v>24</v>
      </c>
      <c r="D1059" t="s">
        <v>80</v>
      </c>
      <c r="E1059" t="s">
        <v>81</v>
      </c>
      <c r="F1059" t="s">
        <v>82</v>
      </c>
      <c r="G1059">
        <v>2</v>
      </c>
      <c r="H1059">
        <v>1.487393</v>
      </c>
      <c r="I1059" t="s">
        <v>46</v>
      </c>
      <c r="J1059">
        <v>8500000</v>
      </c>
      <c r="K1059">
        <v>12642840.5</v>
      </c>
      <c r="L1059" t="s">
        <v>8</v>
      </c>
      <c r="M1059" t="s">
        <v>7</v>
      </c>
      <c r="N1059" t="b">
        <v>0</v>
      </c>
    </row>
    <row r="1060" spans="1:14" x14ac:dyDescent="0.3">
      <c r="A1060" t="s">
        <v>27</v>
      </c>
      <c r="B1060" t="s">
        <v>8</v>
      </c>
      <c r="C1060">
        <v>25</v>
      </c>
      <c r="D1060" t="s">
        <v>83</v>
      </c>
      <c r="E1060" t="s">
        <v>84</v>
      </c>
      <c r="F1060">
        <v>0.18</v>
      </c>
      <c r="G1060">
        <v>4</v>
      </c>
      <c r="H1060">
        <v>4</v>
      </c>
      <c r="I1060" t="s">
        <v>61</v>
      </c>
      <c r="J1060">
        <v>910000</v>
      </c>
      <c r="K1060">
        <v>3640000</v>
      </c>
      <c r="L1060" t="s">
        <v>8</v>
      </c>
      <c r="M1060" t="s">
        <v>7</v>
      </c>
      <c r="N1060" t="b">
        <v>0</v>
      </c>
    </row>
    <row r="1061" spans="1:14" x14ac:dyDescent="0.3">
      <c r="A1061" t="s">
        <v>27</v>
      </c>
      <c r="B1061" t="s">
        <v>8</v>
      </c>
      <c r="C1061">
        <v>26</v>
      </c>
      <c r="E1061" t="s">
        <v>86</v>
      </c>
      <c r="F1061">
        <v>0.2</v>
      </c>
      <c r="G1061">
        <v>6</v>
      </c>
      <c r="H1061">
        <v>6</v>
      </c>
      <c r="I1061" t="s">
        <v>61</v>
      </c>
      <c r="J1061">
        <v>910000</v>
      </c>
      <c r="K1061">
        <v>5460000</v>
      </c>
      <c r="L1061" t="s">
        <v>8</v>
      </c>
      <c r="M1061" t="s">
        <v>7</v>
      </c>
      <c r="N1061" t="b">
        <v>0</v>
      </c>
    </row>
    <row r="1062" spans="1:14" x14ac:dyDescent="0.3">
      <c r="A1062" t="s">
        <v>27</v>
      </c>
      <c r="B1062" t="s">
        <v>8</v>
      </c>
      <c r="C1062">
        <v>27</v>
      </c>
      <c r="D1062" t="s">
        <v>88</v>
      </c>
      <c r="E1062" t="s">
        <v>89</v>
      </c>
      <c r="F1062" t="s">
        <v>90</v>
      </c>
      <c r="G1062">
        <v>2</v>
      </c>
      <c r="H1062">
        <v>2</v>
      </c>
      <c r="I1062" t="s">
        <v>61</v>
      </c>
      <c r="J1062">
        <v>100000</v>
      </c>
      <c r="K1062">
        <v>200000</v>
      </c>
      <c r="L1062" t="s">
        <v>8</v>
      </c>
      <c r="M1062" t="s">
        <v>7</v>
      </c>
      <c r="N1062" t="b">
        <v>0</v>
      </c>
    </row>
    <row r="1063" spans="1:14" x14ac:dyDescent="0.3">
      <c r="A1063" t="s">
        <v>27</v>
      </c>
      <c r="B1063" t="s">
        <v>8</v>
      </c>
      <c r="C1063">
        <v>28</v>
      </c>
      <c r="D1063" t="s">
        <v>65</v>
      </c>
      <c r="E1063" t="s">
        <v>91</v>
      </c>
      <c r="G1063">
        <v>4</v>
      </c>
      <c r="H1063">
        <v>4</v>
      </c>
      <c r="I1063" t="s">
        <v>61</v>
      </c>
      <c r="J1063">
        <v>2400000</v>
      </c>
      <c r="K1063">
        <v>9600000</v>
      </c>
      <c r="L1063" t="s">
        <v>8</v>
      </c>
      <c r="M1063" t="s">
        <v>7</v>
      </c>
      <c r="N1063" t="b">
        <v>0</v>
      </c>
    </row>
    <row r="1064" spans="1:14" x14ac:dyDescent="0.3">
      <c r="A1064" t="s">
        <v>27</v>
      </c>
      <c r="B1064" t="s">
        <v>8</v>
      </c>
      <c r="C1064">
        <v>29</v>
      </c>
      <c r="E1064" t="s">
        <v>92</v>
      </c>
      <c r="G1064">
        <v>4</v>
      </c>
      <c r="H1064">
        <v>4</v>
      </c>
      <c r="I1064" t="s">
        <v>61</v>
      </c>
      <c r="J1064">
        <v>2400000</v>
      </c>
      <c r="K1064">
        <v>9600000</v>
      </c>
      <c r="L1064" t="s">
        <v>8</v>
      </c>
      <c r="M1064" t="s">
        <v>7</v>
      </c>
      <c r="N1064" t="b">
        <v>0</v>
      </c>
    </row>
    <row r="1065" spans="1:14" x14ac:dyDescent="0.3">
      <c r="A1065" t="s">
        <v>27</v>
      </c>
      <c r="B1065" t="s">
        <v>8</v>
      </c>
      <c r="C1065">
        <v>30</v>
      </c>
      <c r="E1065" t="s">
        <v>93</v>
      </c>
      <c r="G1065">
        <v>4</v>
      </c>
      <c r="H1065">
        <v>4</v>
      </c>
      <c r="I1065" t="s">
        <v>61</v>
      </c>
      <c r="J1065">
        <v>3000000</v>
      </c>
      <c r="K1065">
        <v>12000000</v>
      </c>
      <c r="L1065" t="s">
        <v>8</v>
      </c>
      <c r="M1065" t="s">
        <v>7</v>
      </c>
      <c r="N1065" t="b">
        <v>0</v>
      </c>
    </row>
    <row r="1066" spans="1:14" x14ac:dyDescent="0.3">
      <c r="A1066" t="s">
        <v>27</v>
      </c>
      <c r="B1066" t="s">
        <v>8</v>
      </c>
      <c r="C1066">
        <v>31</v>
      </c>
      <c r="D1066" t="s">
        <v>104</v>
      </c>
      <c r="E1066" t="s">
        <v>105</v>
      </c>
      <c r="G1066">
        <v>1</v>
      </c>
      <c r="H1066">
        <v>4</v>
      </c>
      <c r="I1066" t="s">
        <v>61</v>
      </c>
      <c r="J1066">
        <v>30000000</v>
      </c>
      <c r="K1066">
        <v>120000000</v>
      </c>
      <c r="L1066" t="s">
        <v>8</v>
      </c>
      <c r="M1066" t="s">
        <v>7</v>
      </c>
      <c r="N1066" t="b">
        <v>0</v>
      </c>
    </row>
    <row r="1067" spans="1:14" x14ac:dyDescent="0.3">
      <c r="A1067" t="s">
        <v>27</v>
      </c>
      <c r="B1067" t="s">
        <v>8</v>
      </c>
      <c r="C1067">
        <v>32</v>
      </c>
      <c r="E1067" t="s">
        <v>106</v>
      </c>
      <c r="G1067">
        <v>1</v>
      </c>
      <c r="H1067">
        <v>8</v>
      </c>
      <c r="J1067">
        <v>18000000</v>
      </c>
      <c r="K1067">
        <v>144000000</v>
      </c>
      <c r="L1067" t="s">
        <v>8</v>
      </c>
      <c r="M1067" t="s">
        <v>7</v>
      </c>
      <c r="N1067" t="b">
        <v>0</v>
      </c>
    </row>
    <row r="1068" spans="1:14" x14ac:dyDescent="0.3">
      <c r="A1068" t="s">
        <v>27</v>
      </c>
      <c r="B1068" t="s">
        <v>8</v>
      </c>
      <c r="C1068">
        <v>33</v>
      </c>
      <c r="D1068" t="s">
        <v>94</v>
      </c>
      <c r="E1068" t="s">
        <v>95</v>
      </c>
      <c r="G1068">
        <v>2</v>
      </c>
      <c r="H1068">
        <v>2</v>
      </c>
      <c r="I1068" t="s">
        <v>61</v>
      </c>
      <c r="J1068">
        <v>1300000</v>
      </c>
      <c r="K1068">
        <v>2600000</v>
      </c>
      <c r="L1068" t="s">
        <v>8</v>
      </c>
      <c r="M1068" t="s">
        <v>7</v>
      </c>
      <c r="N1068" t="b">
        <v>0</v>
      </c>
    </row>
    <row r="1069" spans="1:14" x14ac:dyDescent="0.3">
      <c r="A1069" t="s">
        <v>27</v>
      </c>
      <c r="B1069" t="s">
        <v>8</v>
      </c>
      <c r="C1069">
        <v>34</v>
      </c>
      <c r="D1069" t="s">
        <v>94</v>
      </c>
      <c r="E1069" t="s">
        <v>96</v>
      </c>
      <c r="G1069">
        <v>8</v>
      </c>
      <c r="H1069">
        <v>5.6239999999999997</v>
      </c>
      <c r="I1069" t="s">
        <v>97</v>
      </c>
      <c r="J1069">
        <v>460000</v>
      </c>
      <c r="K1069">
        <v>2587040</v>
      </c>
      <c r="L1069" t="s">
        <v>8</v>
      </c>
      <c r="M1069" t="s">
        <v>7</v>
      </c>
      <c r="N1069" t="b">
        <v>0</v>
      </c>
    </row>
    <row r="1070" spans="1:14" x14ac:dyDescent="0.3">
      <c r="A1070" t="s">
        <v>27</v>
      </c>
      <c r="B1070" t="s">
        <v>8</v>
      </c>
      <c r="C1070">
        <v>35</v>
      </c>
      <c r="D1070" t="s">
        <v>98</v>
      </c>
      <c r="E1070" t="s">
        <v>99</v>
      </c>
      <c r="F1070">
        <v>50</v>
      </c>
      <c r="G1070">
        <v>16</v>
      </c>
      <c r="H1070">
        <v>1.6</v>
      </c>
      <c r="I1070" t="s">
        <v>100</v>
      </c>
      <c r="J1070">
        <v>9739400</v>
      </c>
      <c r="K1070">
        <v>15583040</v>
      </c>
      <c r="L1070" t="s">
        <v>8</v>
      </c>
      <c r="M1070" t="s">
        <v>7</v>
      </c>
      <c r="N1070" t="b">
        <v>0</v>
      </c>
    </row>
    <row r="1071" spans="1:14" x14ac:dyDescent="0.3">
      <c r="A1071" t="s">
        <v>27</v>
      </c>
      <c r="B1071" t="s">
        <v>8</v>
      </c>
      <c r="C1071">
        <v>28</v>
      </c>
      <c r="E1071" t="s">
        <v>101</v>
      </c>
      <c r="H1071">
        <v>12</v>
      </c>
      <c r="I1071" t="s">
        <v>102</v>
      </c>
      <c r="J1071">
        <v>13000000</v>
      </c>
      <c r="K1071">
        <v>156000000</v>
      </c>
      <c r="L1071" t="s">
        <v>8</v>
      </c>
      <c r="M1071" t="s">
        <v>7</v>
      </c>
      <c r="N1071" t="b">
        <v>0</v>
      </c>
    </row>
    <row r="1072" spans="1:14" x14ac:dyDescent="0.3">
      <c r="A1072" t="s">
        <v>27</v>
      </c>
      <c r="B1072" t="s">
        <v>8</v>
      </c>
      <c r="C1072">
        <v>29</v>
      </c>
      <c r="E1072" t="s">
        <v>107</v>
      </c>
      <c r="H1072">
        <v>0</v>
      </c>
      <c r="I1072" t="s">
        <v>108</v>
      </c>
      <c r="K1072">
        <v>0</v>
      </c>
      <c r="L1072" t="s">
        <v>8</v>
      </c>
      <c r="M1072" t="s">
        <v>7</v>
      </c>
      <c r="N1072" t="b">
        <v>0</v>
      </c>
    </row>
    <row r="1073" spans="1:14" x14ac:dyDescent="0.3">
      <c r="A1073" t="s">
        <v>27</v>
      </c>
      <c r="B1073" t="s">
        <v>9</v>
      </c>
      <c r="C1073">
        <v>1</v>
      </c>
      <c r="D1073" t="s">
        <v>44</v>
      </c>
      <c r="E1073" t="s">
        <v>45</v>
      </c>
      <c r="F1073">
        <v>0.33500000000000002</v>
      </c>
      <c r="G1073">
        <v>2</v>
      </c>
      <c r="H1073">
        <v>0.93799999999999994</v>
      </c>
      <c r="I1073" t="s">
        <v>46</v>
      </c>
      <c r="J1073">
        <v>8500000</v>
      </c>
      <c r="K1073">
        <v>7972999.9999999981</v>
      </c>
      <c r="L1073" t="s">
        <v>9</v>
      </c>
      <c r="M1073" t="s">
        <v>7</v>
      </c>
      <c r="N1073" t="b">
        <v>0</v>
      </c>
    </row>
    <row r="1074" spans="1:14" x14ac:dyDescent="0.3">
      <c r="A1074" t="s">
        <v>27</v>
      </c>
      <c r="B1074" t="s">
        <v>9</v>
      </c>
      <c r="C1074">
        <v>2</v>
      </c>
      <c r="E1074" t="s">
        <v>47</v>
      </c>
      <c r="F1074">
        <v>0.33500000000000002</v>
      </c>
      <c r="G1074">
        <v>1</v>
      </c>
      <c r="H1074">
        <v>0.46899999999999997</v>
      </c>
      <c r="I1074" t="s">
        <v>46</v>
      </c>
      <c r="J1074">
        <v>8500000</v>
      </c>
      <c r="K1074">
        <v>3986499.9999999991</v>
      </c>
      <c r="L1074" t="s">
        <v>9</v>
      </c>
      <c r="M1074" t="s">
        <v>7</v>
      </c>
      <c r="N1074" t="b">
        <v>0</v>
      </c>
    </row>
    <row r="1075" spans="1:14" x14ac:dyDescent="0.3">
      <c r="A1075" t="s">
        <v>27</v>
      </c>
      <c r="B1075" t="s">
        <v>9</v>
      </c>
      <c r="C1075">
        <v>3</v>
      </c>
      <c r="E1075" t="s">
        <v>172</v>
      </c>
      <c r="F1075">
        <v>0.33500000000000002</v>
      </c>
      <c r="G1075">
        <v>4</v>
      </c>
      <c r="H1075">
        <v>3.4840000000000004</v>
      </c>
      <c r="I1075" t="s">
        <v>46</v>
      </c>
      <c r="J1075">
        <v>8500000</v>
      </c>
      <c r="K1075">
        <v>29614000.000000004</v>
      </c>
      <c r="L1075" t="s">
        <v>9</v>
      </c>
      <c r="M1075" t="s">
        <v>7</v>
      </c>
      <c r="N1075" t="b">
        <v>0</v>
      </c>
    </row>
    <row r="1076" spans="1:14" x14ac:dyDescent="0.3">
      <c r="A1076" t="s">
        <v>27</v>
      </c>
      <c r="B1076" t="s">
        <v>9</v>
      </c>
      <c r="C1076">
        <v>4</v>
      </c>
      <c r="E1076" t="s">
        <v>49</v>
      </c>
      <c r="F1076">
        <v>120</v>
      </c>
      <c r="G1076">
        <v>4</v>
      </c>
      <c r="H1076">
        <v>0.48</v>
      </c>
      <c r="I1076" t="s">
        <v>46</v>
      </c>
      <c r="J1076">
        <v>8500000</v>
      </c>
      <c r="K1076">
        <v>4080000</v>
      </c>
      <c r="L1076" t="s">
        <v>9</v>
      </c>
      <c r="M1076" t="s">
        <v>7</v>
      </c>
      <c r="N1076" t="b">
        <v>0</v>
      </c>
    </row>
    <row r="1077" spans="1:14" x14ac:dyDescent="0.3">
      <c r="A1077" t="s">
        <v>27</v>
      </c>
      <c r="B1077" t="s">
        <v>9</v>
      </c>
      <c r="C1077">
        <v>5</v>
      </c>
      <c r="E1077" t="s">
        <v>50</v>
      </c>
      <c r="F1077">
        <v>180</v>
      </c>
      <c r="G1077">
        <v>4</v>
      </c>
      <c r="H1077">
        <v>2.4552719999999999</v>
      </c>
      <c r="I1077" t="s">
        <v>46</v>
      </c>
      <c r="J1077">
        <v>8500000</v>
      </c>
      <c r="K1077">
        <v>20869812</v>
      </c>
      <c r="L1077" t="s">
        <v>9</v>
      </c>
      <c r="M1077" t="s">
        <v>7</v>
      </c>
      <c r="N1077" t="b">
        <v>0</v>
      </c>
    </row>
    <row r="1078" spans="1:14" x14ac:dyDescent="0.3">
      <c r="A1078" t="s">
        <v>27</v>
      </c>
      <c r="B1078" t="s">
        <v>9</v>
      </c>
      <c r="C1078">
        <v>6</v>
      </c>
      <c r="E1078" t="s">
        <v>51</v>
      </c>
      <c r="F1078">
        <v>0.55800000000000005</v>
      </c>
      <c r="G1078">
        <v>8</v>
      </c>
      <c r="H1078">
        <v>10.124352</v>
      </c>
      <c r="I1078" t="s">
        <v>46</v>
      </c>
      <c r="J1078">
        <v>8500000</v>
      </c>
      <c r="K1078">
        <v>86056992</v>
      </c>
      <c r="L1078" t="s">
        <v>9</v>
      </c>
      <c r="M1078" t="s">
        <v>7</v>
      </c>
      <c r="N1078" t="b">
        <v>0</v>
      </c>
    </row>
    <row r="1079" spans="1:14" x14ac:dyDescent="0.3">
      <c r="A1079" t="s">
        <v>27</v>
      </c>
      <c r="B1079" t="s">
        <v>9</v>
      </c>
      <c r="C1079">
        <v>7</v>
      </c>
      <c r="D1079" t="s">
        <v>52</v>
      </c>
      <c r="E1079" t="s">
        <v>53</v>
      </c>
      <c r="F1079">
        <v>0.13</v>
      </c>
      <c r="G1079">
        <v>1.392768</v>
      </c>
      <c r="H1079">
        <v>1.392768</v>
      </c>
      <c r="I1079" t="s">
        <v>54</v>
      </c>
      <c r="J1079">
        <v>4275000</v>
      </c>
      <c r="K1079">
        <v>5954083.2000000002</v>
      </c>
      <c r="L1079" t="s">
        <v>9</v>
      </c>
      <c r="M1079" t="s">
        <v>7</v>
      </c>
      <c r="N1079" t="b">
        <v>0</v>
      </c>
    </row>
    <row r="1080" spans="1:14" x14ac:dyDescent="0.3">
      <c r="A1080" t="s">
        <v>27</v>
      </c>
      <c r="B1080" t="s">
        <v>9</v>
      </c>
      <c r="C1080">
        <v>8</v>
      </c>
      <c r="E1080" t="s">
        <v>55</v>
      </c>
      <c r="F1080">
        <v>0.35</v>
      </c>
      <c r="G1080">
        <v>0</v>
      </c>
      <c r="H1080">
        <v>0</v>
      </c>
      <c r="I1080" t="s">
        <v>46</v>
      </c>
      <c r="J1080">
        <v>35750000</v>
      </c>
      <c r="K1080">
        <v>0</v>
      </c>
      <c r="L1080" t="s">
        <v>9</v>
      </c>
      <c r="M1080" t="s">
        <v>7</v>
      </c>
      <c r="N1080" t="b">
        <v>0</v>
      </c>
    </row>
    <row r="1081" spans="1:14" x14ac:dyDescent="0.3">
      <c r="A1081" t="s">
        <v>27</v>
      </c>
      <c r="B1081" t="s">
        <v>9</v>
      </c>
      <c r="C1081">
        <v>9</v>
      </c>
      <c r="E1081" t="s">
        <v>55</v>
      </c>
      <c r="F1081">
        <v>0.2</v>
      </c>
      <c r="G1081">
        <v>0.696384</v>
      </c>
      <c r="H1081">
        <v>0.696384</v>
      </c>
      <c r="I1081" t="s">
        <v>46</v>
      </c>
      <c r="J1081">
        <v>45760000</v>
      </c>
      <c r="K1081">
        <v>31866531.84</v>
      </c>
      <c r="L1081" t="s">
        <v>9</v>
      </c>
      <c r="M1081" t="s">
        <v>7</v>
      </c>
      <c r="N1081" t="b">
        <v>0</v>
      </c>
    </row>
    <row r="1082" spans="1:14" x14ac:dyDescent="0.3">
      <c r="A1082" t="s">
        <v>27</v>
      </c>
      <c r="B1082" t="s">
        <v>9</v>
      </c>
      <c r="C1082">
        <v>10</v>
      </c>
      <c r="D1082" t="s">
        <v>56</v>
      </c>
      <c r="E1082" t="s">
        <v>57</v>
      </c>
      <c r="G1082">
        <v>4.8910000000000009</v>
      </c>
      <c r="H1082">
        <v>4.8910000000000009</v>
      </c>
      <c r="I1082" t="s">
        <v>61</v>
      </c>
      <c r="J1082">
        <v>1430000</v>
      </c>
      <c r="K1082">
        <v>6994130.0000000009</v>
      </c>
      <c r="L1082" t="s">
        <v>9</v>
      </c>
      <c r="M1082" t="s">
        <v>7</v>
      </c>
      <c r="N1082" t="b">
        <v>0</v>
      </c>
    </row>
    <row r="1083" spans="1:14" x14ac:dyDescent="0.3">
      <c r="A1083" t="s">
        <v>27</v>
      </c>
      <c r="B1083" t="s">
        <v>9</v>
      </c>
      <c r="C1083">
        <v>11</v>
      </c>
      <c r="D1083" t="s">
        <v>58</v>
      </c>
      <c r="E1083" t="s">
        <v>59</v>
      </c>
      <c r="G1083">
        <v>16</v>
      </c>
      <c r="H1083">
        <v>16</v>
      </c>
      <c r="I1083" t="s">
        <v>46</v>
      </c>
      <c r="J1083">
        <v>3000000</v>
      </c>
      <c r="K1083">
        <v>48000000</v>
      </c>
      <c r="L1083" t="s">
        <v>9</v>
      </c>
      <c r="M1083" t="s">
        <v>7</v>
      </c>
      <c r="N1083" t="b">
        <v>0</v>
      </c>
    </row>
    <row r="1084" spans="1:14" x14ac:dyDescent="0.3">
      <c r="A1084" t="s">
        <v>27</v>
      </c>
      <c r="B1084" t="s">
        <v>9</v>
      </c>
      <c r="C1084">
        <v>12</v>
      </c>
      <c r="E1084" t="s">
        <v>60</v>
      </c>
      <c r="G1084">
        <v>10.124352</v>
      </c>
      <c r="H1084">
        <v>10.124352</v>
      </c>
      <c r="I1084" t="s">
        <v>61</v>
      </c>
      <c r="J1084">
        <v>3600000</v>
      </c>
      <c r="K1084">
        <v>36447667.200000003</v>
      </c>
      <c r="L1084" t="s">
        <v>9</v>
      </c>
      <c r="M1084" t="s">
        <v>7</v>
      </c>
      <c r="N1084" t="b">
        <v>0</v>
      </c>
    </row>
    <row r="1085" spans="1:14" x14ac:dyDescent="0.3">
      <c r="A1085" t="s">
        <v>27</v>
      </c>
      <c r="B1085" t="s">
        <v>9</v>
      </c>
      <c r="C1085">
        <v>13</v>
      </c>
      <c r="D1085" t="s">
        <v>62</v>
      </c>
      <c r="E1085" t="s">
        <v>63</v>
      </c>
      <c r="G1085">
        <v>4.4640000000000004</v>
      </c>
      <c r="H1085">
        <v>4.4640000000000004</v>
      </c>
      <c r="I1085" t="s">
        <v>61</v>
      </c>
      <c r="J1085">
        <v>3600000</v>
      </c>
      <c r="K1085">
        <v>16070400.000000002</v>
      </c>
      <c r="L1085" t="s">
        <v>9</v>
      </c>
      <c r="M1085" t="s">
        <v>7</v>
      </c>
      <c r="N1085" t="b">
        <v>0</v>
      </c>
    </row>
    <row r="1086" spans="1:14" x14ac:dyDescent="0.3">
      <c r="A1086" t="s">
        <v>27</v>
      </c>
      <c r="B1086" t="s">
        <v>9</v>
      </c>
      <c r="C1086">
        <v>14</v>
      </c>
      <c r="E1086" t="s">
        <v>64</v>
      </c>
      <c r="G1086">
        <v>0.4</v>
      </c>
      <c r="H1086">
        <v>0.4</v>
      </c>
      <c r="I1086" t="s">
        <v>61</v>
      </c>
      <c r="J1086">
        <v>5500000</v>
      </c>
      <c r="K1086">
        <v>2200000</v>
      </c>
      <c r="L1086" t="s">
        <v>9</v>
      </c>
      <c r="M1086" t="s">
        <v>7</v>
      </c>
      <c r="N1086" t="b">
        <v>0</v>
      </c>
    </row>
    <row r="1087" spans="1:14" x14ac:dyDescent="0.3">
      <c r="A1087" t="s">
        <v>27</v>
      </c>
      <c r="B1087" t="s">
        <v>9</v>
      </c>
      <c r="C1087">
        <v>15</v>
      </c>
      <c r="D1087" t="s">
        <v>65</v>
      </c>
      <c r="E1087" t="s">
        <v>66</v>
      </c>
      <c r="G1087">
        <v>20</v>
      </c>
      <c r="H1087">
        <v>20</v>
      </c>
      <c r="I1087" t="s">
        <v>61</v>
      </c>
      <c r="J1087">
        <v>200000</v>
      </c>
      <c r="K1087">
        <v>4000000</v>
      </c>
      <c r="L1087" t="s">
        <v>9</v>
      </c>
      <c r="M1087" t="s">
        <v>7</v>
      </c>
      <c r="N1087" t="b">
        <v>0</v>
      </c>
    </row>
    <row r="1088" spans="1:14" x14ac:dyDescent="0.3">
      <c r="A1088" t="s">
        <v>27</v>
      </c>
      <c r="B1088" t="s">
        <v>9</v>
      </c>
      <c r="C1088">
        <v>16</v>
      </c>
      <c r="E1088" t="s">
        <v>68</v>
      </c>
      <c r="G1088">
        <v>8</v>
      </c>
      <c r="H1088">
        <v>8</v>
      </c>
      <c r="I1088" t="s">
        <v>61</v>
      </c>
      <c r="J1088">
        <v>200000</v>
      </c>
      <c r="K1088">
        <v>1600000</v>
      </c>
      <c r="L1088" t="s">
        <v>9</v>
      </c>
      <c r="M1088" t="s">
        <v>7</v>
      </c>
      <c r="N1088" t="b">
        <v>0</v>
      </c>
    </row>
    <row r="1089" spans="1:14" x14ac:dyDescent="0.3">
      <c r="A1089" t="s">
        <v>27</v>
      </c>
      <c r="B1089" t="s">
        <v>9</v>
      </c>
      <c r="C1089">
        <v>17</v>
      </c>
      <c r="E1089" t="s">
        <v>69</v>
      </c>
      <c r="G1089">
        <v>16</v>
      </c>
      <c r="H1089">
        <v>16</v>
      </c>
      <c r="I1089" t="s">
        <v>61</v>
      </c>
      <c r="J1089">
        <v>200000</v>
      </c>
      <c r="K1089">
        <v>3200000</v>
      </c>
      <c r="L1089" t="s">
        <v>9</v>
      </c>
      <c r="M1089" t="s">
        <v>7</v>
      </c>
      <c r="N1089" t="b">
        <v>0</v>
      </c>
    </row>
    <row r="1090" spans="1:14" x14ac:dyDescent="0.3">
      <c r="A1090" t="s">
        <v>27</v>
      </c>
      <c r="B1090" t="s">
        <v>9</v>
      </c>
      <c r="C1090">
        <v>18</v>
      </c>
      <c r="E1090" t="s">
        <v>70</v>
      </c>
      <c r="G1090">
        <v>16</v>
      </c>
      <c r="H1090">
        <v>16</v>
      </c>
      <c r="I1090" t="s">
        <v>61</v>
      </c>
      <c r="J1090">
        <v>400000</v>
      </c>
      <c r="K1090">
        <v>6400000</v>
      </c>
      <c r="L1090" t="s">
        <v>9</v>
      </c>
      <c r="M1090" t="s">
        <v>7</v>
      </c>
      <c r="N1090" t="b">
        <v>0</v>
      </c>
    </row>
    <row r="1091" spans="1:14" x14ac:dyDescent="0.3">
      <c r="A1091" t="s">
        <v>27</v>
      </c>
      <c r="B1091" t="s">
        <v>9</v>
      </c>
      <c r="C1091">
        <v>19</v>
      </c>
      <c r="E1091" t="s">
        <v>71</v>
      </c>
      <c r="G1091">
        <v>16</v>
      </c>
      <c r="H1091">
        <v>16</v>
      </c>
      <c r="I1091" t="s">
        <v>61</v>
      </c>
      <c r="J1091">
        <v>120000</v>
      </c>
      <c r="K1091">
        <v>1920000</v>
      </c>
      <c r="L1091" t="s">
        <v>9</v>
      </c>
      <c r="M1091" t="s">
        <v>7</v>
      </c>
      <c r="N1091" t="b">
        <v>0</v>
      </c>
    </row>
    <row r="1092" spans="1:14" x14ac:dyDescent="0.3">
      <c r="A1092" t="s">
        <v>27</v>
      </c>
      <c r="B1092" t="s">
        <v>9</v>
      </c>
      <c r="C1092">
        <v>20</v>
      </c>
      <c r="E1092" t="s">
        <v>72</v>
      </c>
      <c r="G1092">
        <v>24</v>
      </c>
      <c r="H1092">
        <v>24</v>
      </c>
      <c r="I1092" t="s">
        <v>61</v>
      </c>
      <c r="J1092">
        <v>400000</v>
      </c>
      <c r="K1092">
        <v>9600000</v>
      </c>
      <c r="L1092" t="s">
        <v>9</v>
      </c>
      <c r="M1092" t="s">
        <v>7</v>
      </c>
      <c r="N1092" t="b">
        <v>0</v>
      </c>
    </row>
    <row r="1093" spans="1:14" x14ac:dyDescent="0.3">
      <c r="A1093" t="s">
        <v>27</v>
      </c>
      <c r="B1093" t="s">
        <v>9</v>
      </c>
      <c r="C1093">
        <v>21</v>
      </c>
      <c r="D1093" t="s">
        <v>73</v>
      </c>
      <c r="E1093" t="s">
        <v>74</v>
      </c>
      <c r="F1093">
        <v>132</v>
      </c>
      <c r="G1093">
        <v>16</v>
      </c>
      <c r="H1093">
        <v>7.9478783999999996</v>
      </c>
      <c r="I1093" t="s">
        <v>46</v>
      </c>
      <c r="J1093">
        <v>35000000</v>
      </c>
      <c r="K1093">
        <v>278175744</v>
      </c>
      <c r="L1093" t="s">
        <v>9</v>
      </c>
      <c r="M1093" t="s">
        <v>7</v>
      </c>
      <c r="N1093" t="b">
        <v>0</v>
      </c>
    </row>
    <row r="1094" spans="1:14" x14ac:dyDescent="0.3">
      <c r="A1094" t="s">
        <v>27</v>
      </c>
      <c r="B1094" t="s">
        <v>9</v>
      </c>
      <c r="C1094">
        <v>22</v>
      </c>
      <c r="D1094" t="s">
        <v>75</v>
      </c>
      <c r="E1094" t="s">
        <v>76</v>
      </c>
      <c r="F1094" t="s">
        <v>77</v>
      </c>
      <c r="G1094">
        <v>2</v>
      </c>
      <c r="H1094">
        <v>2.6</v>
      </c>
      <c r="I1094" t="s">
        <v>46</v>
      </c>
      <c r="J1094">
        <v>5200000</v>
      </c>
      <c r="K1094">
        <v>13520000</v>
      </c>
      <c r="L1094" t="s">
        <v>9</v>
      </c>
      <c r="M1094" t="s">
        <v>7</v>
      </c>
      <c r="N1094" t="b">
        <v>0</v>
      </c>
    </row>
    <row r="1095" spans="1:14" x14ac:dyDescent="0.3">
      <c r="A1095" t="s">
        <v>27</v>
      </c>
      <c r="B1095" t="s">
        <v>9</v>
      </c>
      <c r="C1095">
        <v>23</v>
      </c>
      <c r="E1095" t="s">
        <v>78</v>
      </c>
      <c r="F1095" t="s">
        <v>79</v>
      </c>
      <c r="G1095">
        <v>2</v>
      </c>
      <c r="H1095">
        <v>1.2</v>
      </c>
      <c r="I1095" t="s">
        <v>46</v>
      </c>
      <c r="J1095">
        <v>5200000</v>
      </c>
      <c r="K1095">
        <v>6240000</v>
      </c>
      <c r="L1095" t="s">
        <v>9</v>
      </c>
      <c r="M1095" t="s">
        <v>7</v>
      </c>
      <c r="N1095" t="b">
        <v>0</v>
      </c>
    </row>
    <row r="1096" spans="1:14" x14ac:dyDescent="0.3">
      <c r="A1096" t="s">
        <v>27</v>
      </c>
      <c r="B1096" t="s">
        <v>9</v>
      </c>
      <c r="C1096">
        <v>24</v>
      </c>
      <c r="D1096" t="s">
        <v>80</v>
      </c>
      <c r="E1096" t="s">
        <v>81</v>
      </c>
      <c r="F1096" t="s">
        <v>82</v>
      </c>
      <c r="G1096">
        <v>2</v>
      </c>
      <c r="H1096">
        <v>1.487393</v>
      </c>
      <c r="I1096" t="s">
        <v>46</v>
      </c>
      <c r="J1096">
        <v>8500000</v>
      </c>
      <c r="K1096">
        <v>12642840.5</v>
      </c>
      <c r="L1096" t="s">
        <v>9</v>
      </c>
      <c r="M1096" t="s">
        <v>7</v>
      </c>
      <c r="N1096" t="b">
        <v>0</v>
      </c>
    </row>
    <row r="1097" spans="1:14" x14ac:dyDescent="0.3">
      <c r="A1097" t="s">
        <v>27</v>
      </c>
      <c r="B1097" t="s">
        <v>9</v>
      </c>
      <c r="C1097">
        <v>25</v>
      </c>
      <c r="D1097" t="s">
        <v>83</v>
      </c>
      <c r="E1097" t="s">
        <v>84</v>
      </c>
      <c r="F1097">
        <v>0.18</v>
      </c>
      <c r="G1097">
        <v>4</v>
      </c>
      <c r="H1097">
        <v>4</v>
      </c>
      <c r="I1097" t="s">
        <v>61</v>
      </c>
      <c r="J1097">
        <v>910000</v>
      </c>
      <c r="K1097">
        <v>3640000</v>
      </c>
      <c r="L1097" t="s">
        <v>9</v>
      </c>
      <c r="M1097" t="s">
        <v>7</v>
      </c>
      <c r="N1097" t="b">
        <v>0</v>
      </c>
    </row>
    <row r="1098" spans="1:14" x14ac:dyDescent="0.3">
      <c r="A1098" t="s">
        <v>27</v>
      </c>
      <c r="B1098" t="s">
        <v>9</v>
      </c>
      <c r="C1098">
        <v>26</v>
      </c>
      <c r="E1098" t="s">
        <v>86</v>
      </c>
      <c r="F1098">
        <v>0.2</v>
      </c>
      <c r="G1098">
        <v>6</v>
      </c>
      <c r="H1098">
        <v>6</v>
      </c>
      <c r="I1098" t="s">
        <v>61</v>
      </c>
      <c r="J1098">
        <v>910000</v>
      </c>
      <c r="K1098">
        <v>5460000</v>
      </c>
      <c r="L1098" t="s">
        <v>9</v>
      </c>
      <c r="M1098" t="s">
        <v>7</v>
      </c>
      <c r="N1098" t="b">
        <v>0</v>
      </c>
    </row>
    <row r="1099" spans="1:14" x14ac:dyDescent="0.3">
      <c r="A1099" t="s">
        <v>27</v>
      </c>
      <c r="B1099" t="s">
        <v>9</v>
      </c>
      <c r="C1099">
        <v>27</v>
      </c>
      <c r="D1099" t="s">
        <v>88</v>
      </c>
      <c r="E1099" t="s">
        <v>89</v>
      </c>
      <c r="F1099" t="s">
        <v>90</v>
      </c>
      <c r="G1099">
        <v>2</v>
      </c>
      <c r="H1099">
        <v>2</v>
      </c>
      <c r="I1099" t="s">
        <v>61</v>
      </c>
      <c r="J1099">
        <v>100000</v>
      </c>
      <c r="K1099">
        <v>200000</v>
      </c>
      <c r="L1099" t="s">
        <v>9</v>
      </c>
      <c r="M1099" t="s">
        <v>7</v>
      </c>
      <c r="N1099" t="b">
        <v>0</v>
      </c>
    </row>
    <row r="1100" spans="1:14" x14ac:dyDescent="0.3">
      <c r="A1100" t="s">
        <v>27</v>
      </c>
      <c r="B1100" t="s">
        <v>9</v>
      </c>
      <c r="C1100">
        <v>28</v>
      </c>
      <c r="D1100" t="s">
        <v>65</v>
      </c>
      <c r="E1100" t="s">
        <v>91</v>
      </c>
      <c r="G1100">
        <v>4</v>
      </c>
      <c r="H1100">
        <v>4</v>
      </c>
      <c r="I1100" t="s">
        <v>61</v>
      </c>
      <c r="J1100">
        <v>2400000</v>
      </c>
      <c r="K1100">
        <v>9600000</v>
      </c>
      <c r="L1100" t="s">
        <v>9</v>
      </c>
      <c r="M1100" t="s">
        <v>7</v>
      </c>
      <c r="N1100" t="b">
        <v>0</v>
      </c>
    </row>
    <row r="1101" spans="1:14" x14ac:dyDescent="0.3">
      <c r="A1101" t="s">
        <v>27</v>
      </c>
      <c r="B1101" t="s">
        <v>9</v>
      </c>
      <c r="C1101">
        <v>29</v>
      </c>
      <c r="E1101" t="s">
        <v>92</v>
      </c>
      <c r="G1101">
        <v>4</v>
      </c>
      <c r="H1101">
        <v>4</v>
      </c>
      <c r="I1101" t="s">
        <v>61</v>
      </c>
      <c r="J1101">
        <v>2400000</v>
      </c>
      <c r="K1101">
        <v>9600000</v>
      </c>
      <c r="L1101" t="s">
        <v>9</v>
      </c>
      <c r="M1101" t="s">
        <v>7</v>
      </c>
      <c r="N1101" t="b">
        <v>0</v>
      </c>
    </row>
    <row r="1102" spans="1:14" x14ac:dyDescent="0.3">
      <c r="A1102" t="s">
        <v>27</v>
      </c>
      <c r="B1102" t="s">
        <v>9</v>
      </c>
      <c r="C1102">
        <v>30</v>
      </c>
      <c r="E1102" t="s">
        <v>93</v>
      </c>
      <c r="G1102">
        <v>4</v>
      </c>
      <c r="H1102">
        <v>4</v>
      </c>
      <c r="I1102" t="s">
        <v>61</v>
      </c>
      <c r="J1102">
        <v>3000000</v>
      </c>
      <c r="K1102">
        <v>12000000</v>
      </c>
      <c r="L1102" t="s">
        <v>9</v>
      </c>
      <c r="M1102" t="s">
        <v>7</v>
      </c>
      <c r="N1102" t="b">
        <v>0</v>
      </c>
    </row>
    <row r="1103" spans="1:14" x14ac:dyDescent="0.3">
      <c r="A1103" t="s">
        <v>27</v>
      </c>
      <c r="B1103" t="s">
        <v>9</v>
      </c>
      <c r="C1103">
        <v>31</v>
      </c>
      <c r="D1103" t="s">
        <v>104</v>
      </c>
      <c r="E1103" t="s">
        <v>105</v>
      </c>
      <c r="G1103">
        <v>1</v>
      </c>
      <c r="H1103">
        <v>4</v>
      </c>
      <c r="I1103" t="s">
        <v>61</v>
      </c>
      <c r="J1103">
        <v>30000000</v>
      </c>
      <c r="K1103">
        <v>120000000</v>
      </c>
      <c r="L1103" t="s">
        <v>9</v>
      </c>
      <c r="M1103" t="s">
        <v>7</v>
      </c>
      <c r="N1103" t="b">
        <v>0</v>
      </c>
    </row>
    <row r="1104" spans="1:14" x14ac:dyDescent="0.3">
      <c r="A1104" t="s">
        <v>27</v>
      </c>
      <c r="B1104" t="s">
        <v>9</v>
      </c>
      <c r="C1104">
        <v>32</v>
      </c>
      <c r="E1104" t="s">
        <v>106</v>
      </c>
      <c r="G1104">
        <v>1</v>
      </c>
      <c r="H1104">
        <v>0</v>
      </c>
      <c r="I1104" t="s">
        <v>61</v>
      </c>
      <c r="J1104">
        <v>19000000</v>
      </c>
      <c r="K1104">
        <v>0</v>
      </c>
      <c r="L1104" t="s">
        <v>9</v>
      </c>
      <c r="M1104" t="s">
        <v>7</v>
      </c>
      <c r="N1104" t="b">
        <v>0</v>
      </c>
    </row>
    <row r="1105" spans="1:14" x14ac:dyDescent="0.3">
      <c r="A1105" t="s">
        <v>27</v>
      </c>
      <c r="B1105" t="s">
        <v>9</v>
      </c>
      <c r="C1105">
        <v>33</v>
      </c>
      <c r="D1105" t="s">
        <v>94</v>
      </c>
      <c r="E1105" t="s">
        <v>95</v>
      </c>
      <c r="G1105">
        <v>2</v>
      </c>
      <c r="H1105">
        <v>2</v>
      </c>
      <c r="I1105" t="s">
        <v>61</v>
      </c>
      <c r="J1105">
        <v>1300000</v>
      </c>
      <c r="K1105">
        <v>2600000</v>
      </c>
      <c r="L1105" t="s">
        <v>9</v>
      </c>
      <c r="M1105" t="s">
        <v>7</v>
      </c>
      <c r="N1105" t="b">
        <v>0</v>
      </c>
    </row>
    <row r="1106" spans="1:14" x14ac:dyDescent="0.3">
      <c r="A1106" t="s">
        <v>27</v>
      </c>
      <c r="B1106" t="s">
        <v>9</v>
      </c>
      <c r="C1106">
        <v>34</v>
      </c>
      <c r="D1106" t="s">
        <v>94</v>
      </c>
      <c r="E1106" t="s">
        <v>96</v>
      </c>
      <c r="G1106">
        <v>8</v>
      </c>
      <c r="H1106">
        <v>2.68</v>
      </c>
      <c r="I1106" t="s">
        <v>97</v>
      </c>
      <c r="J1106">
        <v>460000</v>
      </c>
      <c r="K1106">
        <v>1232800</v>
      </c>
      <c r="L1106" t="s">
        <v>9</v>
      </c>
      <c r="M1106" t="s">
        <v>7</v>
      </c>
      <c r="N1106" t="b">
        <v>0</v>
      </c>
    </row>
    <row r="1107" spans="1:14" x14ac:dyDescent="0.3">
      <c r="A1107" t="s">
        <v>27</v>
      </c>
      <c r="B1107" t="s">
        <v>9</v>
      </c>
      <c r="C1107">
        <v>35</v>
      </c>
      <c r="D1107" t="s">
        <v>98</v>
      </c>
      <c r="E1107" t="s">
        <v>99</v>
      </c>
      <c r="F1107">
        <v>50</v>
      </c>
      <c r="G1107">
        <v>16</v>
      </c>
      <c r="H1107">
        <v>1.6</v>
      </c>
      <c r="I1107" t="s">
        <v>100</v>
      </c>
      <c r="J1107">
        <v>9739400</v>
      </c>
      <c r="K1107">
        <v>15583040</v>
      </c>
      <c r="L1107" t="s">
        <v>9</v>
      </c>
      <c r="M1107" t="s">
        <v>7</v>
      </c>
      <c r="N1107" t="b">
        <v>0</v>
      </c>
    </row>
    <row r="1108" spans="1:14" x14ac:dyDescent="0.3">
      <c r="A1108" t="s">
        <v>27</v>
      </c>
      <c r="B1108" t="s">
        <v>9</v>
      </c>
      <c r="C1108">
        <v>28</v>
      </c>
      <c r="E1108" t="s">
        <v>101</v>
      </c>
      <c r="H1108">
        <v>10</v>
      </c>
      <c r="I1108" t="s">
        <v>102</v>
      </c>
      <c r="J1108">
        <v>13000000</v>
      </c>
      <c r="K1108">
        <v>130000000</v>
      </c>
      <c r="L1108" t="s">
        <v>9</v>
      </c>
      <c r="M1108" t="s">
        <v>7</v>
      </c>
      <c r="N1108" t="b">
        <v>0</v>
      </c>
    </row>
    <row r="1109" spans="1:14" x14ac:dyDescent="0.3">
      <c r="A1109" t="s">
        <v>27</v>
      </c>
      <c r="B1109" t="s">
        <v>9</v>
      </c>
      <c r="C1109">
        <v>29</v>
      </c>
      <c r="E1109" t="s">
        <v>107</v>
      </c>
      <c r="H1109">
        <v>0</v>
      </c>
      <c r="I1109" t="s">
        <v>108</v>
      </c>
      <c r="K1109">
        <v>0</v>
      </c>
      <c r="L1109" t="s">
        <v>9</v>
      </c>
      <c r="M1109" t="s">
        <v>7</v>
      </c>
      <c r="N1109" t="b">
        <v>0</v>
      </c>
    </row>
    <row r="1110" spans="1:14" x14ac:dyDescent="0.3">
      <c r="A1110" t="s">
        <v>27</v>
      </c>
      <c r="B1110" t="s">
        <v>10</v>
      </c>
      <c r="C1110">
        <v>1</v>
      </c>
      <c r="D1110" t="s">
        <v>44</v>
      </c>
      <c r="E1110" t="s">
        <v>45</v>
      </c>
      <c r="F1110">
        <v>168</v>
      </c>
      <c r="G1110">
        <v>2</v>
      </c>
      <c r="H1110">
        <v>0.47039999999999998</v>
      </c>
      <c r="I1110" t="s">
        <v>46</v>
      </c>
      <c r="J1110">
        <v>8500000</v>
      </c>
      <c r="K1110">
        <v>3998400</v>
      </c>
      <c r="L1110" t="s">
        <v>10</v>
      </c>
      <c r="M1110" t="s">
        <v>7</v>
      </c>
      <c r="N1110" t="b">
        <v>0</v>
      </c>
    </row>
    <row r="1111" spans="1:14" x14ac:dyDescent="0.3">
      <c r="A1111" t="s">
        <v>27</v>
      </c>
      <c r="B1111" t="s">
        <v>10</v>
      </c>
      <c r="C1111">
        <v>2</v>
      </c>
      <c r="E1111" t="s">
        <v>47</v>
      </c>
      <c r="F1111">
        <v>168</v>
      </c>
      <c r="G1111">
        <v>1</v>
      </c>
      <c r="H1111">
        <v>0.23519999999999999</v>
      </c>
      <c r="I1111" t="s">
        <v>46</v>
      </c>
      <c r="J1111">
        <v>8500000</v>
      </c>
      <c r="K1111">
        <v>1999200</v>
      </c>
      <c r="L1111" t="s">
        <v>10</v>
      </c>
      <c r="M1111" t="s">
        <v>7</v>
      </c>
      <c r="N1111" t="b">
        <v>0</v>
      </c>
    </row>
    <row r="1112" spans="1:14" x14ac:dyDescent="0.3">
      <c r="A1112" t="s">
        <v>27</v>
      </c>
      <c r="B1112" t="s">
        <v>10</v>
      </c>
      <c r="C1112">
        <v>3</v>
      </c>
      <c r="E1112" t="s">
        <v>175</v>
      </c>
      <c r="F1112">
        <v>168</v>
      </c>
      <c r="G1112">
        <v>4</v>
      </c>
      <c r="H1112">
        <v>1.7472000000000001</v>
      </c>
      <c r="I1112" t="s">
        <v>46</v>
      </c>
      <c r="J1112">
        <v>8500000</v>
      </c>
      <c r="K1112">
        <v>14851200</v>
      </c>
      <c r="L1112" t="s">
        <v>10</v>
      </c>
      <c r="M1112" t="s">
        <v>7</v>
      </c>
      <c r="N1112" t="b">
        <v>0</v>
      </c>
    </row>
    <row r="1113" spans="1:14" x14ac:dyDescent="0.3">
      <c r="A1113" t="s">
        <v>27</v>
      </c>
      <c r="B1113" t="s">
        <v>10</v>
      </c>
      <c r="C1113">
        <v>4</v>
      </c>
      <c r="E1113" t="s">
        <v>49</v>
      </c>
      <c r="F1113">
        <v>120</v>
      </c>
      <c r="G1113">
        <v>4</v>
      </c>
      <c r="H1113">
        <v>0.48</v>
      </c>
      <c r="I1113" t="s">
        <v>46</v>
      </c>
      <c r="J1113">
        <v>8500000</v>
      </c>
      <c r="K1113">
        <v>4080000</v>
      </c>
      <c r="L1113" t="s">
        <v>10</v>
      </c>
      <c r="M1113" t="s">
        <v>7</v>
      </c>
      <c r="N1113" t="b">
        <v>0</v>
      </c>
    </row>
    <row r="1114" spans="1:14" x14ac:dyDescent="0.3">
      <c r="A1114" t="s">
        <v>27</v>
      </c>
      <c r="B1114" t="s">
        <v>10</v>
      </c>
      <c r="C1114">
        <v>5</v>
      </c>
      <c r="E1114" t="s">
        <v>50</v>
      </c>
      <c r="F1114">
        <v>180</v>
      </c>
      <c r="G1114">
        <v>2</v>
      </c>
      <c r="H1114">
        <v>1.2276359999999999</v>
      </c>
      <c r="I1114" t="s">
        <v>46</v>
      </c>
      <c r="J1114">
        <v>8500000</v>
      </c>
      <c r="K1114">
        <v>10434906</v>
      </c>
      <c r="L1114" t="s">
        <v>10</v>
      </c>
      <c r="M1114" t="s">
        <v>7</v>
      </c>
      <c r="N1114" t="b">
        <v>0</v>
      </c>
    </row>
    <row r="1115" spans="1:14" x14ac:dyDescent="0.3">
      <c r="A1115" t="s">
        <v>27</v>
      </c>
      <c r="B1115" t="s">
        <v>10</v>
      </c>
      <c r="C1115">
        <v>6</v>
      </c>
      <c r="E1115" t="s">
        <v>51</v>
      </c>
      <c r="F1115">
        <v>0.58799999999999997</v>
      </c>
      <c r="G1115">
        <v>8</v>
      </c>
      <c r="H1115">
        <v>10.668672000000001</v>
      </c>
      <c r="I1115" t="s">
        <v>46</v>
      </c>
      <c r="J1115">
        <v>8500000</v>
      </c>
      <c r="K1115">
        <v>90683712</v>
      </c>
      <c r="L1115" t="s">
        <v>10</v>
      </c>
      <c r="M1115" t="s">
        <v>7</v>
      </c>
      <c r="N1115" t="b">
        <v>0</v>
      </c>
    </row>
    <row r="1116" spans="1:14" x14ac:dyDescent="0.3">
      <c r="A1116" t="s">
        <v>27</v>
      </c>
      <c r="B1116" t="s">
        <v>10</v>
      </c>
      <c r="C1116">
        <v>7</v>
      </c>
      <c r="D1116" t="s">
        <v>52</v>
      </c>
      <c r="E1116" t="s">
        <v>53</v>
      </c>
      <c r="F1116">
        <v>0.13</v>
      </c>
      <c r="G1116">
        <v>1.4676479999999998</v>
      </c>
      <c r="H1116">
        <v>1.4676479999999998</v>
      </c>
      <c r="I1116" t="s">
        <v>54</v>
      </c>
      <c r="J1116">
        <v>4275000</v>
      </c>
      <c r="K1116">
        <v>6274195.1999999993</v>
      </c>
      <c r="L1116" t="s">
        <v>10</v>
      </c>
      <c r="M1116" t="s">
        <v>7</v>
      </c>
      <c r="N1116" t="b">
        <v>0</v>
      </c>
    </row>
    <row r="1117" spans="1:14" x14ac:dyDescent="0.3">
      <c r="A1117" t="s">
        <v>27</v>
      </c>
      <c r="B1117" t="s">
        <v>10</v>
      </c>
      <c r="C1117">
        <v>8</v>
      </c>
      <c r="E1117" t="s">
        <v>55</v>
      </c>
      <c r="F1117">
        <v>0.35</v>
      </c>
      <c r="G1117">
        <v>0</v>
      </c>
      <c r="H1117">
        <v>0</v>
      </c>
      <c r="I1117" t="s">
        <v>46</v>
      </c>
      <c r="J1117">
        <v>35750000</v>
      </c>
      <c r="K1117">
        <v>0</v>
      </c>
      <c r="L1117" t="s">
        <v>10</v>
      </c>
      <c r="M1117" t="s">
        <v>7</v>
      </c>
      <c r="N1117" t="b">
        <v>0</v>
      </c>
    </row>
    <row r="1118" spans="1:14" x14ac:dyDescent="0.3">
      <c r="A1118" t="s">
        <v>27</v>
      </c>
      <c r="B1118" t="s">
        <v>10</v>
      </c>
      <c r="C1118">
        <v>9</v>
      </c>
      <c r="E1118" t="s">
        <v>55</v>
      </c>
      <c r="F1118">
        <v>0.2</v>
      </c>
      <c r="G1118">
        <v>0.73382400000000003</v>
      </c>
      <c r="H1118">
        <v>0.73382400000000003</v>
      </c>
      <c r="I1118" t="s">
        <v>46</v>
      </c>
      <c r="J1118">
        <v>45760000</v>
      </c>
      <c r="K1118">
        <v>33579786.239999995</v>
      </c>
      <c r="L1118" t="s">
        <v>10</v>
      </c>
      <c r="M1118" t="s">
        <v>7</v>
      </c>
      <c r="N1118" t="b">
        <v>0</v>
      </c>
    </row>
    <row r="1119" spans="1:14" x14ac:dyDescent="0.3">
      <c r="A1119" t="s">
        <v>27</v>
      </c>
      <c r="B1119" t="s">
        <v>10</v>
      </c>
      <c r="C1119">
        <v>10</v>
      </c>
      <c r="D1119" t="s">
        <v>56</v>
      </c>
      <c r="E1119" t="s">
        <v>57</v>
      </c>
      <c r="G1119">
        <v>2.4527999999999999</v>
      </c>
      <c r="H1119">
        <v>2.4527999999999999</v>
      </c>
      <c r="I1119" t="s">
        <v>46</v>
      </c>
      <c r="J1119">
        <v>1430000</v>
      </c>
      <c r="K1119">
        <v>3507504</v>
      </c>
      <c r="L1119" t="s">
        <v>10</v>
      </c>
      <c r="M1119" t="s">
        <v>7</v>
      </c>
      <c r="N1119" t="b">
        <v>0</v>
      </c>
    </row>
    <row r="1120" spans="1:14" x14ac:dyDescent="0.3">
      <c r="A1120" t="s">
        <v>27</v>
      </c>
      <c r="B1120" t="s">
        <v>10</v>
      </c>
      <c r="C1120">
        <v>11</v>
      </c>
      <c r="D1120" t="s">
        <v>58</v>
      </c>
      <c r="E1120" t="s">
        <v>59</v>
      </c>
      <c r="G1120">
        <v>16</v>
      </c>
      <c r="H1120">
        <v>16</v>
      </c>
      <c r="I1120" t="s">
        <v>46</v>
      </c>
      <c r="J1120">
        <v>3000000</v>
      </c>
      <c r="K1120">
        <v>48000000</v>
      </c>
      <c r="L1120" t="s">
        <v>10</v>
      </c>
      <c r="M1120" t="s">
        <v>7</v>
      </c>
      <c r="N1120" t="b">
        <v>0</v>
      </c>
    </row>
    <row r="1121" spans="1:14" x14ac:dyDescent="0.3">
      <c r="A1121" t="s">
        <v>27</v>
      </c>
      <c r="B1121" t="s">
        <v>10</v>
      </c>
      <c r="C1121">
        <v>12</v>
      </c>
      <c r="E1121" t="s">
        <v>60</v>
      </c>
      <c r="G1121">
        <v>10.668672000000001</v>
      </c>
      <c r="H1121">
        <v>10.668672000000001</v>
      </c>
      <c r="I1121" t="s">
        <v>61</v>
      </c>
      <c r="J1121">
        <v>3600000</v>
      </c>
      <c r="K1121">
        <v>38407219.200000003</v>
      </c>
      <c r="L1121" t="s">
        <v>10</v>
      </c>
      <c r="M1121" t="s">
        <v>7</v>
      </c>
      <c r="N1121" t="b">
        <v>0</v>
      </c>
    </row>
    <row r="1122" spans="1:14" x14ac:dyDescent="0.3">
      <c r="A1122" t="s">
        <v>27</v>
      </c>
      <c r="B1122" t="s">
        <v>10</v>
      </c>
      <c r="C1122">
        <v>13</v>
      </c>
      <c r="D1122" t="s">
        <v>62</v>
      </c>
      <c r="E1122" t="s">
        <v>63</v>
      </c>
      <c r="G1122">
        <v>4.7039999999999997</v>
      </c>
      <c r="H1122">
        <v>4.7039999999999997</v>
      </c>
      <c r="I1122" t="s">
        <v>61</v>
      </c>
      <c r="J1122">
        <v>3600000</v>
      </c>
      <c r="K1122">
        <v>16934400</v>
      </c>
      <c r="L1122" t="s">
        <v>10</v>
      </c>
      <c r="M1122" t="s">
        <v>7</v>
      </c>
      <c r="N1122" t="b">
        <v>0</v>
      </c>
    </row>
    <row r="1123" spans="1:14" x14ac:dyDescent="0.3">
      <c r="A1123" t="s">
        <v>27</v>
      </c>
      <c r="B1123" t="s">
        <v>10</v>
      </c>
      <c r="C1123">
        <v>14</v>
      </c>
      <c r="E1123" t="s">
        <v>64</v>
      </c>
      <c r="G1123">
        <v>0.4</v>
      </c>
      <c r="H1123">
        <v>0.4</v>
      </c>
      <c r="I1123" t="s">
        <v>61</v>
      </c>
      <c r="J1123">
        <v>5500000</v>
      </c>
      <c r="K1123">
        <v>2200000</v>
      </c>
      <c r="L1123" t="s">
        <v>10</v>
      </c>
      <c r="M1123" t="s">
        <v>7</v>
      </c>
      <c r="N1123" t="b">
        <v>0</v>
      </c>
    </row>
    <row r="1124" spans="1:14" x14ac:dyDescent="0.3">
      <c r="A1124" t="s">
        <v>27</v>
      </c>
      <c r="B1124" t="s">
        <v>10</v>
      </c>
      <c r="C1124">
        <v>15</v>
      </c>
      <c r="D1124" t="s">
        <v>65</v>
      </c>
      <c r="E1124" t="s">
        <v>66</v>
      </c>
      <c r="G1124" t="s">
        <v>67</v>
      </c>
      <c r="H1124">
        <v>8</v>
      </c>
      <c r="I1124" t="s">
        <v>61</v>
      </c>
      <c r="J1124">
        <v>200000</v>
      </c>
      <c r="K1124">
        <v>1600000</v>
      </c>
      <c r="L1124" t="s">
        <v>10</v>
      </c>
      <c r="M1124" t="s">
        <v>7</v>
      </c>
      <c r="N1124" t="b">
        <v>0</v>
      </c>
    </row>
    <row r="1125" spans="1:14" x14ac:dyDescent="0.3">
      <c r="A1125" t="s">
        <v>27</v>
      </c>
      <c r="B1125" t="s">
        <v>10</v>
      </c>
      <c r="C1125">
        <v>16</v>
      </c>
      <c r="E1125" t="s">
        <v>68</v>
      </c>
      <c r="G1125">
        <v>8</v>
      </c>
      <c r="H1125">
        <v>8</v>
      </c>
      <c r="I1125" t="s">
        <v>61</v>
      </c>
      <c r="J1125">
        <v>200000</v>
      </c>
      <c r="K1125">
        <v>1600000</v>
      </c>
      <c r="L1125" t="s">
        <v>10</v>
      </c>
      <c r="M1125" t="s">
        <v>7</v>
      </c>
      <c r="N1125" t="b">
        <v>0</v>
      </c>
    </row>
    <row r="1126" spans="1:14" x14ac:dyDescent="0.3">
      <c r="A1126" t="s">
        <v>27</v>
      </c>
      <c r="B1126" t="s">
        <v>10</v>
      </c>
      <c r="C1126">
        <v>17</v>
      </c>
      <c r="E1126" t="s">
        <v>69</v>
      </c>
      <c r="G1126">
        <v>88</v>
      </c>
      <c r="H1126">
        <v>16</v>
      </c>
      <c r="I1126" t="s">
        <v>61</v>
      </c>
      <c r="J1126">
        <v>200000</v>
      </c>
      <c r="K1126">
        <v>3200000</v>
      </c>
      <c r="L1126" t="s">
        <v>10</v>
      </c>
      <c r="M1126" t="s">
        <v>7</v>
      </c>
      <c r="N1126" t="b">
        <v>0</v>
      </c>
    </row>
    <row r="1127" spans="1:14" x14ac:dyDescent="0.3">
      <c r="A1127" t="s">
        <v>27</v>
      </c>
      <c r="B1127" t="s">
        <v>10</v>
      </c>
      <c r="C1127">
        <v>18</v>
      </c>
      <c r="E1127" t="s">
        <v>70</v>
      </c>
      <c r="G1127">
        <v>16</v>
      </c>
      <c r="H1127">
        <v>16</v>
      </c>
      <c r="I1127" t="s">
        <v>61</v>
      </c>
      <c r="J1127">
        <v>400000</v>
      </c>
      <c r="K1127">
        <v>6400000</v>
      </c>
      <c r="L1127" t="s">
        <v>10</v>
      </c>
      <c r="M1127" t="s">
        <v>7</v>
      </c>
      <c r="N1127" t="b">
        <v>0</v>
      </c>
    </row>
    <row r="1128" spans="1:14" x14ac:dyDescent="0.3">
      <c r="A1128" t="s">
        <v>27</v>
      </c>
      <c r="B1128" t="s">
        <v>10</v>
      </c>
      <c r="C1128">
        <v>19</v>
      </c>
      <c r="E1128" t="s">
        <v>71</v>
      </c>
      <c r="G1128">
        <v>16</v>
      </c>
      <c r="H1128">
        <v>16</v>
      </c>
      <c r="I1128" t="s">
        <v>61</v>
      </c>
      <c r="J1128">
        <v>120000</v>
      </c>
      <c r="K1128">
        <v>1920000</v>
      </c>
      <c r="L1128" t="s">
        <v>10</v>
      </c>
      <c r="M1128" t="s">
        <v>7</v>
      </c>
      <c r="N1128" t="b">
        <v>0</v>
      </c>
    </row>
    <row r="1129" spans="1:14" x14ac:dyDescent="0.3">
      <c r="A1129" t="s">
        <v>27</v>
      </c>
      <c r="B1129" t="s">
        <v>10</v>
      </c>
      <c r="C1129">
        <v>20</v>
      </c>
      <c r="E1129" t="s">
        <v>72</v>
      </c>
      <c r="G1129">
        <v>24</v>
      </c>
      <c r="H1129">
        <v>24</v>
      </c>
      <c r="I1129" t="s">
        <v>61</v>
      </c>
      <c r="J1129">
        <v>400000</v>
      </c>
      <c r="K1129">
        <v>9600000</v>
      </c>
      <c r="L1129" t="s">
        <v>10</v>
      </c>
      <c r="M1129" t="s">
        <v>7</v>
      </c>
      <c r="N1129" t="b">
        <v>0</v>
      </c>
    </row>
    <row r="1130" spans="1:14" x14ac:dyDescent="0.3">
      <c r="A1130" t="s">
        <v>27</v>
      </c>
      <c r="B1130" t="s">
        <v>10</v>
      </c>
      <c r="C1130">
        <v>21</v>
      </c>
      <c r="D1130" t="s">
        <v>73</v>
      </c>
      <c r="E1130" t="s">
        <v>74</v>
      </c>
      <c r="F1130">
        <v>132</v>
      </c>
      <c r="G1130">
        <v>16</v>
      </c>
      <c r="H1130">
        <v>7.9478783999999996</v>
      </c>
      <c r="I1130" t="s">
        <v>46</v>
      </c>
      <c r="J1130">
        <v>35000000</v>
      </c>
      <c r="K1130">
        <v>278175744</v>
      </c>
      <c r="L1130" t="s">
        <v>10</v>
      </c>
      <c r="M1130" t="s">
        <v>7</v>
      </c>
      <c r="N1130" t="b">
        <v>0</v>
      </c>
    </row>
    <row r="1131" spans="1:14" x14ac:dyDescent="0.3">
      <c r="A1131" t="s">
        <v>27</v>
      </c>
      <c r="B1131" t="s">
        <v>10</v>
      </c>
      <c r="C1131">
        <v>22</v>
      </c>
      <c r="D1131" t="s">
        <v>75</v>
      </c>
      <c r="E1131" t="s">
        <v>76</v>
      </c>
      <c r="F1131" t="s">
        <v>77</v>
      </c>
      <c r="G1131">
        <v>2</v>
      </c>
      <c r="H1131">
        <v>2.6</v>
      </c>
      <c r="I1131" t="s">
        <v>46</v>
      </c>
      <c r="J1131">
        <v>5200000</v>
      </c>
      <c r="K1131">
        <v>13520000</v>
      </c>
      <c r="L1131" t="s">
        <v>10</v>
      </c>
      <c r="M1131" t="s">
        <v>7</v>
      </c>
      <c r="N1131" t="b">
        <v>0</v>
      </c>
    </row>
    <row r="1132" spans="1:14" x14ac:dyDescent="0.3">
      <c r="A1132" t="s">
        <v>27</v>
      </c>
      <c r="B1132" t="s">
        <v>10</v>
      </c>
      <c r="C1132">
        <v>23</v>
      </c>
      <c r="E1132" t="s">
        <v>78</v>
      </c>
      <c r="F1132" t="s">
        <v>79</v>
      </c>
      <c r="G1132">
        <v>2</v>
      </c>
      <c r="H1132">
        <v>1.2</v>
      </c>
      <c r="I1132" t="s">
        <v>46</v>
      </c>
      <c r="J1132">
        <v>5200000</v>
      </c>
      <c r="K1132">
        <v>6240000</v>
      </c>
      <c r="L1132" t="s">
        <v>10</v>
      </c>
      <c r="M1132" t="s">
        <v>7</v>
      </c>
      <c r="N1132" t="b">
        <v>0</v>
      </c>
    </row>
    <row r="1133" spans="1:14" x14ac:dyDescent="0.3">
      <c r="A1133" t="s">
        <v>27</v>
      </c>
      <c r="B1133" t="s">
        <v>10</v>
      </c>
      <c r="C1133">
        <v>24</v>
      </c>
      <c r="D1133" t="s">
        <v>80</v>
      </c>
      <c r="E1133" t="s">
        <v>81</v>
      </c>
      <c r="F1133" t="s">
        <v>82</v>
      </c>
      <c r="G1133">
        <v>2</v>
      </c>
      <c r="H1133">
        <v>1.487393</v>
      </c>
      <c r="I1133" t="s">
        <v>46</v>
      </c>
      <c r="J1133">
        <v>8500000</v>
      </c>
      <c r="K1133">
        <v>12642840.5</v>
      </c>
      <c r="L1133" t="s">
        <v>10</v>
      </c>
      <c r="M1133" t="s">
        <v>7</v>
      </c>
      <c r="N1133" t="b">
        <v>0</v>
      </c>
    </row>
    <row r="1134" spans="1:14" x14ac:dyDescent="0.3">
      <c r="A1134" t="s">
        <v>27</v>
      </c>
      <c r="B1134" t="s">
        <v>10</v>
      </c>
      <c r="C1134">
        <v>25</v>
      </c>
      <c r="D1134" t="s">
        <v>83</v>
      </c>
      <c r="E1134" t="s">
        <v>84</v>
      </c>
      <c r="F1134">
        <v>0.18</v>
      </c>
      <c r="G1134">
        <v>4</v>
      </c>
      <c r="H1134">
        <v>4</v>
      </c>
      <c r="I1134" t="s">
        <v>61</v>
      </c>
      <c r="J1134">
        <v>910000</v>
      </c>
      <c r="K1134">
        <v>3640000</v>
      </c>
      <c r="L1134" t="s">
        <v>10</v>
      </c>
      <c r="M1134" t="s">
        <v>7</v>
      </c>
      <c r="N1134" t="b">
        <v>0</v>
      </c>
    </row>
    <row r="1135" spans="1:14" x14ac:dyDescent="0.3">
      <c r="A1135" t="s">
        <v>27</v>
      </c>
      <c r="B1135" t="s">
        <v>10</v>
      </c>
      <c r="C1135">
        <v>26</v>
      </c>
      <c r="E1135" t="s">
        <v>86</v>
      </c>
      <c r="F1135">
        <v>0.2</v>
      </c>
      <c r="G1135">
        <v>6</v>
      </c>
      <c r="H1135">
        <v>6</v>
      </c>
      <c r="I1135" t="s">
        <v>61</v>
      </c>
      <c r="J1135">
        <v>910000</v>
      </c>
      <c r="K1135">
        <v>5460000</v>
      </c>
      <c r="L1135" t="s">
        <v>10</v>
      </c>
      <c r="M1135" t="s">
        <v>7</v>
      </c>
      <c r="N1135" t="b">
        <v>0</v>
      </c>
    </row>
    <row r="1136" spans="1:14" x14ac:dyDescent="0.3">
      <c r="A1136" t="s">
        <v>27</v>
      </c>
      <c r="B1136" t="s">
        <v>10</v>
      </c>
      <c r="C1136">
        <v>27</v>
      </c>
      <c r="D1136" t="s">
        <v>88</v>
      </c>
      <c r="E1136" t="s">
        <v>89</v>
      </c>
      <c r="F1136" t="s">
        <v>90</v>
      </c>
      <c r="G1136">
        <v>2</v>
      </c>
      <c r="H1136">
        <v>2</v>
      </c>
      <c r="I1136" t="s">
        <v>61</v>
      </c>
      <c r="J1136">
        <v>100000</v>
      </c>
      <c r="K1136">
        <v>200000</v>
      </c>
      <c r="L1136" t="s">
        <v>10</v>
      </c>
      <c r="M1136" t="s">
        <v>7</v>
      </c>
      <c r="N1136" t="b">
        <v>0</v>
      </c>
    </row>
    <row r="1137" spans="1:14" x14ac:dyDescent="0.3">
      <c r="A1137" t="s">
        <v>27</v>
      </c>
      <c r="B1137" t="s">
        <v>10</v>
      </c>
      <c r="C1137">
        <v>28</v>
      </c>
      <c r="D1137" t="s">
        <v>65</v>
      </c>
      <c r="E1137" t="s">
        <v>91</v>
      </c>
      <c r="G1137">
        <v>4</v>
      </c>
      <c r="H1137">
        <v>4</v>
      </c>
      <c r="I1137" t="s">
        <v>61</v>
      </c>
      <c r="J1137">
        <v>2400000</v>
      </c>
      <c r="K1137">
        <v>9600000</v>
      </c>
      <c r="L1137" t="s">
        <v>10</v>
      </c>
      <c r="M1137" t="s">
        <v>7</v>
      </c>
      <c r="N1137" t="b">
        <v>0</v>
      </c>
    </row>
    <row r="1138" spans="1:14" x14ac:dyDescent="0.3">
      <c r="A1138" t="s">
        <v>27</v>
      </c>
      <c r="B1138" t="s">
        <v>10</v>
      </c>
      <c r="C1138">
        <v>29</v>
      </c>
      <c r="E1138" t="s">
        <v>92</v>
      </c>
      <c r="G1138">
        <v>4</v>
      </c>
      <c r="H1138">
        <v>4</v>
      </c>
      <c r="I1138" t="s">
        <v>61</v>
      </c>
      <c r="J1138">
        <v>2400000</v>
      </c>
      <c r="K1138">
        <v>9600000</v>
      </c>
      <c r="L1138" t="s">
        <v>10</v>
      </c>
      <c r="M1138" t="s">
        <v>7</v>
      </c>
      <c r="N1138" t="b">
        <v>0</v>
      </c>
    </row>
    <row r="1139" spans="1:14" x14ac:dyDescent="0.3">
      <c r="A1139" t="s">
        <v>27</v>
      </c>
      <c r="B1139" t="s">
        <v>10</v>
      </c>
      <c r="C1139">
        <v>30</v>
      </c>
      <c r="E1139" t="s">
        <v>93</v>
      </c>
      <c r="G1139">
        <v>4</v>
      </c>
      <c r="H1139">
        <v>4</v>
      </c>
      <c r="I1139" t="s">
        <v>61</v>
      </c>
      <c r="J1139">
        <v>3000000</v>
      </c>
      <c r="K1139">
        <v>12000000</v>
      </c>
      <c r="L1139" t="s">
        <v>10</v>
      </c>
      <c r="M1139" t="s">
        <v>7</v>
      </c>
      <c r="N1139" t="b">
        <v>0</v>
      </c>
    </row>
    <row r="1140" spans="1:14" x14ac:dyDescent="0.3">
      <c r="A1140" t="s">
        <v>27</v>
      </c>
      <c r="B1140" t="s">
        <v>10</v>
      </c>
      <c r="C1140">
        <v>31</v>
      </c>
      <c r="D1140" t="s">
        <v>94</v>
      </c>
      <c r="E1140" t="s">
        <v>95</v>
      </c>
      <c r="G1140">
        <v>2</v>
      </c>
      <c r="H1140">
        <v>2</v>
      </c>
      <c r="I1140" t="s">
        <v>61</v>
      </c>
      <c r="J1140">
        <v>1300000</v>
      </c>
      <c r="K1140">
        <v>2600000</v>
      </c>
      <c r="L1140" t="s">
        <v>10</v>
      </c>
      <c r="M1140" t="s">
        <v>7</v>
      </c>
      <c r="N1140" t="b">
        <v>0</v>
      </c>
    </row>
    <row r="1141" spans="1:14" x14ac:dyDescent="0.3">
      <c r="A1141" t="s">
        <v>27</v>
      </c>
      <c r="B1141" t="s">
        <v>10</v>
      </c>
      <c r="C1141">
        <v>32</v>
      </c>
      <c r="D1141" t="s">
        <v>94</v>
      </c>
      <c r="E1141" t="s">
        <v>96</v>
      </c>
      <c r="G1141">
        <v>8</v>
      </c>
      <c r="H1141">
        <v>1.3440000000000001</v>
      </c>
      <c r="I1141" t="s">
        <v>97</v>
      </c>
      <c r="J1141">
        <v>460000</v>
      </c>
      <c r="K1141">
        <v>618240</v>
      </c>
      <c r="L1141" t="s">
        <v>10</v>
      </c>
      <c r="M1141" t="s">
        <v>7</v>
      </c>
      <c r="N1141" t="b">
        <v>0</v>
      </c>
    </row>
    <row r="1142" spans="1:14" x14ac:dyDescent="0.3">
      <c r="A1142" t="s">
        <v>27</v>
      </c>
      <c r="B1142" t="s">
        <v>10</v>
      </c>
      <c r="C1142">
        <v>33</v>
      </c>
      <c r="D1142" t="s">
        <v>98</v>
      </c>
      <c r="E1142" t="s">
        <v>99</v>
      </c>
      <c r="F1142">
        <v>50</v>
      </c>
      <c r="G1142">
        <v>8</v>
      </c>
      <c r="H1142">
        <v>0.8</v>
      </c>
      <c r="I1142" t="s">
        <v>100</v>
      </c>
      <c r="J1142">
        <v>9739400</v>
      </c>
      <c r="K1142">
        <v>7791520</v>
      </c>
      <c r="L1142" t="s">
        <v>10</v>
      </c>
      <c r="M1142" t="s">
        <v>7</v>
      </c>
      <c r="N1142" t="b">
        <v>0</v>
      </c>
    </row>
    <row r="1143" spans="1:14" x14ac:dyDescent="0.3">
      <c r="A1143" t="s">
        <v>27</v>
      </c>
      <c r="B1143" t="s">
        <v>10</v>
      </c>
      <c r="C1143">
        <v>28</v>
      </c>
      <c r="E1143" t="s">
        <v>101</v>
      </c>
      <c r="H1143">
        <v>8</v>
      </c>
      <c r="I1143" t="s">
        <v>102</v>
      </c>
      <c r="J1143">
        <v>13000000</v>
      </c>
      <c r="K1143">
        <v>104000000</v>
      </c>
      <c r="L1143" t="s">
        <v>10</v>
      </c>
      <c r="M1143" t="s">
        <v>7</v>
      </c>
      <c r="N1143" t="b">
        <v>0</v>
      </c>
    </row>
    <row r="1144" spans="1:14" x14ac:dyDescent="0.3">
      <c r="A1144" t="s">
        <v>27</v>
      </c>
      <c r="B1144" t="s">
        <v>10</v>
      </c>
      <c r="C1144">
        <v>29</v>
      </c>
      <c r="E1144" t="s">
        <v>107</v>
      </c>
      <c r="H1144">
        <v>0</v>
      </c>
      <c r="I1144" t="s">
        <v>108</v>
      </c>
      <c r="K1144">
        <v>0</v>
      </c>
      <c r="L1144" t="s">
        <v>10</v>
      </c>
      <c r="M1144" t="s">
        <v>7</v>
      </c>
      <c r="N1144" t="b">
        <v>0</v>
      </c>
    </row>
    <row r="1145" spans="1:14" x14ac:dyDescent="0.3">
      <c r="A1145" t="s">
        <v>27</v>
      </c>
      <c r="B1145" t="s">
        <v>11</v>
      </c>
      <c r="C1145">
        <v>1</v>
      </c>
      <c r="D1145" t="s">
        <v>75</v>
      </c>
      <c r="E1145" t="s">
        <v>109</v>
      </c>
      <c r="G1145">
        <v>1</v>
      </c>
      <c r="H1145">
        <v>9</v>
      </c>
      <c r="I1145" t="s">
        <v>46</v>
      </c>
      <c r="J1145">
        <v>5200000</v>
      </c>
      <c r="K1145">
        <v>46800000</v>
      </c>
      <c r="L1145" t="s">
        <v>11</v>
      </c>
      <c r="M1145" t="s">
        <v>7</v>
      </c>
      <c r="N1145" t="b">
        <v>0</v>
      </c>
    </row>
    <row r="1146" spans="1:14" x14ac:dyDescent="0.3">
      <c r="A1146" t="s">
        <v>27</v>
      </c>
      <c r="B1146" t="s">
        <v>11</v>
      </c>
      <c r="C1146">
        <v>4</v>
      </c>
      <c r="D1146" t="s">
        <v>110</v>
      </c>
      <c r="E1146" t="s">
        <v>111</v>
      </c>
      <c r="G1146">
        <v>4</v>
      </c>
      <c r="H1146">
        <v>0.5</v>
      </c>
      <c r="I1146" t="s">
        <v>46</v>
      </c>
      <c r="J1146">
        <v>22000000</v>
      </c>
      <c r="K1146">
        <v>11000000</v>
      </c>
      <c r="L1146" t="s">
        <v>11</v>
      </c>
      <c r="M1146" t="s">
        <v>7</v>
      </c>
      <c r="N1146" t="b">
        <v>0</v>
      </c>
    </row>
    <row r="1147" spans="1:14" x14ac:dyDescent="0.3">
      <c r="A1147" t="s">
        <v>27</v>
      </c>
      <c r="B1147" t="s">
        <v>11</v>
      </c>
      <c r="C1147">
        <v>5</v>
      </c>
      <c r="E1147" t="s">
        <v>112</v>
      </c>
      <c r="G1147">
        <v>20</v>
      </c>
      <c r="H1147">
        <v>20</v>
      </c>
      <c r="I1147" t="s">
        <v>61</v>
      </c>
      <c r="J1147">
        <v>26000</v>
      </c>
      <c r="K1147">
        <v>520000</v>
      </c>
      <c r="L1147" t="s">
        <v>11</v>
      </c>
      <c r="M1147" t="s">
        <v>7</v>
      </c>
      <c r="N1147" t="b">
        <v>0</v>
      </c>
    </row>
    <row r="1148" spans="1:14" x14ac:dyDescent="0.3">
      <c r="A1148" t="s">
        <v>27</v>
      </c>
      <c r="B1148" t="s">
        <v>11</v>
      </c>
      <c r="C1148">
        <v>6</v>
      </c>
      <c r="E1148" t="s">
        <v>113</v>
      </c>
      <c r="G1148">
        <v>6</v>
      </c>
      <c r="H1148">
        <v>6</v>
      </c>
      <c r="I1148" t="s">
        <v>61</v>
      </c>
      <c r="J1148">
        <v>195000</v>
      </c>
      <c r="K1148">
        <v>1170000</v>
      </c>
      <c r="L1148" t="s">
        <v>11</v>
      </c>
      <c r="M1148" t="s">
        <v>7</v>
      </c>
      <c r="N1148" t="b">
        <v>0</v>
      </c>
    </row>
    <row r="1149" spans="1:14" x14ac:dyDescent="0.3">
      <c r="A1149" t="s">
        <v>27</v>
      </c>
      <c r="B1149" t="s">
        <v>11</v>
      </c>
      <c r="C1149">
        <v>7</v>
      </c>
      <c r="E1149" t="s">
        <v>114</v>
      </c>
      <c r="G1149">
        <v>20</v>
      </c>
      <c r="H1149">
        <v>20</v>
      </c>
      <c r="I1149" t="s">
        <v>61</v>
      </c>
      <c r="J1149">
        <v>13000</v>
      </c>
      <c r="K1149">
        <v>260000</v>
      </c>
      <c r="L1149" t="s">
        <v>11</v>
      </c>
      <c r="M1149" t="s">
        <v>7</v>
      </c>
      <c r="N1149" t="b">
        <v>0</v>
      </c>
    </row>
    <row r="1150" spans="1:14" x14ac:dyDescent="0.3">
      <c r="A1150" t="s">
        <v>27</v>
      </c>
      <c r="B1150" t="s">
        <v>11</v>
      </c>
      <c r="C1150">
        <v>8</v>
      </c>
      <c r="E1150" t="s">
        <v>115</v>
      </c>
      <c r="G1150">
        <v>20</v>
      </c>
      <c r="H1150">
        <v>20</v>
      </c>
      <c r="I1150" t="s">
        <v>61</v>
      </c>
      <c r="J1150">
        <v>75000</v>
      </c>
      <c r="K1150">
        <v>1500000</v>
      </c>
      <c r="L1150" t="s">
        <v>11</v>
      </c>
      <c r="M1150" t="s">
        <v>7</v>
      </c>
      <c r="N1150" t="b">
        <v>0</v>
      </c>
    </row>
    <row r="1151" spans="1:14" x14ac:dyDescent="0.3">
      <c r="A1151" t="s">
        <v>27</v>
      </c>
      <c r="B1151" t="s">
        <v>11</v>
      </c>
      <c r="C1151">
        <v>9</v>
      </c>
      <c r="E1151" t="s">
        <v>116</v>
      </c>
      <c r="G1151">
        <v>1</v>
      </c>
      <c r="H1151">
        <v>1</v>
      </c>
      <c r="I1151" t="s">
        <v>61</v>
      </c>
      <c r="J1151">
        <v>11250000</v>
      </c>
      <c r="K1151">
        <v>11250000</v>
      </c>
      <c r="L1151" t="s">
        <v>11</v>
      </c>
      <c r="M1151" t="s">
        <v>7</v>
      </c>
      <c r="N1151" t="b">
        <v>0</v>
      </c>
    </row>
    <row r="1152" spans="1:14" x14ac:dyDescent="0.3">
      <c r="A1152" t="s">
        <v>27</v>
      </c>
      <c r="B1152" t="s">
        <v>11</v>
      </c>
      <c r="C1152">
        <v>10</v>
      </c>
      <c r="E1152" t="s">
        <v>117</v>
      </c>
      <c r="G1152">
        <v>1</v>
      </c>
      <c r="H1152">
        <v>1</v>
      </c>
      <c r="I1152" t="s">
        <v>61</v>
      </c>
      <c r="J1152">
        <v>7500000</v>
      </c>
      <c r="K1152">
        <v>7500000</v>
      </c>
      <c r="L1152" t="s">
        <v>11</v>
      </c>
      <c r="M1152" t="s">
        <v>7</v>
      </c>
      <c r="N1152" t="b">
        <v>0</v>
      </c>
    </row>
    <row r="1153" spans="1:14" x14ac:dyDescent="0.3">
      <c r="A1153" t="s">
        <v>27</v>
      </c>
      <c r="B1153" t="s">
        <v>11</v>
      </c>
      <c r="C1153">
        <v>11</v>
      </c>
      <c r="E1153" t="s">
        <v>118</v>
      </c>
      <c r="G1153">
        <v>2</v>
      </c>
      <c r="H1153">
        <v>2</v>
      </c>
      <c r="I1153" t="s">
        <v>61</v>
      </c>
      <c r="J1153">
        <v>150000</v>
      </c>
      <c r="K1153">
        <v>300000</v>
      </c>
      <c r="L1153" t="s">
        <v>11</v>
      </c>
      <c r="M1153" t="s">
        <v>7</v>
      </c>
      <c r="N1153" t="b">
        <v>0</v>
      </c>
    </row>
    <row r="1154" spans="1:14" x14ac:dyDescent="0.3">
      <c r="A1154" t="s">
        <v>27</v>
      </c>
      <c r="B1154" t="s">
        <v>11</v>
      </c>
      <c r="C1154">
        <v>12</v>
      </c>
      <c r="E1154" t="s">
        <v>119</v>
      </c>
      <c r="G1154">
        <v>2</v>
      </c>
      <c r="H1154">
        <v>2</v>
      </c>
      <c r="I1154" t="s">
        <v>61</v>
      </c>
      <c r="J1154">
        <v>100000</v>
      </c>
      <c r="K1154">
        <v>200000</v>
      </c>
      <c r="L1154" t="s">
        <v>11</v>
      </c>
      <c r="M1154" t="s">
        <v>7</v>
      </c>
      <c r="N1154" t="b">
        <v>0</v>
      </c>
    </row>
    <row r="1155" spans="1:14" x14ac:dyDescent="0.3">
      <c r="A1155" t="s">
        <v>27</v>
      </c>
      <c r="B1155" t="s">
        <v>11</v>
      </c>
      <c r="C1155">
        <v>13</v>
      </c>
      <c r="E1155" t="s">
        <v>120</v>
      </c>
      <c r="G1155">
        <v>4</v>
      </c>
      <c r="H1155">
        <v>4</v>
      </c>
      <c r="I1155" t="s">
        <v>61</v>
      </c>
      <c r="J1155">
        <v>50000</v>
      </c>
      <c r="K1155">
        <v>200000</v>
      </c>
      <c r="L1155" t="s">
        <v>11</v>
      </c>
      <c r="M1155" t="s">
        <v>7</v>
      </c>
      <c r="N1155" t="b">
        <v>0</v>
      </c>
    </row>
    <row r="1156" spans="1:14" x14ac:dyDescent="0.3">
      <c r="A1156" t="s">
        <v>27</v>
      </c>
      <c r="B1156" t="s">
        <v>11</v>
      </c>
      <c r="C1156">
        <v>14</v>
      </c>
      <c r="E1156" t="s">
        <v>121</v>
      </c>
      <c r="G1156">
        <v>2</v>
      </c>
      <c r="H1156">
        <v>2</v>
      </c>
      <c r="I1156" t="s">
        <v>61</v>
      </c>
      <c r="J1156">
        <v>100000</v>
      </c>
      <c r="K1156">
        <v>200000</v>
      </c>
      <c r="L1156" t="s">
        <v>11</v>
      </c>
      <c r="M1156" t="s">
        <v>7</v>
      </c>
      <c r="N1156" t="b">
        <v>0</v>
      </c>
    </row>
    <row r="1157" spans="1:14" x14ac:dyDescent="0.3">
      <c r="A1157" t="s">
        <v>27</v>
      </c>
      <c r="B1157" t="s">
        <v>11</v>
      </c>
      <c r="C1157">
        <v>15</v>
      </c>
      <c r="E1157" t="s">
        <v>122</v>
      </c>
      <c r="G1157">
        <v>1</v>
      </c>
      <c r="H1157">
        <v>0.1</v>
      </c>
      <c r="I1157" t="s">
        <v>46</v>
      </c>
      <c r="J1157">
        <v>4200000</v>
      </c>
      <c r="K1157">
        <v>420000</v>
      </c>
      <c r="L1157" t="s">
        <v>11</v>
      </c>
      <c r="M1157" t="s">
        <v>7</v>
      </c>
      <c r="N1157" t="b">
        <v>0</v>
      </c>
    </row>
    <row r="1158" spans="1:14" x14ac:dyDescent="0.3">
      <c r="A1158" t="s">
        <v>27</v>
      </c>
      <c r="B1158" t="s">
        <v>11</v>
      </c>
      <c r="C1158">
        <v>16</v>
      </c>
      <c r="E1158" t="s">
        <v>123</v>
      </c>
      <c r="G1158">
        <v>1</v>
      </c>
      <c r="H1158">
        <v>0.3</v>
      </c>
      <c r="I1158" t="s">
        <v>97</v>
      </c>
      <c r="K1158">
        <v>0</v>
      </c>
      <c r="L1158" t="s">
        <v>11</v>
      </c>
      <c r="M1158" t="s">
        <v>7</v>
      </c>
      <c r="N1158" t="b">
        <v>0</v>
      </c>
    </row>
    <row r="1159" spans="1:14" x14ac:dyDescent="0.3">
      <c r="A1159" t="s">
        <v>27</v>
      </c>
      <c r="B1159" t="s">
        <v>11</v>
      </c>
      <c r="C1159">
        <v>17</v>
      </c>
      <c r="E1159" t="s">
        <v>124</v>
      </c>
      <c r="G1159">
        <v>1</v>
      </c>
      <c r="H1159">
        <v>0.15</v>
      </c>
      <c r="I1159" t="s">
        <v>97</v>
      </c>
      <c r="K1159">
        <v>0</v>
      </c>
      <c r="L1159" t="s">
        <v>11</v>
      </c>
      <c r="M1159" t="s">
        <v>7</v>
      </c>
      <c r="N1159" t="b">
        <v>0</v>
      </c>
    </row>
    <row r="1160" spans="1:14" x14ac:dyDescent="0.3">
      <c r="A1160" t="s">
        <v>27</v>
      </c>
      <c r="B1160" t="s">
        <v>11</v>
      </c>
      <c r="C1160">
        <v>18</v>
      </c>
      <c r="E1160" t="s">
        <v>125</v>
      </c>
      <c r="G1160">
        <v>1</v>
      </c>
      <c r="I1160" t="s">
        <v>61</v>
      </c>
      <c r="K1160">
        <v>0</v>
      </c>
      <c r="L1160" t="s">
        <v>11</v>
      </c>
      <c r="M1160" t="s">
        <v>7</v>
      </c>
      <c r="N1160" t="b">
        <v>0</v>
      </c>
    </row>
    <row r="1161" spans="1:14" x14ac:dyDescent="0.3">
      <c r="A1161" t="s">
        <v>27</v>
      </c>
      <c r="B1161" t="s">
        <v>11</v>
      </c>
      <c r="C1161">
        <v>19</v>
      </c>
      <c r="E1161" t="s">
        <v>126</v>
      </c>
      <c r="G1161">
        <v>1</v>
      </c>
      <c r="I1161" t="s">
        <v>61</v>
      </c>
      <c r="K1161">
        <v>0</v>
      </c>
      <c r="L1161" t="s">
        <v>11</v>
      </c>
      <c r="M1161" t="s">
        <v>7</v>
      </c>
      <c r="N1161" t="b">
        <v>0</v>
      </c>
    </row>
    <row r="1162" spans="1:14" x14ac:dyDescent="0.3">
      <c r="A1162" t="s">
        <v>27</v>
      </c>
      <c r="B1162" t="s">
        <v>11</v>
      </c>
      <c r="C1162">
        <v>20</v>
      </c>
      <c r="E1162" t="s">
        <v>127</v>
      </c>
      <c r="G1162">
        <v>1</v>
      </c>
      <c r="I1162" t="s">
        <v>61</v>
      </c>
      <c r="K1162">
        <v>0</v>
      </c>
      <c r="L1162" t="s">
        <v>11</v>
      </c>
      <c r="M1162" t="s">
        <v>7</v>
      </c>
      <c r="N1162" t="b">
        <v>0</v>
      </c>
    </row>
    <row r="1163" spans="1:14" x14ac:dyDescent="0.3">
      <c r="A1163" t="s">
        <v>27</v>
      </c>
      <c r="B1163" t="s">
        <v>11</v>
      </c>
      <c r="C1163">
        <v>21</v>
      </c>
      <c r="E1163" t="s">
        <v>128</v>
      </c>
      <c r="G1163">
        <v>1</v>
      </c>
      <c r="H1163">
        <v>1</v>
      </c>
      <c r="I1163" t="s">
        <v>61</v>
      </c>
      <c r="J1163">
        <v>74000000</v>
      </c>
      <c r="K1163">
        <v>74000000</v>
      </c>
      <c r="L1163" t="s">
        <v>11</v>
      </c>
      <c r="M1163" t="s">
        <v>7</v>
      </c>
      <c r="N1163" t="b">
        <v>0</v>
      </c>
    </row>
    <row r="1164" spans="1:14" x14ac:dyDescent="0.3">
      <c r="A1164" t="s">
        <v>27</v>
      </c>
      <c r="B1164" t="s">
        <v>11</v>
      </c>
      <c r="C1164">
        <v>7</v>
      </c>
      <c r="E1164" t="s">
        <v>101</v>
      </c>
      <c r="H1164">
        <v>5</v>
      </c>
      <c r="I1164" t="s">
        <v>102</v>
      </c>
      <c r="J1164">
        <v>13000000</v>
      </c>
      <c r="K1164">
        <v>65000000</v>
      </c>
      <c r="L1164" t="s">
        <v>11</v>
      </c>
      <c r="M1164" t="s">
        <v>7</v>
      </c>
      <c r="N1164" t="b">
        <v>0</v>
      </c>
    </row>
    <row r="1165" spans="1:14" x14ac:dyDescent="0.3">
      <c r="A1165" t="s">
        <v>27</v>
      </c>
      <c r="B1165" t="s">
        <v>11</v>
      </c>
      <c r="C1165">
        <v>8</v>
      </c>
      <c r="E1165" t="s">
        <v>107</v>
      </c>
      <c r="H1165">
        <v>0</v>
      </c>
      <c r="I1165" t="s">
        <v>108</v>
      </c>
      <c r="K1165">
        <v>0</v>
      </c>
      <c r="L1165" t="s">
        <v>11</v>
      </c>
      <c r="M1165" t="s">
        <v>7</v>
      </c>
      <c r="N1165" t="b">
        <v>0</v>
      </c>
    </row>
    <row r="1166" spans="1:14" x14ac:dyDescent="0.3">
      <c r="A1166" t="s">
        <v>27</v>
      </c>
      <c r="B1166" t="s">
        <v>12</v>
      </c>
      <c r="C1166">
        <v>1</v>
      </c>
      <c r="D1166" t="s">
        <v>129</v>
      </c>
      <c r="E1166" t="s">
        <v>130</v>
      </c>
      <c r="G1166">
        <v>1</v>
      </c>
      <c r="H1166">
        <v>11</v>
      </c>
      <c r="I1166" t="s">
        <v>131</v>
      </c>
      <c r="J1166">
        <v>20700000</v>
      </c>
      <c r="K1166">
        <v>227700000</v>
      </c>
      <c r="L1166" t="s">
        <v>12</v>
      </c>
      <c r="M1166" t="s">
        <v>7</v>
      </c>
      <c r="N1166" t="b">
        <v>0</v>
      </c>
    </row>
    <row r="1167" spans="1:14" x14ac:dyDescent="0.3">
      <c r="A1167" t="s">
        <v>27</v>
      </c>
      <c r="B1167" t="s">
        <v>12</v>
      </c>
      <c r="D1167" t="s">
        <v>58</v>
      </c>
      <c r="E1167" t="s">
        <v>60</v>
      </c>
      <c r="G1167">
        <v>0</v>
      </c>
      <c r="H1167">
        <v>16</v>
      </c>
      <c r="I1167" t="s">
        <v>46</v>
      </c>
      <c r="J1167">
        <v>3600000</v>
      </c>
      <c r="K1167">
        <v>57600000</v>
      </c>
      <c r="L1167" t="s">
        <v>12</v>
      </c>
      <c r="M1167" t="s">
        <v>7</v>
      </c>
      <c r="N1167" t="b">
        <v>0</v>
      </c>
    </row>
    <row r="1168" spans="1:14" x14ac:dyDescent="0.3">
      <c r="A1168" t="s">
        <v>27</v>
      </c>
      <c r="B1168" t="s">
        <v>12</v>
      </c>
      <c r="C1168">
        <v>3</v>
      </c>
      <c r="E1168" t="s">
        <v>132</v>
      </c>
      <c r="G1168">
        <v>16</v>
      </c>
      <c r="I1168" t="s">
        <v>61</v>
      </c>
      <c r="J1168">
        <v>50000</v>
      </c>
      <c r="K1168">
        <v>800000</v>
      </c>
      <c r="L1168" t="s">
        <v>12</v>
      </c>
      <c r="M1168" t="s">
        <v>7</v>
      </c>
      <c r="N1168" t="b">
        <v>0</v>
      </c>
    </row>
    <row r="1169" spans="1:14" x14ac:dyDescent="0.3">
      <c r="A1169" t="s">
        <v>27</v>
      </c>
      <c r="B1169" t="s">
        <v>12</v>
      </c>
      <c r="C1169">
        <v>4</v>
      </c>
      <c r="E1169" t="s">
        <v>133</v>
      </c>
      <c r="G1169">
        <v>16</v>
      </c>
      <c r="I1169" t="s">
        <v>61</v>
      </c>
      <c r="J1169">
        <v>15000</v>
      </c>
      <c r="K1169">
        <v>240000</v>
      </c>
      <c r="L1169" t="s">
        <v>12</v>
      </c>
      <c r="M1169" t="s">
        <v>7</v>
      </c>
      <c r="N1169" t="b">
        <v>0</v>
      </c>
    </row>
    <row r="1170" spans="1:14" x14ac:dyDescent="0.3">
      <c r="A1170" t="s">
        <v>27</v>
      </c>
      <c r="B1170" t="s">
        <v>12</v>
      </c>
      <c r="C1170">
        <v>5</v>
      </c>
      <c r="E1170" t="s">
        <v>134</v>
      </c>
      <c r="G1170">
        <v>32</v>
      </c>
      <c r="I1170" t="s">
        <v>61</v>
      </c>
      <c r="J1170">
        <v>5000</v>
      </c>
      <c r="K1170">
        <v>160000</v>
      </c>
      <c r="L1170" t="s">
        <v>12</v>
      </c>
      <c r="M1170" t="s">
        <v>7</v>
      </c>
      <c r="N1170" t="b">
        <v>0</v>
      </c>
    </row>
    <row r="1171" spans="1:14" x14ac:dyDescent="0.3">
      <c r="A1171" t="s">
        <v>27</v>
      </c>
      <c r="B1171" t="s">
        <v>12</v>
      </c>
      <c r="C1171">
        <v>6</v>
      </c>
      <c r="E1171" t="s">
        <v>135</v>
      </c>
      <c r="G1171">
        <v>16</v>
      </c>
      <c r="I1171" t="s">
        <v>61</v>
      </c>
      <c r="J1171">
        <v>5000</v>
      </c>
      <c r="K1171">
        <v>80000</v>
      </c>
      <c r="L1171" t="s">
        <v>12</v>
      </c>
      <c r="M1171" t="s">
        <v>7</v>
      </c>
      <c r="N1171" t="b">
        <v>0</v>
      </c>
    </row>
    <row r="1172" spans="1:14" x14ac:dyDescent="0.3">
      <c r="A1172" t="s">
        <v>27</v>
      </c>
      <c r="B1172" t="s">
        <v>12</v>
      </c>
      <c r="C1172">
        <v>7</v>
      </c>
      <c r="E1172" t="s">
        <v>101</v>
      </c>
      <c r="H1172">
        <v>1</v>
      </c>
      <c r="I1172" t="s">
        <v>102</v>
      </c>
      <c r="J1172">
        <v>13000000</v>
      </c>
      <c r="K1172">
        <v>13000000</v>
      </c>
      <c r="L1172" t="s">
        <v>12</v>
      </c>
      <c r="M1172" t="s">
        <v>7</v>
      </c>
      <c r="N1172" t="b">
        <v>0</v>
      </c>
    </row>
    <row r="1173" spans="1:14" x14ac:dyDescent="0.3">
      <c r="A1173" t="s">
        <v>27</v>
      </c>
      <c r="B1173" t="s">
        <v>12</v>
      </c>
      <c r="C1173">
        <v>8</v>
      </c>
      <c r="E1173" t="s">
        <v>107</v>
      </c>
      <c r="H1173">
        <v>0</v>
      </c>
      <c r="I1173" t="s">
        <v>108</v>
      </c>
      <c r="K1173">
        <v>0</v>
      </c>
      <c r="L1173" t="s">
        <v>12</v>
      </c>
      <c r="M1173" t="s">
        <v>7</v>
      </c>
      <c r="N1173" t="b">
        <v>0</v>
      </c>
    </row>
    <row r="1174" spans="1:14" x14ac:dyDescent="0.3">
      <c r="A1174" t="s">
        <v>27</v>
      </c>
      <c r="B1174" t="s">
        <v>13</v>
      </c>
      <c r="C1174">
        <v>1</v>
      </c>
      <c r="D1174" t="s">
        <v>73</v>
      </c>
      <c r="E1174" t="s">
        <v>136</v>
      </c>
      <c r="G1174">
        <v>1</v>
      </c>
      <c r="H1174">
        <v>16</v>
      </c>
      <c r="I1174" t="s">
        <v>46</v>
      </c>
      <c r="J1174">
        <v>8500000</v>
      </c>
      <c r="K1174">
        <v>136000000</v>
      </c>
      <c r="L1174" t="s">
        <v>13</v>
      </c>
      <c r="M1174" t="s">
        <v>7</v>
      </c>
      <c r="N1174" t="b">
        <v>0</v>
      </c>
    </row>
    <row r="1175" spans="1:14" x14ac:dyDescent="0.3">
      <c r="A1175" t="s">
        <v>27</v>
      </c>
      <c r="B1175" t="s">
        <v>13</v>
      </c>
      <c r="D1175" t="s">
        <v>58</v>
      </c>
      <c r="E1175" t="s">
        <v>60</v>
      </c>
      <c r="G1175">
        <v>0</v>
      </c>
      <c r="H1175">
        <v>16</v>
      </c>
      <c r="I1175" t="s">
        <v>46</v>
      </c>
      <c r="J1175">
        <v>3600000</v>
      </c>
      <c r="K1175">
        <v>57600000</v>
      </c>
      <c r="L1175" t="s">
        <v>13</v>
      </c>
      <c r="M1175" t="s">
        <v>7</v>
      </c>
      <c r="N1175" t="b">
        <v>0</v>
      </c>
    </row>
    <row r="1176" spans="1:14" x14ac:dyDescent="0.3">
      <c r="A1176" t="s">
        <v>27</v>
      </c>
      <c r="B1176" t="s">
        <v>13</v>
      </c>
      <c r="C1176">
        <v>3</v>
      </c>
      <c r="E1176" t="s">
        <v>132</v>
      </c>
      <c r="G1176">
        <v>4</v>
      </c>
      <c r="I1176" t="s">
        <v>61</v>
      </c>
      <c r="J1176">
        <v>50000</v>
      </c>
      <c r="K1176">
        <v>200000</v>
      </c>
      <c r="L1176" t="s">
        <v>13</v>
      </c>
      <c r="M1176" t="s">
        <v>7</v>
      </c>
      <c r="N1176" t="b">
        <v>0</v>
      </c>
    </row>
    <row r="1177" spans="1:14" x14ac:dyDescent="0.3">
      <c r="A1177" t="s">
        <v>27</v>
      </c>
      <c r="B1177" t="s">
        <v>13</v>
      </c>
      <c r="C1177">
        <v>4</v>
      </c>
      <c r="E1177" t="s">
        <v>133</v>
      </c>
      <c r="G1177">
        <v>4</v>
      </c>
      <c r="I1177" t="s">
        <v>61</v>
      </c>
      <c r="J1177">
        <v>15000</v>
      </c>
      <c r="K1177">
        <v>60000</v>
      </c>
      <c r="L1177" t="s">
        <v>13</v>
      </c>
      <c r="M1177" t="s">
        <v>7</v>
      </c>
      <c r="N1177" t="b">
        <v>0</v>
      </c>
    </row>
    <row r="1178" spans="1:14" x14ac:dyDescent="0.3">
      <c r="A1178" t="s">
        <v>27</v>
      </c>
      <c r="B1178" t="s">
        <v>13</v>
      </c>
      <c r="C1178">
        <v>5</v>
      </c>
      <c r="E1178" t="s">
        <v>134</v>
      </c>
      <c r="G1178">
        <v>8</v>
      </c>
      <c r="I1178" t="s">
        <v>61</v>
      </c>
      <c r="J1178">
        <v>5000</v>
      </c>
      <c r="K1178">
        <v>40000</v>
      </c>
      <c r="L1178" t="s">
        <v>13</v>
      </c>
      <c r="M1178" t="s">
        <v>7</v>
      </c>
      <c r="N1178" t="b">
        <v>0</v>
      </c>
    </row>
    <row r="1179" spans="1:14" x14ac:dyDescent="0.3">
      <c r="A1179" t="s">
        <v>27</v>
      </c>
      <c r="B1179" t="s">
        <v>13</v>
      </c>
      <c r="C1179">
        <v>6</v>
      </c>
      <c r="E1179" t="s">
        <v>135</v>
      </c>
      <c r="G1179">
        <v>4</v>
      </c>
      <c r="I1179" t="s">
        <v>61</v>
      </c>
      <c r="J1179">
        <v>5000</v>
      </c>
      <c r="K1179">
        <v>20000</v>
      </c>
      <c r="L1179" t="s">
        <v>13</v>
      </c>
      <c r="M1179" t="s">
        <v>7</v>
      </c>
      <c r="N1179" t="b">
        <v>0</v>
      </c>
    </row>
    <row r="1180" spans="1:14" x14ac:dyDescent="0.3">
      <c r="A1180" t="s">
        <v>27</v>
      </c>
      <c r="B1180" t="s">
        <v>13</v>
      </c>
      <c r="C1180">
        <v>7</v>
      </c>
      <c r="E1180" t="s">
        <v>101</v>
      </c>
      <c r="H1180">
        <v>5</v>
      </c>
      <c r="I1180" t="s">
        <v>102</v>
      </c>
      <c r="J1180">
        <v>13000000</v>
      </c>
      <c r="K1180">
        <v>65000000</v>
      </c>
      <c r="L1180" t="s">
        <v>13</v>
      </c>
      <c r="M1180" t="s">
        <v>7</v>
      </c>
      <c r="N1180" t="b">
        <v>0</v>
      </c>
    </row>
    <row r="1181" spans="1:14" x14ac:dyDescent="0.3">
      <c r="A1181" t="s">
        <v>27</v>
      </c>
      <c r="B1181" t="s">
        <v>13</v>
      </c>
      <c r="C1181">
        <v>8</v>
      </c>
      <c r="E1181" t="s">
        <v>107</v>
      </c>
      <c r="H1181">
        <v>0</v>
      </c>
      <c r="I1181" t="s">
        <v>108</v>
      </c>
      <c r="K1181">
        <v>0</v>
      </c>
      <c r="L1181" t="s">
        <v>13</v>
      </c>
      <c r="M1181" t="s">
        <v>7</v>
      </c>
      <c r="N1181" t="b">
        <v>0</v>
      </c>
    </row>
    <row r="1182" spans="1:14" x14ac:dyDescent="0.3">
      <c r="A1182" t="s">
        <v>27</v>
      </c>
      <c r="B1182" t="s">
        <v>14</v>
      </c>
      <c r="C1182">
        <v>1</v>
      </c>
      <c r="D1182" t="s">
        <v>73</v>
      </c>
      <c r="E1182" t="s">
        <v>137</v>
      </c>
      <c r="G1182">
        <v>1</v>
      </c>
      <c r="H1182">
        <v>16</v>
      </c>
      <c r="I1182" t="s">
        <v>46</v>
      </c>
      <c r="J1182">
        <v>8500000</v>
      </c>
      <c r="K1182">
        <v>136000000</v>
      </c>
      <c r="L1182" t="s">
        <v>14</v>
      </c>
      <c r="M1182" t="s">
        <v>7</v>
      </c>
      <c r="N1182" t="b">
        <v>0</v>
      </c>
    </row>
    <row r="1183" spans="1:14" x14ac:dyDescent="0.3">
      <c r="A1183" t="s">
        <v>27</v>
      </c>
      <c r="B1183" t="s">
        <v>14</v>
      </c>
      <c r="D1183" t="s">
        <v>58</v>
      </c>
      <c r="E1183" t="s">
        <v>60</v>
      </c>
      <c r="G1183">
        <v>0</v>
      </c>
      <c r="H1183">
        <v>16</v>
      </c>
      <c r="I1183" t="s">
        <v>46</v>
      </c>
      <c r="J1183">
        <v>3600000</v>
      </c>
      <c r="K1183">
        <v>57600000</v>
      </c>
      <c r="L1183" t="s">
        <v>14</v>
      </c>
      <c r="M1183" t="s">
        <v>7</v>
      </c>
      <c r="N1183" t="b">
        <v>0</v>
      </c>
    </row>
    <row r="1184" spans="1:14" x14ac:dyDescent="0.3">
      <c r="A1184" t="s">
        <v>27</v>
      </c>
      <c r="B1184" t="s">
        <v>14</v>
      </c>
      <c r="C1184">
        <v>3</v>
      </c>
      <c r="E1184" t="s">
        <v>132</v>
      </c>
      <c r="G1184">
        <v>16</v>
      </c>
      <c r="I1184" t="s">
        <v>61</v>
      </c>
      <c r="J1184">
        <v>50000</v>
      </c>
      <c r="K1184">
        <v>800000</v>
      </c>
      <c r="L1184" t="s">
        <v>14</v>
      </c>
      <c r="M1184" t="s">
        <v>7</v>
      </c>
      <c r="N1184" t="b">
        <v>0</v>
      </c>
    </row>
    <row r="1185" spans="1:14" x14ac:dyDescent="0.3">
      <c r="A1185" t="s">
        <v>27</v>
      </c>
      <c r="B1185" t="s">
        <v>14</v>
      </c>
      <c r="C1185">
        <v>4</v>
      </c>
      <c r="E1185" t="s">
        <v>133</v>
      </c>
      <c r="G1185">
        <v>16</v>
      </c>
      <c r="I1185" t="s">
        <v>61</v>
      </c>
      <c r="J1185">
        <v>15000</v>
      </c>
      <c r="K1185">
        <v>240000</v>
      </c>
      <c r="L1185" t="s">
        <v>14</v>
      </c>
      <c r="M1185" t="s">
        <v>7</v>
      </c>
      <c r="N1185" t="b">
        <v>0</v>
      </c>
    </row>
    <row r="1186" spans="1:14" x14ac:dyDescent="0.3">
      <c r="A1186" t="s">
        <v>27</v>
      </c>
      <c r="B1186" t="s">
        <v>14</v>
      </c>
      <c r="C1186">
        <v>5</v>
      </c>
      <c r="E1186" t="s">
        <v>134</v>
      </c>
      <c r="G1186">
        <v>32</v>
      </c>
      <c r="I1186" t="s">
        <v>61</v>
      </c>
      <c r="J1186">
        <v>5000</v>
      </c>
      <c r="K1186">
        <v>160000</v>
      </c>
      <c r="L1186" t="s">
        <v>14</v>
      </c>
      <c r="M1186" t="s">
        <v>7</v>
      </c>
      <c r="N1186" t="b">
        <v>0</v>
      </c>
    </row>
    <row r="1187" spans="1:14" x14ac:dyDescent="0.3">
      <c r="A1187" t="s">
        <v>27</v>
      </c>
      <c r="B1187" t="s">
        <v>14</v>
      </c>
      <c r="C1187">
        <v>6</v>
      </c>
      <c r="E1187" t="s">
        <v>135</v>
      </c>
      <c r="G1187">
        <v>16</v>
      </c>
      <c r="I1187" t="s">
        <v>61</v>
      </c>
      <c r="J1187">
        <v>5000</v>
      </c>
      <c r="K1187">
        <v>80000</v>
      </c>
      <c r="L1187" t="s">
        <v>14</v>
      </c>
      <c r="M1187" t="s">
        <v>7</v>
      </c>
      <c r="N1187" t="b">
        <v>0</v>
      </c>
    </row>
    <row r="1188" spans="1:14" x14ac:dyDescent="0.3">
      <c r="A1188" t="s">
        <v>27</v>
      </c>
      <c r="B1188" t="s">
        <v>14</v>
      </c>
      <c r="C1188">
        <v>7</v>
      </c>
      <c r="E1188" t="s">
        <v>101</v>
      </c>
      <c r="H1188">
        <v>5</v>
      </c>
      <c r="I1188" t="s">
        <v>102</v>
      </c>
      <c r="J1188">
        <v>13000000</v>
      </c>
      <c r="K1188">
        <v>65000000</v>
      </c>
      <c r="L1188" t="s">
        <v>14</v>
      </c>
      <c r="M1188" t="s">
        <v>7</v>
      </c>
      <c r="N1188" t="b">
        <v>0</v>
      </c>
    </row>
    <row r="1189" spans="1:14" x14ac:dyDescent="0.3">
      <c r="A1189" t="s">
        <v>27</v>
      </c>
      <c r="B1189" t="s">
        <v>14</v>
      </c>
      <c r="C1189">
        <v>8</v>
      </c>
      <c r="E1189" t="s">
        <v>107</v>
      </c>
      <c r="H1189">
        <v>0</v>
      </c>
      <c r="I1189" t="s">
        <v>108</v>
      </c>
      <c r="K1189">
        <v>0</v>
      </c>
      <c r="L1189" t="s">
        <v>14</v>
      </c>
      <c r="M1189" t="s">
        <v>7</v>
      </c>
      <c r="N1189" t="b">
        <v>0</v>
      </c>
    </row>
    <row r="1190" spans="1:14" x14ac:dyDescent="0.3">
      <c r="A1190" t="s">
        <v>27</v>
      </c>
      <c r="B1190" t="s">
        <v>15</v>
      </c>
      <c r="C1190">
        <v>1</v>
      </c>
      <c r="D1190" t="s">
        <v>75</v>
      </c>
      <c r="E1190" t="s">
        <v>138</v>
      </c>
      <c r="G1190">
        <v>1</v>
      </c>
      <c r="H1190">
        <v>25</v>
      </c>
      <c r="I1190" t="s">
        <v>46</v>
      </c>
      <c r="J1190">
        <v>5200000</v>
      </c>
      <c r="K1190">
        <v>130000000</v>
      </c>
      <c r="L1190" t="s">
        <v>15</v>
      </c>
      <c r="M1190" t="s">
        <v>7</v>
      </c>
      <c r="N1190" t="b">
        <v>0</v>
      </c>
    </row>
    <row r="1191" spans="1:14" x14ac:dyDescent="0.3">
      <c r="A1191" t="s">
        <v>27</v>
      </c>
      <c r="B1191" t="s">
        <v>15</v>
      </c>
      <c r="D1191" t="s">
        <v>75</v>
      </c>
      <c r="E1191" t="s">
        <v>139</v>
      </c>
      <c r="G1191">
        <v>1</v>
      </c>
      <c r="I1191" t="s">
        <v>46</v>
      </c>
      <c r="K1191">
        <v>0</v>
      </c>
      <c r="L1191" t="s">
        <v>15</v>
      </c>
      <c r="M1191" t="s">
        <v>7</v>
      </c>
      <c r="N1191" t="b">
        <v>0</v>
      </c>
    </row>
    <row r="1192" spans="1:14" x14ac:dyDescent="0.3">
      <c r="A1192" t="s">
        <v>27</v>
      </c>
      <c r="B1192" t="s">
        <v>15</v>
      </c>
      <c r="C1192">
        <v>3</v>
      </c>
      <c r="E1192" t="s">
        <v>140</v>
      </c>
      <c r="G1192">
        <v>32</v>
      </c>
      <c r="I1192" t="s">
        <v>61</v>
      </c>
      <c r="J1192">
        <v>10000</v>
      </c>
      <c r="K1192">
        <v>320000</v>
      </c>
      <c r="L1192" t="s">
        <v>15</v>
      </c>
      <c r="M1192" t="s">
        <v>7</v>
      </c>
      <c r="N1192" t="b">
        <v>0</v>
      </c>
    </row>
    <row r="1193" spans="1:14" x14ac:dyDescent="0.3">
      <c r="A1193" t="s">
        <v>27</v>
      </c>
      <c r="B1193" t="s">
        <v>15</v>
      </c>
      <c r="C1193">
        <v>4</v>
      </c>
      <c r="E1193" t="s">
        <v>69</v>
      </c>
      <c r="G1193">
        <v>32</v>
      </c>
      <c r="I1193" t="s">
        <v>61</v>
      </c>
      <c r="J1193">
        <v>60000</v>
      </c>
      <c r="K1193">
        <v>1920000</v>
      </c>
      <c r="L1193" t="s">
        <v>15</v>
      </c>
      <c r="M1193" t="s">
        <v>7</v>
      </c>
      <c r="N1193" t="b">
        <v>0</v>
      </c>
    </row>
    <row r="1194" spans="1:14" x14ac:dyDescent="0.3">
      <c r="A1194" t="s">
        <v>27</v>
      </c>
      <c r="B1194" t="s">
        <v>15</v>
      </c>
      <c r="C1194">
        <v>5</v>
      </c>
      <c r="E1194" t="s">
        <v>141</v>
      </c>
      <c r="G1194">
        <v>32</v>
      </c>
      <c r="I1194" t="s">
        <v>61</v>
      </c>
      <c r="J1194">
        <v>60000</v>
      </c>
      <c r="K1194">
        <v>1920000</v>
      </c>
      <c r="L1194" t="s">
        <v>15</v>
      </c>
      <c r="M1194" t="s">
        <v>7</v>
      </c>
      <c r="N1194" t="b">
        <v>0</v>
      </c>
    </row>
    <row r="1195" spans="1:14" x14ac:dyDescent="0.3">
      <c r="A1195" t="s">
        <v>27</v>
      </c>
      <c r="B1195" t="s">
        <v>15</v>
      </c>
      <c r="C1195">
        <v>6</v>
      </c>
      <c r="E1195" t="s">
        <v>140</v>
      </c>
      <c r="G1195">
        <v>12</v>
      </c>
      <c r="I1195" t="s">
        <v>61</v>
      </c>
      <c r="J1195">
        <v>10000</v>
      </c>
      <c r="K1195">
        <v>120000</v>
      </c>
      <c r="L1195" t="s">
        <v>15</v>
      </c>
      <c r="M1195" t="s">
        <v>7</v>
      </c>
      <c r="N1195" t="b">
        <v>0</v>
      </c>
    </row>
    <row r="1196" spans="1:14" x14ac:dyDescent="0.3">
      <c r="A1196" t="s">
        <v>27</v>
      </c>
      <c r="B1196" t="s">
        <v>15</v>
      </c>
      <c r="C1196">
        <v>7</v>
      </c>
      <c r="E1196" t="s">
        <v>142</v>
      </c>
      <c r="G1196">
        <v>12</v>
      </c>
      <c r="I1196" t="s">
        <v>61</v>
      </c>
      <c r="J1196">
        <v>10000</v>
      </c>
      <c r="K1196">
        <v>120000</v>
      </c>
      <c r="L1196" t="s">
        <v>15</v>
      </c>
      <c r="M1196" t="s">
        <v>7</v>
      </c>
      <c r="N1196" t="b">
        <v>0</v>
      </c>
    </row>
    <row r="1197" spans="1:14" x14ac:dyDescent="0.3">
      <c r="A1197" t="s">
        <v>27</v>
      </c>
      <c r="B1197" t="s">
        <v>15</v>
      </c>
      <c r="C1197">
        <v>8</v>
      </c>
      <c r="E1197" t="s">
        <v>114</v>
      </c>
      <c r="G1197">
        <v>12</v>
      </c>
      <c r="I1197" t="s">
        <v>61</v>
      </c>
      <c r="J1197">
        <v>60000</v>
      </c>
      <c r="K1197">
        <v>720000</v>
      </c>
      <c r="L1197" t="s">
        <v>15</v>
      </c>
      <c r="M1197" t="s">
        <v>7</v>
      </c>
      <c r="N1197" t="b">
        <v>0</v>
      </c>
    </row>
    <row r="1198" spans="1:14" x14ac:dyDescent="0.3">
      <c r="A1198" t="s">
        <v>27</v>
      </c>
      <c r="B1198" t="s">
        <v>15</v>
      </c>
      <c r="C1198">
        <v>9</v>
      </c>
      <c r="E1198" t="s">
        <v>143</v>
      </c>
      <c r="G1198">
        <v>32</v>
      </c>
      <c r="I1198" t="s">
        <v>61</v>
      </c>
      <c r="J1198">
        <v>10000</v>
      </c>
      <c r="K1198">
        <v>320000</v>
      </c>
      <c r="L1198" t="s">
        <v>15</v>
      </c>
      <c r="M1198" t="s">
        <v>7</v>
      </c>
      <c r="N1198" t="b">
        <v>0</v>
      </c>
    </row>
    <row r="1199" spans="1:14" x14ac:dyDescent="0.3">
      <c r="A1199" t="s">
        <v>27</v>
      </c>
      <c r="B1199" t="s">
        <v>15</v>
      </c>
      <c r="C1199">
        <v>10</v>
      </c>
      <c r="E1199" t="s">
        <v>57</v>
      </c>
      <c r="G1199">
        <v>25</v>
      </c>
      <c r="I1199" t="s">
        <v>46</v>
      </c>
      <c r="J1199">
        <v>1430000</v>
      </c>
      <c r="K1199">
        <v>35750000</v>
      </c>
      <c r="L1199" t="s">
        <v>15</v>
      </c>
      <c r="M1199" t="s">
        <v>7</v>
      </c>
      <c r="N1199" t="b">
        <v>0</v>
      </c>
    </row>
    <row r="1200" spans="1:14" x14ac:dyDescent="0.3">
      <c r="A1200" t="s">
        <v>27</v>
      </c>
      <c r="B1200" t="s">
        <v>15</v>
      </c>
      <c r="E1200" t="s">
        <v>96</v>
      </c>
      <c r="G1200">
        <v>1</v>
      </c>
      <c r="H1200">
        <v>6</v>
      </c>
      <c r="I1200" t="s">
        <v>97</v>
      </c>
      <c r="J1200">
        <v>460000</v>
      </c>
      <c r="K1200">
        <v>2760000</v>
      </c>
      <c r="L1200" t="s">
        <v>15</v>
      </c>
      <c r="M1200" t="s">
        <v>7</v>
      </c>
      <c r="N1200" t="b">
        <v>0</v>
      </c>
    </row>
    <row r="1201" spans="1:14" x14ac:dyDescent="0.3">
      <c r="A1201" t="s">
        <v>27</v>
      </c>
      <c r="B1201" t="s">
        <v>15</v>
      </c>
      <c r="C1201">
        <v>11</v>
      </c>
      <c r="E1201" t="s">
        <v>101</v>
      </c>
      <c r="H1201">
        <v>5</v>
      </c>
      <c r="I1201" t="s">
        <v>102</v>
      </c>
      <c r="J1201">
        <v>13000000</v>
      </c>
      <c r="K1201">
        <v>65000000</v>
      </c>
      <c r="L1201" t="s">
        <v>15</v>
      </c>
      <c r="M1201" t="s">
        <v>7</v>
      </c>
      <c r="N1201" t="b">
        <v>0</v>
      </c>
    </row>
    <row r="1202" spans="1:14" x14ac:dyDescent="0.3">
      <c r="A1202" t="s">
        <v>27</v>
      </c>
      <c r="B1202" t="s">
        <v>15</v>
      </c>
      <c r="C1202">
        <v>12</v>
      </c>
      <c r="E1202" t="s">
        <v>107</v>
      </c>
      <c r="H1202">
        <v>0</v>
      </c>
      <c r="I1202" t="s">
        <v>108</v>
      </c>
      <c r="K1202">
        <v>0</v>
      </c>
      <c r="L1202" t="s">
        <v>15</v>
      </c>
      <c r="M1202" t="s">
        <v>7</v>
      </c>
      <c r="N1202" t="b">
        <v>0</v>
      </c>
    </row>
    <row r="1203" spans="1:14" x14ac:dyDescent="0.3">
      <c r="A1203" t="s">
        <v>27</v>
      </c>
      <c r="B1203" t="s">
        <v>16</v>
      </c>
      <c r="C1203">
        <v>1</v>
      </c>
      <c r="D1203" t="s">
        <v>144</v>
      </c>
      <c r="E1203" t="s">
        <v>145</v>
      </c>
      <c r="F1203" t="s">
        <v>146</v>
      </c>
      <c r="G1203">
        <v>2</v>
      </c>
      <c r="H1203">
        <v>2.8296000000000001</v>
      </c>
      <c r="I1203" t="s">
        <v>46</v>
      </c>
      <c r="J1203">
        <v>800000</v>
      </c>
      <c r="K1203">
        <v>2263680</v>
      </c>
      <c r="L1203" t="s">
        <v>16</v>
      </c>
      <c r="M1203" t="s">
        <v>7</v>
      </c>
      <c r="N1203" t="b">
        <v>0</v>
      </c>
    </row>
    <row r="1204" spans="1:14" x14ac:dyDescent="0.3">
      <c r="A1204" t="s">
        <v>27</v>
      </c>
      <c r="B1204" t="s">
        <v>16</v>
      </c>
      <c r="E1204" t="s">
        <v>147</v>
      </c>
      <c r="F1204" t="s">
        <v>148</v>
      </c>
      <c r="G1204">
        <v>2</v>
      </c>
      <c r="H1204">
        <v>0.94320000000000004</v>
      </c>
      <c r="I1204" t="s">
        <v>46</v>
      </c>
      <c r="J1204">
        <v>800000</v>
      </c>
      <c r="K1204">
        <v>754560</v>
      </c>
      <c r="L1204" t="s">
        <v>16</v>
      </c>
      <c r="M1204" t="s">
        <v>7</v>
      </c>
      <c r="N1204" t="b">
        <v>0</v>
      </c>
    </row>
    <row r="1205" spans="1:14" x14ac:dyDescent="0.3">
      <c r="A1205" t="s">
        <v>27</v>
      </c>
      <c r="B1205" t="s">
        <v>16</v>
      </c>
      <c r="E1205" t="s">
        <v>149</v>
      </c>
      <c r="G1205">
        <v>2</v>
      </c>
      <c r="I1205" t="s">
        <v>61</v>
      </c>
      <c r="J1205">
        <v>5000000</v>
      </c>
      <c r="K1205">
        <v>10000000</v>
      </c>
      <c r="L1205" t="s">
        <v>16</v>
      </c>
      <c r="M1205" t="s">
        <v>7</v>
      </c>
      <c r="N1205" t="b">
        <v>0</v>
      </c>
    </row>
    <row r="1206" spans="1:14" x14ac:dyDescent="0.3">
      <c r="A1206" t="s">
        <v>27</v>
      </c>
      <c r="B1206" t="s">
        <v>16</v>
      </c>
      <c r="C1206">
        <v>2</v>
      </c>
      <c r="E1206" t="s">
        <v>150</v>
      </c>
      <c r="F1206">
        <v>260</v>
      </c>
      <c r="G1206">
        <v>2</v>
      </c>
      <c r="H1206">
        <v>0.52</v>
      </c>
      <c r="I1206" t="s">
        <v>151</v>
      </c>
      <c r="J1206">
        <v>2000000</v>
      </c>
      <c r="K1206">
        <v>1040000</v>
      </c>
      <c r="L1206" t="s">
        <v>16</v>
      </c>
      <c r="M1206" t="s">
        <v>7</v>
      </c>
      <c r="N1206" t="b">
        <v>0</v>
      </c>
    </row>
    <row r="1207" spans="1:14" x14ac:dyDescent="0.3">
      <c r="A1207" t="s">
        <v>27</v>
      </c>
      <c r="B1207" t="s">
        <v>16</v>
      </c>
      <c r="E1207" t="s">
        <v>152</v>
      </c>
      <c r="G1207">
        <v>10</v>
      </c>
      <c r="I1207" t="s">
        <v>61</v>
      </c>
      <c r="J1207">
        <v>200000</v>
      </c>
      <c r="K1207">
        <v>2000000</v>
      </c>
      <c r="L1207" t="s">
        <v>16</v>
      </c>
      <c r="M1207" t="s">
        <v>7</v>
      </c>
      <c r="N1207" t="b">
        <v>0</v>
      </c>
    </row>
    <row r="1208" spans="1:14" x14ac:dyDescent="0.3">
      <c r="A1208" t="s">
        <v>27</v>
      </c>
      <c r="B1208" t="s">
        <v>16</v>
      </c>
      <c r="C1208">
        <v>7</v>
      </c>
      <c r="E1208" t="s">
        <v>153</v>
      </c>
      <c r="G1208">
        <v>4</v>
      </c>
      <c r="H1208">
        <v>4</v>
      </c>
      <c r="I1208" t="s">
        <v>61</v>
      </c>
      <c r="J1208">
        <v>300000</v>
      </c>
      <c r="K1208">
        <v>1200000</v>
      </c>
      <c r="L1208" t="s">
        <v>16</v>
      </c>
      <c r="M1208" t="s">
        <v>7</v>
      </c>
      <c r="N1208" t="b">
        <v>0</v>
      </c>
    </row>
    <row r="1209" spans="1:14" x14ac:dyDescent="0.3">
      <c r="A1209" t="s">
        <v>27</v>
      </c>
      <c r="B1209" t="s">
        <v>16</v>
      </c>
      <c r="C1209">
        <v>8</v>
      </c>
      <c r="E1209" t="s">
        <v>134</v>
      </c>
      <c r="G1209">
        <v>10</v>
      </c>
      <c r="H1209">
        <v>10</v>
      </c>
      <c r="I1209" t="s">
        <v>61</v>
      </c>
      <c r="J1209">
        <v>30000</v>
      </c>
      <c r="K1209">
        <v>300000</v>
      </c>
      <c r="L1209" t="s">
        <v>16</v>
      </c>
      <c r="M1209" t="s">
        <v>7</v>
      </c>
      <c r="N1209" t="b">
        <v>0</v>
      </c>
    </row>
    <row r="1210" spans="1:14" x14ac:dyDescent="0.3">
      <c r="A1210" t="s">
        <v>27</v>
      </c>
      <c r="B1210" t="s">
        <v>16</v>
      </c>
      <c r="C1210">
        <v>9</v>
      </c>
      <c r="E1210" t="s">
        <v>154</v>
      </c>
      <c r="G1210">
        <v>4</v>
      </c>
      <c r="H1210">
        <v>4</v>
      </c>
      <c r="I1210" t="s">
        <v>61</v>
      </c>
      <c r="J1210">
        <v>30000</v>
      </c>
      <c r="K1210">
        <v>120000</v>
      </c>
      <c r="L1210" t="s">
        <v>16</v>
      </c>
      <c r="M1210" t="s">
        <v>7</v>
      </c>
      <c r="N1210" t="b">
        <v>0</v>
      </c>
    </row>
    <row r="1211" spans="1:14" x14ac:dyDescent="0.3">
      <c r="A1211" t="s">
        <v>27</v>
      </c>
      <c r="B1211" t="s">
        <v>16</v>
      </c>
      <c r="C1211">
        <v>12</v>
      </c>
      <c r="E1211" t="s">
        <v>120</v>
      </c>
      <c r="G1211">
        <v>4</v>
      </c>
      <c r="H1211">
        <v>4</v>
      </c>
      <c r="I1211" t="s">
        <v>61</v>
      </c>
      <c r="J1211">
        <v>30000</v>
      </c>
      <c r="K1211">
        <v>120000</v>
      </c>
      <c r="L1211" t="s">
        <v>16</v>
      </c>
      <c r="M1211" t="s">
        <v>7</v>
      </c>
      <c r="N1211" t="b">
        <v>0</v>
      </c>
    </row>
    <row r="1212" spans="1:14" x14ac:dyDescent="0.3">
      <c r="A1212" t="s">
        <v>27</v>
      </c>
      <c r="B1212" t="s">
        <v>16</v>
      </c>
      <c r="C1212">
        <v>13</v>
      </c>
      <c r="E1212" t="s">
        <v>101</v>
      </c>
      <c r="H1212">
        <v>1</v>
      </c>
      <c r="I1212" t="s">
        <v>102</v>
      </c>
      <c r="J1212">
        <v>13000000</v>
      </c>
      <c r="K1212">
        <v>13000000</v>
      </c>
      <c r="L1212" t="s">
        <v>16</v>
      </c>
      <c r="M1212" t="s">
        <v>7</v>
      </c>
      <c r="N1212" t="b">
        <v>0</v>
      </c>
    </row>
    <row r="1213" spans="1:14" x14ac:dyDescent="0.3">
      <c r="A1213" t="s">
        <v>27</v>
      </c>
      <c r="B1213" t="s">
        <v>16</v>
      </c>
      <c r="C1213">
        <v>14</v>
      </c>
      <c r="E1213" t="s">
        <v>107</v>
      </c>
      <c r="H1213">
        <v>0</v>
      </c>
      <c r="I1213" t="s">
        <v>108</v>
      </c>
      <c r="K1213">
        <v>0</v>
      </c>
      <c r="L1213" t="s">
        <v>16</v>
      </c>
      <c r="M1213" t="s">
        <v>7</v>
      </c>
      <c r="N1213" t="b">
        <v>0</v>
      </c>
    </row>
    <row r="1214" spans="1:14" x14ac:dyDescent="0.3">
      <c r="A1214" t="s">
        <v>27</v>
      </c>
      <c r="B1214" t="s">
        <v>16</v>
      </c>
      <c r="E1214" t="s">
        <v>155</v>
      </c>
      <c r="F1214">
        <v>300</v>
      </c>
      <c r="G1214">
        <v>200</v>
      </c>
      <c r="H1214">
        <v>3</v>
      </c>
      <c r="I1214">
        <v>7.86</v>
      </c>
      <c r="K1214">
        <v>1.4148000000000001</v>
      </c>
      <c r="L1214" t="s">
        <v>16</v>
      </c>
      <c r="M1214" t="s">
        <v>7</v>
      </c>
      <c r="N1214" t="b">
        <v>0</v>
      </c>
    </row>
    <row r="1215" spans="1:14" x14ac:dyDescent="0.3">
      <c r="A1215" t="s">
        <v>27</v>
      </c>
      <c r="B1215" t="s">
        <v>16</v>
      </c>
      <c r="E1215" t="s">
        <v>156</v>
      </c>
      <c r="F1215">
        <v>200</v>
      </c>
      <c r="G1215">
        <v>100</v>
      </c>
      <c r="H1215">
        <v>3</v>
      </c>
      <c r="I1215">
        <v>7.86</v>
      </c>
      <c r="K1215">
        <v>0.47160000000000002</v>
      </c>
      <c r="L1215" t="s">
        <v>16</v>
      </c>
      <c r="M1215" t="s">
        <v>7</v>
      </c>
      <c r="N1215" t="b">
        <v>0</v>
      </c>
    </row>
    <row r="1216" spans="1:14" x14ac:dyDescent="0.3">
      <c r="A1216" t="s">
        <v>27</v>
      </c>
      <c r="B1216" t="s">
        <v>17</v>
      </c>
      <c r="C1216">
        <v>1</v>
      </c>
      <c r="D1216" t="s">
        <v>75</v>
      </c>
      <c r="E1216" t="s">
        <v>157</v>
      </c>
      <c r="G1216">
        <v>1</v>
      </c>
      <c r="H1216">
        <v>1.6485000000000001</v>
      </c>
      <c r="I1216" t="s">
        <v>46</v>
      </c>
      <c r="J1216">
        <v>700000</v>
      </c>
      <c r="K1216">
        <v>1153950</v>
      </c>
      <c r="L1216" t="s">
        <v>17</v>
      </c>
      <c r="M1216" t="s">
        <v>7</v>
      </c>
      <c r="N1216" t="b">
        <v>0</v>
      </c>
    </row>
    <row r="1217" spans="1:14" x14ac:dyDescent="0.3">
      <c r="A1217" t="s">
        <v>27</v>
      </c>
      <c r="B1217" t="s">
        <v>17</v>
      </c>
      <c r="C1217">
        <v>2</v>
      </c>
      <c r="D1217" t="s">
        <v>75</v>
      </c>
      <c r="E1217" t="s">
        <v>158</v>
      </c>
      <c r="G1217">
        <v>2</v>
      </c>
      <c r="I1217" t="s">
        <v>151</v>
      </c>
      <c r="J1217">
        <v>1200000</v>
      </c>
      <c r="K1217">
        <v>2400000</v>
      </c>
      <c r="L1217" t="s">
        <v>17</v>
      </c>
      <c r="M1217" t="s">
        <v>7</v>
      </c>
      <c r="N1217" t="b">
        <v>0</v>
      </c>
    </row>
    <row r="1218" spans="1:14" x14ac:dyDescent="0.3">
      <c r="A1218" t="s">
        <v>27</v>
      </c>
      <c r="B1218" t="s">
        <v>17</v>
      </c>
      <c r="C1218">
        <v>3</v>
      </c>
      <c r="E1218" t="s">
        <v>159</v>
      </c>
      <c r="G1218">
        <v>2</v>
      </c>
      <c r="I1218" t="s">
        <v>61</v>
      </c>
      <c r="J1218">
        <v>100000</v>
      </c>
      <c r="K1218">
        <v>200000</v>
      </c>
      <c r="L1218" t="s">
        <v>17</v>
      </c>
      <c r="M1218" t="s">
        <v>7</v>
      </c>
      <c r="N1218" t="b">
        <v>0</v>
      </c>
    </row>
    <row r="1219" spans="1:14" x14ac:dyDescent="0.3">
      <c r="A1219" t="s">
        <v>27</v>
      </c>
      <c r="B1219" t="s">
        <v>17</v>
      </c>
      <c r="C1219">
        <v>4</v>
      </c>
      <c r="E1219" t="s">
        <v>133</v>
      </c>
      <c r="G1219">
        <v>6</v>
      </c>
      <c r="I1219" t="s">
        <v>61</v>
      </c>
      <c r="J1219">
        <v>10000</v>
      </c>
      <c r="K1219">
        <v>60000</v>
      </c>
      <c r="L1219" t="s">
        <v>17</v>
      </c>
      <c r="M1219" t="s">
        <v>7</v>
      </c>
      <c r="N1219" t="b">
        <v>0</v>
      </c>
    </row>
    <row r="1220" spans="1:14" x14ac:dyDescent="0.3">
      <c r="A1220" t="s">
        <v>27</v>
      </c>
      <c r="B1220" t="s">
        <v>17</v>
      </c>
      <c r="C1220">
        <v>5</v>
      </c>
      <c r="E1220" t="s">
        <v>134</v>
      </c>
      <c r="G1220">
        <v>6</v>
      </c>
      <c r="I1220" t="s">
        <v>61</v>
      </c>
      <c r="J1220">
        <v>5000</v>
      </c>
      <c r="K1220">
        <v>30000</v>
      </c>
      <c r="L1220" t="s">
        <v>17</v>
      </c>
      <c r="M1220" t="s">
        <v>7</v>
      </c>
      <c r="N1220" t="b">
        <v>0</v>
      </c>
    </row>
    <row r="1221" spans="1:14" x14ac:dyDescent="0.3">
      <c r="A1221" t="s">
        <v>27</v>
      </c>
      <c r="B1221" t="s">
        <v>17</v>
      </c>
      <c r="C1221">
        <v>6</v>
      </c>
      <c r="E1221" t="s">
        <v>160</v>
      </c>
      <c r="G1221">
        <v>2</v>
      </c>
      <c r="I1221" t="s">
        <v>61</v>
      </c>
      <c r="J1221">
        <v>500000</v>
      </c>
      <c r="K1221">
        <v>1000000</v>
      </c>
      <c r="L1221" t="s">
        <v>17</v>
      </c>
      <c r="M1221" t="s">
        <v>7</v>
      </c>
      <c r="N1221" t="b">
        <v>0</v>
      </c>
    </row>
    <row r="1222" spans="1:14" x14ac:dyDescent="0.3">
      <c r="A1222" t="s">
        <v>27</v>
      </c>
      <c r="B1222" t="s">
        <v>17</v>
      </c>
      <c r="C1222">
        <v>7</v>
      </c>
      <c r="E1222" t="s">
        <v>161</v>
      </c>
      <c r="G1222">
        <v>2</v>
      </c>
      <c r="I1222" t="s">
        <v>61</v>
      </c>
      <c r="J1222">
        <v>10000</v>
      </c>
      <c r="K1222">
        <v>20000</v>
      </c>
      <c r="L1222" t="s">
        <v>17</v>
      </c>
      <c r="M1222" t="s">
        <v>7</v>
      </c>
      <c r="N1222" t="b">
        <v>0</v>
      </c>
    </row>
    <row r="1223" spans="1:14" x14ac:dyDescent="0.3">
      <c r="A1223" t="s">
        <v>27</v>
      </c>
      <c r="B1223" t="s">
        <v>17</v>
      </c>
      <c r="C1223">
        <v>8</v>
      </c>
      <c r="E1223" t="s">
        <v>142</v>
      </c>
      <c r="G1223">
        <v>2</v>
      </c>
      <c r="I1223" t="s">
        <v>61</v>
      </c>
      <c r="J1223">
        <v>5000</v>
      </c>
      <c r="K1223">
        <v>10000</v>
      </c>
      <c r="L1223" t="s">
        <v>17</v>
      </c>
      <c r="M1223" t="s">
        <v>7</v>
      </c>
      <c r="N1223" t="b">
        <v>0</v>
      </c>
    </row>
    <row r="1224" spans="1:14" x14ac:dyDescent="0.3">
      <c r="A1224" t="s">
        <v>27</v>
      </c>
      <c r="B1224" t="s">
        <v>17</v>
      </c>
      <c r="C1224">
        <v>9</v>
      </c>
      <c r="E1224" t="s">
        <v>114</v>
      </c>
      <c r="G1224">
        <v>2</v>
      </c>
      <c r="I1224" t="s">
        <v>61</v>
      </c>
      <c r="J1224">
        <v>60000</v>
      </c>
      <c r="K1224">
        <v>120000</v>
      </c>
      <c r="L1224" t="s">
        <v>17</v>
      </c>
      <c r="M1224" t="s">
        <v>7</v>
      </c>
      <c r="N1224" t="b">
        <v>0</v>
      </c>
    </row>
    <row r="1225" spans="1:14" x14ac:dyDescent="0.3">
      <c r="A1225" t="s">
        <v>27</v>
      </c>
      <c r="B1225" t="s">
        <v>17</v>
      </c>
      <c r="C1225">
        <v>10</v>
      </c>
      <c r="E1225" t="s">
        <v>101</v>
      </c>
      <c r="H1225">
        <v>3</v>
      </c>
      <c r="I1225" t="s">
        <v>102</v>
      </c>
      <c r="J1225">
        <v>13000000</v>
      </c>
      <c r="K1225">
        <v>39000000</v>
      </c>
      <c r="L1225" t="s">
        <v>17</v>
      </c>
      <c r="M1225" t="s">
        <v>7</v>
      </c>
      <c r="N1225" t="b">
        <v>0</v>
      </c>
    </row>
    <row r="1226" spans="1:14" x14ac:dyDescent="0.3">
      <c r="A1226" t="s">
        <v>27</v>
      </c>
      <c r="B1226" t="s">
        <v>17</v>
      </c>
      <c r="C1226">
        <v>11</v>
      </c>
      <c r="E1226" t="s">
        <v>107</v>
      </c>
      <c r="H1226">
        <v>0</v>
      </c>
      <c r="I1226" t="s">
        <v>108</v>
      </c>
      <c r="K1226">
        <v>0</v>
      </c>
      <c r="L1226" t="s">
        <v>17</v>
      </c>
      <c r="M1226" t="s">
        <v>7</v>
      </c>
      <c r="N1226" t="b">
        <v>0</v>
      </c>
    </row>
    <row r="1227" spans="1:14" x14ac:dyDescent="0.3">
      <c r="A1227" t="s">
        <v>27</v>
      </c>
      <c r="B1227" t="s">
        <v>18</v>
      </c>
      <c r="C1227">
        <v>1</v>
      </c>
      <c r="D1227" t="s">
        <v>144</v>
      </c>
      <c r="E1227" t="s">
        <v>145</v>
      </c>
      <c r="F1227" t="s">
        <v>162</v>
      </c>
      <c r="G1227">
        <v>1</v>
      </c>
      <c r="H1227">
        <v>0.58950000000000002</v>
      </c>
      <c r="I1227" t="s">
        <v>46</v>
      </c>
      <c r="J1227">
        <v>800000</v>
      </c>
      <c r="K1227">
        <v>471600</v>
      </c>
      <c r="L1227" t="s">
        <v>18</v>
      </c>
      <c r="M1227" t="s">
        <v>7</v>
      </c>
      <c r="N1227" t="b">
        <v>0</v>
      </c>
    </row>
    <row r="1228" spans="1:14" x14ac:dyDescent="0.3">
      <c r="A1228" t="s">
        <v>27</v>
      </c>
      <c r="B1228" t="s">
        <v>18</v>
      </c>
      <c r="C1228">
        <v>2</v>
      </c>
      <c r="D1228" t="s">
        <v>73</v>
      </c>
      <c r="E1228" t="s">
        <v>163</v>
      </c>
      <c r="F1228" t="s">
        <v>164</v>
      </c>
      <c r="G1228">
        <v>2</v>
      </c>
      <c r="H1228">
        <v>1.2631449600000002</v>
      </c>
      <c r="I1228" t="s">
        <v>46</v>
      </c>
      <c r="J1228">
        <v>1500000</v>
      </c>
      <c r="K1228">
        <v>3000000</v>
      </c>
      <c r="L1228" t="s">
        <v>18</v>
      </c>
      <c r="M1228" t="s">
        <v>7</v>
      </c>
      <c r="N1228" t="b">
        <v>0</v>
      </c>
    </row>
    <row r="1229" spans="1:14" x14ac:dyDescent="0.3">
      <c r="A1229" t="s">
        <v>27</v>
      </c>
      <c r="B1229" t="s">
        <v>18</v>
      </c>
      <c r="C1229">
        <v>7</v>
      </c>
      <c r="E1229" t="s">
        <v>66</v>
      </c>
      <c r="G1229">
        <v>2</v>
      </c>
      <c r="H1229">
        <v>2</v>
      </c>
      <c r="I1229" t="s">
        <v>61</v>
      </c>
      <c r="J1229">
        <v>50000</v>
      </c>
      <c r="K1229">
        <v>100000</v>
      </c>
      <c r="L1229" t="s">
        <v>18</v>
      </c>
      <c r="M1229" t="s">
        <v>7</v>
      </c>
      <c r="N1229" t="b">
        <v>0</v>
      </c>
    </row>
    <row r="1230" spans="1:14" x14ac:dyDescent="0.3">
      <c r="A1230" t="s">
        <v>27</v>
      </c>
      <c r="B1230" t="s">
        <v>18</v>
      </c>
      <c r="C1230">
        <v>8</v>
      </c>
      <c r="E1230" t="s">
        <v>141</v>
      </c>
      <c r="G1230">
        <v>4</v>
      </c>
      <c r="H1230">
        <v>4</v>
      </c>
      <c r="I1230" t="s">
        <v>61</v>
      </c>
      <c r="J1230">
        <v>30000</v>
      </c>
      <c r="K1230">
        <v>120000</v>
      </c>
      <c r="L1230" t="s">
        <v>18</v>
      </c>
      <c r="M1230" t="s">
        <v>7</v>
      </c>
      <c r="N1230" t="b">
        <v>0</v>
      </c>
    </row>
    <row r="1231" spans="1:14" x14ac:dyDescent="0.3">
      <c r="A1231" t="s">
        <v>27</v>
      </c>
      <c r="B1231" t="s">
        <v>18</v>
      </c>
      <c r="C1231">
        <v>9</v>
      </c>
      <c r="E1231" t="s">
        <v>165</v>
      </c>
      <c r="G1231">
        <v>1</v>
      </c>
      <c r="H1231">
        <v>1</v>
      </c>
      <c r="I1231" t="s">
        <v>61</v>
      </c>
      <c r="J1231">
        <v>30000</v>
      </c>
      <c r="K1231">
        <v>30000</v>
      </c>
      <c r="L1231" t="s">
        <v>18</v>
      </c>
      <c r="M1231" t="s">
        <v>7</v>
      </c>
      <c r="N1231" t="b">
        <v>0</v>
      </c>
    </row>
    <row r="1232" spans="1:14" x14ac:dyDescent="0.3">
      <c r="A1232" t="s">
        <v>27</v>
      </c>
      <c r="B1232" t="s">
        <v>18</v>
      </c>
      <c r="C1232">
        <v>13</v>
      </c>
      <c r="E1232" t="s">
        <v>101</v>
      </c>
      <c r="H1232">
        <v>1</v>
      </c>
      <c r="I1232" t="s">
        <v>102</v>
      </c>
      <c r="J1232">
        <v>13000000</v>
      </c>
      <c r="K1232">
        <v>13000000</v>
      </c>
      <c r="L1232" t="s">
        <v>18</v>
      </c>
      <c r="M1232" t="s">
        <v>7</v>
      </c>
      <c r="N1232" t="b">
        <v>0</v>
      </c>
    </row>
    <row r="1233" spans="1:14" x14ac:dyDescent="0.3">
      <c r="A1233" t="s">
        <v>27</v>
      </c>
      <c r="B1233" t="s">
        <v>18</v>
      </c>
      <c r="C1233">
        <v>14</v>
      </c>
      <c r="E1233" t="s">
        <v>107</v>
      </c>
      <c r="H1233">
        <v>0</v>
      </c>
      <c r="I1233" t="s">
        <v>108</v>
      </c>
      <c r="K1233">
        <v>0</v>
      </c>
      <c r="L1233" t="s">
        <v>18</v>
      </c>
      <c r="M1233" t="s">
        <v>7</v>
      </c>
      <c r="N1233" t="b">
        <v>0</v>
      </c>
    </row>
    <row r="1234" spans="1:14" x14ac:dyDescent="0.3">
      <c r="A1234" t="s">
        <v>27</v>
      </c>
      <c r="B1234" t="s">
        <v>18</v>
      </c>
      <c r="E1234" t="s">
        <v>155</v>
      </c>
      <c r="F1234">
        <v>300</v>
      </c>
      <c r="G1234">
        <v>100</v>
      </c>
      <c r="H1234">
        <v>2.5</v>
      </c>
      <c r="I1234">
        <v>7.86</v>
      </c>
      <c r="K1234">
        <v>0.58950000000000002</v>
      </c>
      <c r="L1234" t="s">
        <v>18</v>
      </c>
      <c r="M1234" t="s">
        <v>7</v>
      </c>
      <c r="N1234" t="b">
        <v>0</v>
      </c>
    </row>
    <row r="1235" spans="1:14" x14ac:dyDescent="0.3">
      <c r="A1235" t="s">
        <v>29</v>
      </c>
      <c r="B1235" t="s">
        <v>30</v>
      </c>
      <c r="C1235">
        <v>1</v>
      </c>
      <c r="D1235" t="s">
        <v>44</v>
      </c>
      <c r="E1235" t="s">
        <v>45</v>
      </c>
      <c r="F1235">
        <v>2735</v>
      </c>
      <c r="G1235">
        <v>2</v>
      </c>
      <c r="H1235">
        <v>7.6580000000000004</v>
      </c>
      <c r="I1235" t="s">
        <v>46</v>
      </c>
      <c r="J1235">
        <v>8500000</v>
      </c>
      <c r="K1235">
        <v>65092999.999999993</v>
      </c>
      <c r="L1235" t="s">
        <v>30</v>
      </c>
      <c r="M1235" t="s">
        <v>7</v>
      </c>
      <c r="N1235" t="b">
        <v>0</v>
      </c>
    </row>
    <row r="1236" spans="1:14" x14ac:dyDescent="0.3">
      <c r="A1236" t="s">
        <v>29</v>
      </c>
      <c r="B1236" t="s">
        <v>30</v>
      </c>
      <c r="C1236">
        <v>2</v>
      </c>
      <c r="E1236" t="s">
        <v>47</v>
      </c>
      <c r="F1236">
        <v>2735</v>
      </c>
      <c r="G1236">
        <v>1</v>
      </c>
      <c r="H1236">
        <v>3.8290000000000002</v>
      </c>
      <c r="I1236" t="s">
        <v>46</v>
      </c>
      <c r="J1236">
        <v>8500000</v>
      </c>
      <c r="K1236">
        <v>32546499.999999996</v>
      </c>
      <c r="L1236" t="s">
        <v>30</v>
      </c>
      <c r="M1236" t="s">
        <v>7</v>
      </c>
      <c r="N1236" t="b">
        <v>0</v>
      </c>
    </row>
    <row r="1237" spans="1:14" x14ac:dyDescent="0.3">
      <c r="A1237" t="s">
        <v>29</v>
      </c>
      <c r="B1237" t="s">
        <v>30</v>
      </c>
      <c r="C1237">
        <v>3</v>
      </c>
      <c r="E1237" t="s">
        <v>172</v>
      </c>
      <c r="F1237">
        <v>2703</v>
      </c>
      <c r="G1237">
        <v>4</v>
      </c>
      <c r="H1237">
        <v>28.1112</v>
      </c>
      <c r="I1237" t="s">
        <v>46</v>
      </c>
      <c r="J1237">
        <v>8500000</v>
      </c>
      <c r="K1237">
        <v>238945200</v>
      </c>
      <c r="L1237" t="s">
        <v>30</v>
      </c>
      <c r="M1237" t="s">
        <v>7</v>
      </c>
      <c r="N1237" t="b">
        <v>0</v>
      </c>
    </row>
    <row r="1238" spans="1:14" x14ac:dyDescent="0.3">
      <c r="A1238" t="s">
        <v>29</v>
      </c>
      <c r="B1238" t="s">
        <v>30</v>
      </c>
      <c r="C1238">
        <v>4</v>
      </c>
      <c r="E1238" t="s">
        <v>49</v>
      </c>
      <c r="F1238">
        <v>120</v>
      </c>
      <c r="G1238">
        <v>4</v>
      </c>
      <c r="H1238">
        <v>0.48</v>
      </c>
      <c r="I1238" t="s">
        <v>46</v>
      </c>
      <c r="J1238">
        <v>8500000</v>
      </c>
      <c r="K1238">
        <v>4080000</v>
      </c>
      <c r="L1238" t="s">
        <v>30</v>
      </c>
      <c r="M1238" t="s">
        <v>7</v>
      </c>
      <c r="N1238" t="b">
        <v>0</v>
      </c>
    </row>
    <row r="1239" spans="1:14" x14ac:dyDescent="0.3">
      <c r="A1239" t="s">
        <v>29</v>
      </c>
      <c r="B1239" t="s">
        <v>30</v>
      </c>
      <c r="C1239">
        <v>5</v>
      </c>
      <c r="E1239" t="s">
        <v>50</v>
      </c>
      <c r="F1239">
        <v>180</v>
      </c>
      <c r="G1239">
        <v>4</v>
      </c>
      <c r="H1239">
        <v>2.4552719999999999</v>
      </c>
      <c r="I1239" t="s">
        <v>46</v>
      </c>
      <c r="J1239">
        <v>8500000</v>
      </c>
      <c r="K1239">
        <v>20869812</v>
      </c>
      <c r="L1239" t="s">
        <v>30</v>
      </c>
      <c r="M1239" t="s">
        <v>7</v>
      </c>
      <c r="N1239" t="b">
        <v>0</v>
      </c>
    </row>
    <row r="1240" spans="1:14" x14ac:dyDescent="0.3">
      <c r="A1240" t="s">
        <v>29</v>
      </c>
      <c r="B1240" t="s">
        <v>30</v>
      </c>
      <c r="C1240">
        <v>6</v>
      </c>
      <c r="E1240" t="s">
        <v>51</v>
      </c>
      <c r="F1240" t="s">
        <v>173</v>
      </c>
      <c r="G1240">
        <v>8</v>
      </c>
      <c r="H1240">
        <v>67.744512000000014</v>
      </c>
      <c r="I1240" t="s">
        <v>46</v>
      </c>
      <c r="J1240">
        <v>8500000</v>
      </c>
      <c r="K1240">
        <v>575828352.00000012</v>
      </c>
      <c r="L1240" t="s">
        <v>30</v>
      </c>
      <c r="M1240" t="s">
        <v>7</v>
      </c>
      <c r="N1240" t="b">
        <v>0</v>
      </c>
    </row>
    <row r="1241" spans="1:14" x14ac:dyDescent="0.3">
      <c r="A1241" t="s">
        <v>29</v>
      </c>
      <c r="B1241" t="s">
        <v>30</v>
      </c>
      <c r="C1241">
        <v>7</v>
      </c>
      <c r="D1241" t="s">
        <v>52</v>
      </c>
      <c r="E1241" t="s">
        <v>53</v>
      </c>
      <c r="F1241">
        <v>0.13</v>
      </c>
      <c r="G1241">
        <v>9.1238399999999995</v>
      </c>
      <c r="H1241">
        <v>9.1238399999999995</v>
      </c>
      <c r="I1241" t="s">
        <v>54</v>
      </c>
      <c r="J1241">
        <v>4275000</v>
      </c>
      <c r="K1241">
        <v>39004416</v>
      </c>
      <c r="L1241" t="s">
        <v>30</v>
      </c>
      <c r="M1241" t="s">
        <v>7</v>
      </c>
      <c r="N1241" t="b">
        <v>0</v>
      </c>
    </row>
    <row r="1242" spans="1:14" x14ac:dyDescent="0.3">
      <c r="A1242" t="s">
        <v>29</v>
      </c>
      <c r="B1242" t="s">
        <v>30</v>
      </c>
      <c r="C1242">
        <v>8</v>
      </c>
      <c r="E1242" t="s">
        <v>55</v>
      </c>
      <c r="F1242">
        <v>0.35</v>
      </c>
      <c r="G1242">
        <v>4.0144896000000001</v>
      </c>
      <c r="H1242">
        <v>4.0144896000000001</v>
      </c>
      <c r="I1242" t="s">
        <v>46</v>
      </c>
      <c r="J1242">
        <v>35750000</v>
      </c>
      <c r="K1242">
        <v>143518003.20000002</v>
      </c>
      <c r="L1242" t="s">
        <v>30</v>
      </c>
      <c r="M1242" t="s">
        <v>7</v>
      </c>
      <c r="N1242" t="b">
        <v>0</v>
      </c>
    </row>
    <row r="1243" spans="1:14" x14ac:dyDescent="0.3">
      <c r="A1243" t="s">
        <v>29</v>
      </c>
      <c r="B1243" t="s">
        <v>30</v>
      </c>
      <c r="C1243">
        <v>9</v>
      </c>
      <c r="E1243" t="s">
        <v>55</v>
      </c>
      <c r="F1243">
        <v>0.2</v>
      </c>
      <c r="G1243">
        <v>0</v>
      </c>
      <c r="H1243">
        <v>0</v>
      </c>
      <c r="I1243" t="s">
        <v>46</v>
      </c>
      <c r="J1243">
        <v>45760000</v>
      </c>
      <c r="K1243">
        <v>0</v>
      </c>
      <c r="L1243" t="s">
        <v>30</v>
      </c>
      <c r="M1243" t="s">
        <v>7</v>
      </c>
      <c r="N1243" t="b">
        <v>0</v>
      </c>
    </row>
    <row r="1244" spans="1:14" x14ac:dyDescent="0.3">
      <c r="A1244" t="s">
        <v>29</v>
      </c>
      <c r="B1244" t="s">
        <v>30</v>
      </c>
      <c r="C1244">
        <v>10</v>
      </c>
      <c r="D1244" t="s">
        <v>56</v>
      </c>
      <c r="E1244" t="s">
        <v>57</v>
      </c>
      <c r="G1244">
        <v>39.598199999999999</v>
      </c>
      <c r="H1244">
        <v>39.598199999999999</v>
      </c>
      <c r="I1244" t="s">
        <v>46</v>
      </c>
      <c r="J1244">
        <v>1430000</v>
      </c>
      <c r="K1244">
        <v>56625426</v>
      </c>
      <c r="L1244" t="s">
        <v>30</v>
      </c>
      <c r="M1244" t="s">
        <v>7</v>
      </c>
      <c r="N1244" t="b">
        <v>0</v>
      </c>
    </row>
    <row r="1245" spans="1:14" x14ac:dyDescent="0.3">
      <c r="A1245" t="s">
        <v>29</v>
      </c>
      <c r="B1245" t="s">
        <v>30</v>
      </c>
      <c r="C1245">
        <v>11</v>
      </c>
      <c r="D1245" t="s">
        <v>58</v>
      </c>
      <c r="E1245" t="s">
        <v>59</v>
      </c>
      <c r="G1245">
        <v>16</v>
      </c>
      <c r="H1245">
        <v>16</v>
      </c>
      <c r="I1245" t="s">
        <v>46</v>
      </c>
      <c r="J1245">
        <v>3000000</v>
      </c>
      <c r="K1245">
        <v>48000000</v>
      </c>
      <c r="L1245" t="s">
        <v>30</v>
      </c>
      <c r="M1245" t="s">
        <v>7</v>
      </c>
      <c r="N1245" t="b">
        <v>0</v>
      </c>
    </row>
    <row r="1246" spans="1:14" x14ac:dyDescent="0.3">
      <c r="A1246" t="s">
        <v>29</v>
      </c>
      <c r="B1246" t="s">
        <v>30</v>
      </c>
      <c r="C1246">
        <v>12</v>
      </c>
      <c r="E1246" t="s">
        <v>60</v>
      </c>
      <c r="G1246">
        <v>67.744512000000014</v>
      </c>
      <c r="H1246">
        <v>67.744512000000014</v>
      </c>
      <c r="I1246" t="s">
        <v>61</v>
      </c>
      <c r="J1246">
        <v>3600000</v>
      </c>
      <c r="K1246">
        <v>243880243.20000005</v>
      </c>
      <c r="L1246" t="s">
        <v>30</v>
      </c>
      <c r="M1246" t="s">
        <v>7</v>
      </c>
      <c r="N1246" t="b">
        <v>0</v>
      </c>
    </row>
    <row r="1247" spans="1:14" x14ac:dyDescent="0.3">
      <c r="A1247" t="s">
        <v>29</v>
      </c>
      <c r="B1247" t="s">
        <v>30</v>
      </c>
      <c r="C1247">
        <v>13</v>
      </c>
      <c r="D1247" t="s">
        <v>62</v>
      </c>
      <c r="E1247" t="s">
        <v>63</v>
      </c>
      <c r="G1247">
        <v>23.76</v>
      </c>
      <c r="H1247">
        <v>23.76</v>
      </c>
      <c r="I1247" t="s">
        <v>61</v>
      </c>
      <c r="J1247">
        <v>3600000</v>
      </c>
      <c r="K1247">
        <v>85536000</v>
      </c>
      <c r="L1247" t="s">
        <v>30</v>
      </c>
      <c r="M1247" t="s">
        <v>7</v>
      </c>
      <c r="N1247" t="b">
        <v>0</v>
      </c>
    </row>
    <row r="1248" spans="1:14" x14ac:dyDescent="0.3">
      <c r="A1248" t="s">
        <v>29</v>
      </c>
      <c r="B1248" t="s">
        <v>30</v>
      </c>
      <c r="C1248">
        <v>14</v>
      </c>
      <c r="E1248" t="s">
        <v>64</v>
      </c>
      <c r="G1248">
        <v>0.4</v>
      </c>
      <c r="H1248">
        <v>0.4</v>
      </c>
      <c r="I1248" t="s">
        <v>61</v>
      </c>
      <c r="J1248">
        <v>5500000</v>
      </c>
      <c r="K1248">
        <v>2200000</v>
      </c>
      <c r="L1248" t="s">
        <v>30</v>
      </c>
      <c r="M1248" t="s">
        <v>7</v>
      </c>
      <c r="N1248" t="b">
        <v>0</v>
      </c>
    </row>
    <row r="1249" spans="1:14" x14ac:dyDescent="0.3">
      <c r="A1249" t="s">
        <v>29</v>
      </c>
      <c r="B1249" t="s">
        <v>30</v>
      </c>
      <c r="C1249">
        <v>15</v>
      </c>
      <c r="D1249" t="s">
        <v>65</v>
      </c>
      <c r="E1249" t="s">
        <v>66</v>
      </c>
      <c r="G1249" t="s">
        <v>67</v>
      </c>
      <c r="H1249" t="s">
        <v>67</v>
      </c>
      <c r="I1249" t="s">
        <v>61</v>
      </c>
      <c r="J1249">
        <v>200000</v>
      </c>
      <c r="K1249">
        <v>16000000</v>
      </c>
      <c r="L1249" t="s">
        <v>30</v>
      </c>
      <c r="M1249" t="s">
        <v>7</v>
      </c>
      <c r="N1249" t="b">
        <v>0</v>
      </c>
    </row>
    <row r="1250" spans="1:14" x14ac:dyDescent="0.3">
      <c r="A1250" t="s">
        <v>29</v>
      </c>
      <c r="B1250" t="s">
        <v>30</v>
      </c>
      <c r="C1250">
        <v>16</v>
      </c>
      <c r="E1250" t="s">
        <v>68</v>
      </c>
      <c r="G1250">
        <v>8</v>
      </c>
      <c r="H1250">
        <v>8</v>
      </c>
      <c r="I1250" t="s">
        <v>61</v>
      </c>
      <c r="J1250">
        <v>200000</v>
      </c>
      <c r="K1250">
        <v>1600000</v>
      </c>
      <c r="L1250" t="s">
        <v>30</v>
      </c>
      <c r="M1250" t="s">
        <v>7</v>
      </c>
      <c r="N1250" t="b">
        <v>0</v>
      </c>
    </row>
    <row r="1251" spans="1:14" x14ac:dyDescent="0.3">
      <c r="A1251" t="s">
        <v>29</v>
      </c>
      <c r="B1251" t="s">
        <v>30</v>
      </c>
      <c r="C1251">
        <v>17</v>
      </c>
      <c r="E1251" t="s">
        <v>69</v>
      </c>
      <c r="G1251">
        <v>88</v>
      </c>
      <c r="H1251">
        <v>88</v>
      </c>
      <c r="I1251" t="s">
        <v>61</v>
      </c>
      <c r="J1251">
        <v>200000</v>
      </c>
      <c r="K1251">
        <v>17600000</v>
      </c>
      <c r="L1251" t="s">
        <v>30</v>
      </c>
      <c r="M1251" t="s">
        <v>7</v>
      </c>
      <c r="N1251" t="b">
        <v>0</v>
      </c>
    </row>
    <row r="1252" spans="1:14" x14ac:dyDescent="0.3">
      <c r="A1252" t="s">
        <v>29</v>
      </c>
      <c r="B1252" t="s">
        <v>30</v>
      </c>
      <c r="C1252">
        <v>18</v>
      </c>
      <c r="E1252" t="s">
        <v>70</v>
      </c>
      <c r="G1252">
        <v>16</v>
      </c>
      <c r="H1252">
        <v>16</v>
      </c>
      <c r="I1252" t="s">
        <v>61</v>
      </c>
      <c r="J1252">
        <v>400000</v>
      </c>
      <c r="K1252">
        <v>6400000</v>
      </c>
      <c r="L1252" t="s">
        <v>30</v>
      </c>
      <c r="M1252" t="s">
        <v>7</v>
      </c>
      <c r="N1252" t="b">
        <v>0</v>
      </c>
    </row>
    <row r="1253" spans="1:14" x14ac:dyDescent="0.3">
      <c r="A1253" t="s">
        <v>29</v>
      </c>
      <c r="B1253" t="s">
        <v>30</v>
      </c>
      <c r="C1253">
        <v>19</v>
      </c>
      <c r="E1253" t="s">
        <v>71</v>
      </c>
      <c r="G1253">
        <v>16</v>
      </c>
      <c r="H1253">
        <v>16</v>
      </c>
      <c r="I1253" t="s">
        <v>61</v>
      </c>
      <c r="J1253">
        <v>120000</v>
      </c>
      <c r="K1253">
        <v>1920000</v>
      </c>
      <c r="L1253" t="s">
        <v>30</v>
      </c>
      <c r="M1253" t="s">
        <v>7</v>
      </c>
      <c r="N1253" t="b">
        <v>0</v>
      </c>
    </row>
    <row r="1254" spans="1:14" x14ac:dyDescent="0.3">
      <c r="A1254" t="s">
        <v>29</v>
      </c>
      <c r="B1254" t="s">
        <v>30</v>
      </c>
      <c r="C1254">
        <v>20</v>
      </c>
      <c r="E1254" t="s">
        <v>72</v>
      </c>
      <c r="G1254">
        <v>24</v>
      </c>
      <c r="H1254">
        <v>24</v>
      </c>
      <c r="I1254" t="s">
        <v>61</v>
      </c>
      <c r="J1254">
        <v>400000</v>
      </c>
      <c r="K1254">
        <v>9600000</v>
      </c>
      <c r="L1254" t="s">
        <v>30</v>
      </c>
      <c r="M1254" t="s">
        <v>7</v>
      </c>
      <c r="N1254" t="b">
        <v>0</v>
      </c>
    </row>
    <row r="1255" spans="1:14" x14ac:dyDescent="0.3">
      <c r="A1255" t="s">
        <v>29</v>
      </c>
      <c r="B1255" t="s">
        <v>30</v>
      </c>
      <c r="C1255">
        <v>21</v>
      </c>
      <c r="D1255" t="s">
        <v>73</v>
      </c>
      <c r="E1255" t="s">
        <v>74</v>
      </c>
      <c r="F1255">
        <v>132</v>
      </c>
      <c r="G1255">
        <v>16</v>
      </c>
      <c r="H1255">
        <v>9.9916185600000009</v>
      </c>
      <c r="I1255" t="s">
        <v>46</v>
      </c>
      <c r="J1255">
        <v>35000000</v>
      </c>
      <c r="K1255">
        <v>349706649.60000002</v>
      </c>
      <c r="L1255" t="s">
        <v>30</v>
      </c>
      <c r="M1255" t="s">
        <v>7</v>
      </c>
      <c r="N1255" t="b">
        <v>0</v>
      </c>
    </row>
    <row r="1256" spans="1:14" x14ac:dyDescent="0.3">
      <c r="A1256" t="s">
        <v>29</v>
      </c>
      <c r="B1256" t="s">
        <v>30</v>
      </c>
      <c r="C1256">
        <v>22</v>
      </c>
      <c r="D1256" t="s">
        <v>75</v>
      </c>
      <c r="E1256" t="s">
        <v>76</v>
      </c>
      <c r="F1256" t="s">
        <v>77</v>
      </c>
      <c r="G1256">
        <v>2</v>
      </c>
      <c r="H1256">
        <v>2.6</v>
      </c>
      <c r="I1256" t="s">
        <v>46</v>
      </c>
      <c r="J1256">
        <v>5200000</v>
      </c>
      <c r="K1256">
        <v>13520000</v>
      </c>
      <c r="L1256" t="s">
        <v>30</v>
      </c>
      <c r="M1256" t="s">
        <v>7</v>
      </c>
      <c r="N1256" t="b">
        <v>0</v>
      </c>
    </row>
    <row r="1257" spans="1:14" x14ac:dyDescent="0.3">
      <c r="A1257" t="s">
        <v>29</v>
      </c>
      <c r="B1257" t="s">
        <v>30</v>
      </c>
      <c r="C1257">
        <v>23</v>
      </c>
      <c r="E1257" t="s">
        <v>78</v>
      </c>
      <c r="F1257" t="s">
        <v>79</v>
      </c>
      <c r="G1257">
        <v>2</v>
      </c>
      <c r="H1257">
        <v>1.2</v>
      </c>
      <c r="I1257" t="s">
        <v>46</v>
      </c>
      <c r="J1257">
        <v>5200000</v>
      </c>
      <c r="K1257">
        <v>6240000</v>
      </c>
      <c r="L1257" t="s">
        <v>30</v>
      </c>
      <c r="M1257" t="s">
        <v>7</v>
      </c>
      <c r="N1257" t="b">
        <v>0</v>
      </c>
    </row>
    <row r="1258" spans="1:14" x14ac:dyDescent="0.3">
      <c r="A1258" t="s">
        <v>29</v>
      </c>
      <c r="B1258" t="s">
        <v>30</v>
      </c>
      <c r="C1258">
        <v>24</v>
      </c>
      <c r="D1258" t="s">
        <v>80</v>
      </c>
      <c r="E1258" t="s">
        <v>81</v>
      </c>
      <c r="F1258" t="s">
        <v>174</v>
      </c>
      <c r="G1258">
        <v>2</v>
      </c>
      <c r="H1258">
        <v>1.487393</v>
      </c>
      <c r="I1258" t="s">
        <v>46</v>
      </c>
      <c r="J1258">
        <v>8500000</v>
      </c>
      <c r="K1258">
        <v>12642840.5</v>
      </c>
      <c r="L1258" t="s">
        <v>30</v>
      </c>
      <c r="M1258" t="s">
        <v>7</v>
      </c>
      <c r="N1258" t="b">
        <v>0</v>
      </c>
    </row>
    <row r="1259" spans="1:14" x14ac:dyDescent="0.3">
      <c r="A1259" t="s">
        <v>29</v>
      </c>
      <c r="B1259" t="s">
        <v>30</v>
      </c>
      <c r="C1259">
        <v>25</v>
      </c>
      <c r="D1259" t="s">
        <v>83</v>
      </c>
      <c r="E1259" t="s">
        <v>84</v>
      </c>
      <c r="F1259">
        <v>0.18</v>
      </c>
      <c r="G1259">
        <v>4</v>
      </c>
      <c r="H1259">
        <v>4</v>
      </c>
      <c r="I1259" t="s">
        <v>61</v>
      </c>
      <c r="J1259">
        <v>1014000</v>
      </c>
      <c r="K1259">
        <v>4056000</v>
      </c>
      <c r="L1259" t="s">
        <v>30</v>
      </c>
      <c r="M1259" t="s">
        <v>7</v>
      </c>
      <c r="N1259" t="b">
        <v>0</v>
      </c>
    </row>
    <row r="1260" spans="1:14" x14ac:dyDescent="0.3">
      <c r="A1260" t="s">
        <v>29</v>
      </c>
      <c r="B1260" t="s">
        <v>30</v>
      </c>
      <c r="C1260">
        <v>26</v>
      </c>
      <c r="E1260" t="s">
        <v>86</v>
      </c>
      <c r="F1260">
        <v>0.2</v>
      </c>
      <c r="G1260">
        <v>6</v>
      </c>
      <c r="H1260">
        <v>6</v>
      </c>
      <c r="I1260" t="s">
        <v>61</v>
      </c>
      <c r="J1260">
        <v>1014000</v>
      </c>
      <c r="K1260">
        <v>6084000</v>
      </c>
      <c r="L1260" t="s">
        <v>30</v>
      </c>
      <c r="M1260" t="s">
        <v>7</v>
      </c>
      <c r="N1260" t="b">
        <v>0</v>
      </c>
    </row>
    <row r="1261" spans="1:14" x14ac:dyDescent="0.3">
      <c r="A1261" t="s">
        <v>29</v>
      </c>
      <c r="B1261" t="s">
        <v>30</v>
      </c>
      <c r="C1261">
        <v>27</v>
      </c>
      <c r="D1261" t="s">
        <v>88</v>
      </c>
      <c r="E1261" t="s">
        <v>89</v>
      </c>
      <c r="F1261" t="s">
        <v>90</v>
      </c>
      <c r="G1261">
        <v>2</v>
      </c>
      <c r="H1261">
        <v>2</v>
      </c>
      <c r="I1261" t="s">
        <v>61</v>
      </c>
      <c r="J1261">
        <v>100000</v>
      </c>
      <c r="K1261">
        <v>200000</v>
      </c>
      <c r="L1261" t="s">
        <v>30</v>
      </c>
      <c r="M1261" t="s">
        <v>7</v>
      </c>
      <c r="N1261" t="b">
        <v>0</v>
      </c>
    </row>
    <row r="1262" spans="1:14" x14ac:dyDescent="0.3">
      <c r="A1262" t="s">
        <v>29</v>
      </c>
      <c r="B1262" t="s">
        <v>30</v>
      </c>
      <c r="C1262">
        <v>28</v>
      </c>
      <c r="D1262" t="s">
        <v>65</v>
      </c>
      <c r="E1262" t="s">
        <v>91</v>
      </c>
      <c r="G1262">
        <v>4</v>
      </c>
      <c r="H1262">
        <v>4</v>
      </c>
      <c r="I1262" t="s">
        <v>61</v>
      </c>
      <c r="J1262">
        <v>2400000</v>
      </c>
      <c r="K1262">
        <v>9600000</v>
      </c>
      <c r="L1262" t="s">
        <v>30</v>
      </c>
      <c r="M1262" t="s">
        <v>7</v>
      </c>
      <c r="N1262" t="b">
        <v>0</v>
      </c>
    </row>
    <row r="1263" spans="1:14" x14ac:dyDescent="0.3">
      <c r="A1263" t="s">
        <v>29</v>
      </c>
      <c r="B1263" t="s">
        <v>30</v>
      </c>
      <c r="C1263">
        <v>29</v>
      </c>
      <c r="E1263" t="s">
        <v>92</v>
      </c>
      <c r="G1263">
        <v>4</v>
      </c>
      <c r="H1263">
        <v>4</v>
      </c>
      <c r="I1263" t="s">
        <v>61</v>
      </c>
      <c r="J1263">
        <v>2400000</v>
      </c>
      <c r="K1263">
        <v>9600000</v>
      </c>
      <c r="L1263" t="s">
        <v>30</v>
      </c>
      <c r="M1263" t="s">
        <v>7</v>
      </c>
      <c r="N1263" t="b">
        <v>0</v>
      </c>
    </row>
    <row r="1264" spans="1:14" x14ac:dyDescent="0.3">
      <c r="A1264" t="s">
        <v>29</v>
      </c>
      <c r="B1264" t="s">
        <v>30</v>
      </c>
      <c r="C1264">
        <v>30</v>
      </c>
      <c r="E1264" t="s">
        <v>93</v>
      </c>
      <c r="G1264">
        <v>4</v>
      </c>
      <c r="H1264">
        <v>4</v>
      </c>
      <c r="I1264" t="s">
        <v>61</v>
      </c>
      <c r="J1264">
        <v>3000000</v>
      </c>
      <c r="K1264">
        <v>12000000</v>
      </c>
      <c r="L1264" t="s">
        <v>30</v>
      </c>
      <c r="M1264" t="s">
        <v>7</v>
      </c>
      <c r="N1264" t="b">
        <v>0</v>
      </c>
    </row>
    <row r="1265" spans="1:14" x14ac:dyDescent="0.3">
      <c r="A1265" t="s">
        <v>29</v>
      </c>
      <c r="B1265" t="s">
        <v>30</v>
      </c>
      <c r="C1265">
        <v>31</v>
      </c>
      <c r="D1265" t="s">
        <v>94</v>
      </c>
      <c r="E1265" t="s">
        <v>95</v>
      </c>
      <c r="G1265">
        <v>2</v>
      </c>
      <c r="H1265">
        <v>2</v>
      </c>
      <c r="I1265" t="s">
        <v>61</v>
      </c>
      <c r="J1265">
        <v>1300000</v>
      </c>
      <c r="K1265">
        <v>2600000</v>
      </c>
      <c r="L1265" t="s">
        <v>30</v>
      </c>
      <c r="M1265" t="s">
        <v>7</v>
      </c>
      <c r="N1265" t="b">
        <v>0</v>
      </c>
    </row>
    <row r="1266" spans="1:14" x14ac:dyDescent="0.3">
      <c r="A1266" t="s">
        <v>29</v>
      </c>
      <c r="B1266" t="s">
        <v>30</v>
      </c>
      <c r="C1266">
        <v>32</v>
      </c>
      <c r="D1266" t="s">
        <v>94</v>
      </c>
      <c r="E1266" t="s">
        <v>96</v>
      </c>
      <c r="G1266">
        <v>8</v>
      </c>
      <c r="H1266">
        <v>21.623999999999999</v>
      </c>
      <c r="I1266" t="s">
        <v>97</v>
      </c>
      <c r="J1266">
        <v>460000</v>
      </c>
      <c r="K1266">
        <v>9947040</v>
      </c>
      <c r="L1266" t="s">
        <v>30</v>
      </c>
      <c r="M1266" t="s">
        <v>7</v>
      </c>
      <c r="N1266" t="b">
        <v>0</v>
      </c>
    </row>
    <row r="1267" spans="1:14" x14ac:dyDescent="0.3">
      <c r="A1267" t="s">
        <v>29</v>
      </c>
      <c r="B1267" t="s">
        <v>30</v>
      </c>
      <c r="C1267">
        <v>33</v>
      </c>
      <c r="D1267" t="s">
        <v>98</v>
      </c>
      <c r="E1267" t="s">
        <v>99</v>
      </c>
      <c r="F1267">
        <v>50</v>
      </c>
      <c r="G1267">
        <v>16</v>
      </c>
      <c r="H1267">
        <v>1.6</v>
      </c>
      <c r="I1267" t="s">
        <v>100</v>
      </c>
      <c r="J1267">
        <v>12655280.000000002</v>
      </c>
      <c r="K1267">
        <v>20248448.000000004</v>
      </c>
      <c r="L1267" t="s">
        <v>30</v>
      </c>
      <c r="M1267" t="s">
        <v>7</v>
      </c>
      <c r="N1267" t="b">
        <v>0</v>
      </c>
    </row>
    <row r="1268" spans="1:14" x14ac:dyDescent="0.3">
      <c r="A1268" t="s">
        <v>29</v>
      </c>
      <c r="B1268" t="s">
        <v>30</v>
      </c>
      <c r="C1268">
        <v>28</v>
      </c>
      <c r="E1268" t="s">
        <v>101</v>
      </c>
      <c r="H1268">
        <v>8</v>
      </c>
      <c r="I1268" t="s">
        <v>102</v>
      </c>
      <c r="J1268">
        <v>13000000</v>
      </c>
      <c r="K1268">
        <v>104000000</v>
      </c>
      <c r="L1268" t="s">
        <v>30</v>
      </c>
      <c r="M1268" t="s">
        <v>7</v>
      </c>
      <c r="N1268" t="b">
        <v>0</v>
      </c>
    </row>
    <row r="1269" spans="1:14" x14ac:dyDescent="0.3">
      <c r="A1269" t="s">
        <v>29</v>
      </c>
      <c r="B1269" t="s">
        <v>8</v>
      </c>
      <c r="C1269">
        <v>1</v>
      </c>
      <c r="D1269" t="s">
        <v>44</v>
      </c>
      <c r="E1269" t="s">
        <v>45</v>
      </c>
      <c r="F1269">
        <v>0.76800000000000002</v>
      </c>
      <c r="G1269">
        <v>2</v>
      </c>
      <c r="H1269">
        <v>2.1503999999999999</v>
      </c>
      <c r="I1269" t="s">
        <v>46</v>
      </c>
      <c r="J1269">
        <v>8500000</v>
      </c>
      <c r="K1269">
        <v>18278400</v>
      </c>
      <c r="L1269" t="s">
        <v>8</v>
      </c>
      <c r="M1269" t="s">
        <v>7</v>
      </c>
      <c r="N1269" t="b">
        <v>0</v>
      </c>
    </row>
    <row r="1270" spans="1:14" x14ac:dyDescent="0.3">
      <c r="A1270" t="s">
        <v>29</v>
      </c>
      <c r="B1270" t="s">
        <v>8</v>
      </c>
      <c r="C1270">
        <v>2</v>
      </c>
      <c r="E1270" t="s">
        <v>47</v>
      </c>
      <c r="F1270">
        <v>0.76800000000000002</v>
      </c>
      <c r="G1270">
        <v>1</v>
      </c>
      <c r="H1270">
        <v>1.0751999999999999</v>
      </c>
      <c r="I1270" t="s">
        <v>46</v>
      </c>
      <c r="J1270">
        <v>8500000</v>
      </c>
      <c r="K1270">
        <v>9139200</v>
      </c>
      <c r="L1270" t="s">
        <v>8</v>
      </c>
      <c r="M1270" t="s">
        <v>7</v>
      </c>
      <c r="N1270" t="b">
        <v>0</v>
      </c>
    </row>
    <row r="1271" spans="1:14" x14ac:dyDescent="0.3">
      <c r="A1271" t="s">
        <v>29</v>
      </c>
      <c r="B1271" t="s">
        <v>8</v>
      </c>
      <c r="C1271">
        <v>3</v>
      </c>
      <c r="E1271" t="s">
        <v>172</v>
      </c>
      <c r="F1271">
        <v>0.70299999999999996</v>
      </c>
      <c r="G1271">
        <v>4</v>
      </c>
      <c r="H1271">
        <v>7.3112000000000004</v>
      </c>
      <c r="I1271" t="s">
        <v>46</v>
      </c>
      <c r="J1271">
        <v>8500000</v>
      </c>
      <c r="K1271">
        <v>62145199.999999993</v>
      </c>
      <c r="L1271" t="s">
        <v>8</v>
      </c>
      <c r="M1271" t="s">
        <v>7</v>
      </c>
      <c r="N1271" t="b">
        <v>0</v>
      </c>
    </row>
    <row r="1272" spans="1:14" x14ac:dyDescent="0.3">
      <c r="A1272" t="s">
        <v>29</v>
      </c>
      <c r="B1272" t="s">
        <v>8</v>
      </c>
      <c r="C1272">
        <v>4</v>
      </c>
      <c r="E1272" t="s">
        <v>49</v>
      </c>
      <c r="F1272">
        <v>120</v>
      </c>
      <c r="G1272">
        <v>4</v>
      </c>
      <c r="H1272">
        <v>0.48</v>
      </c>
      <c r="I1272" t="s">
        <v>46</v>
      </c>
      <c r="J1272">
        <v>8500000</v>
      </c>
      <c r="K1272">
        <v>4080000</v>
      </c>
      <c r="L1272" t="s">
        <v>8</v>
      </c>
      <c r="M1272" t="s">
        <v>7</v>
      </c>
      <c r="N1272" t="b">
        <v>0</v>
      </c>
    </row>
    <row r="1273" spans="1:14" x14ac:dyDescent="0.3">
      <c r="A1273" t="s">
        <v>29</v>
      </c>
      <c r="B1273" t="s">
        <v>8</v>
      </c>
      <c r="C1273">
        <v>5</v>
      </c>
      <c r="E1273" t="s">
        <v>50</v>
      </c>
      <c r="F1273">
        <v>180</v>
      </c>
      <c r="G1273">
        <v>4</v>
      </c>
      <c r="H1273">
        <v>2.4552719999999999</v>
      </c>
      <c r="I1273" t="s">
        <v>46</v>
      </c>
      <c r="J1273">
        <v>8500000</v>
      </c>
      <c r="K1273">
        <v>20869812</v>
      </c>
      <c r="L1273" t="s">
        <v>8</v>
      </c>
      <c r="M1273" t="s">
        <v>7</v>
      </c>
      <c r="N1273" t="b">
        <v>0</v>
      </c>
    </row>
    <row r="1274" spans="1:14" x14ac:dyDescent="0.3">
      <c r="A1274" t="s">
        <v>29</v>
      </c>
      <c r="B1274" t="s">
        <v>8</v>
      </c>
      <c r="C1274">
        <v>6</v>
      </c>
      <c r="E1274" t="s">
        <v>51</v>
      </c>
      <c r="F1274">
        <v>0.96299999999999997</v>
      </c>
      <c r="G1274">
        <v>8</v>
      </c>
      <c r="H1274">
        <v>21.965644800000003</v>
      </c>
      <c r="I1274" t="s">
        <v>46</v>
      </c>
      <c r="J1274">
        <v>8500000</v>
      </c>
      <c r="K1274">
        <v>186707980.80000004</v>
      </c>
      <c r="L1274" t="s">
        <v>8</v>
      </c>
      <c r="M1274" t="s">
        <v>7</v>
      </c>
      <c r="N1274" t="b">
        <v>0</v>
      </c>
    </row>
    <row r="1275" spans="1:14" x14ac:dyDescent="0.3">
      <c r="A1275" t="s">
        <v>29</v>
      </c>
      <c r="B1275" t="s">
        <v>8</v>
      </c>
      <c r="C1275">
        <v>7</v>
      </c>
      <c r="D1275" t="s">
        <v>52</v>
      </c>
      <c r="E1275" t="s">
        <v>53</v>
      </c>
      <c r="F1275">
        <v>0.13</v>
      </c>
      <c r="G1275">
        <v>2.9583359999999996</v>
      </c>
      <c r="H1275">
        <v>2.9583359999999996</v>
      </c>
      <c r="I1275" t="s">
        <v>54</v>
      </c>
      <c r="J1275">
        <v>4275000</v>
      </c>
      <c r="K1275">
        <v>12646886.4</v>
      </c>
      <c r="L1275" t="s">
        <v>8</v>
      </c>
      <c r="M1275" t="s">
        <v>7</v>
      </c>
      <c r="N1275" t="b">
        <v>0</v>
      </c>
    </row>
    <row r="1276" spans="1:14" x14ac:dyDescent="0.3">
      <c r="A1276" t="s">
        <v>29</v>
      </c>
      <c r="B1276" t="s">
        <v>8</v>
      </c>
      <c r="C1276">
        <v>8</v>
      </c>
      <c r="E1276" t="s">
        <v>55</v>
      </c>
      <c r="F1276">
        <v>0.35</v>
      </c>
      <c r="G1276">
        <v>0</v>
      </c>
      <c r="H1276">
        <v>0</v>
      </c>
      <c r="I1276" t="s">
        <v>46</v>
      </c>
      <c r="J1276">
        <v>35750000</v>
      </c>
      <c r="K1276">
        <v>0</v>
      </c>
      <c r="L1276" t="s">
        <v>8</v>
      </c>
      <c r="M1276" t="s">
        <v>7</v>
      </c>
      <c r="N1276" t="b">
        <v>0</v>
      </c>
    </row>
    <row r="1277" spans="1:14" x14ac:dyDescent="0.3">
      <c r="A1277" t="s">
        <v>29</v>
      </c>
      <c r="B1277" t="s">
        <v>8</v>
      </c>
      <c r="C1277">
        <v>9</v>
      </c>
      <c r="E1277" t="s">
        <v>55</v>
      </c>
      <c r="F1277">
        <v>0.2</v>
      </c>
      <c r="G1277">
        <v>1.4791679999999998</v>
      </c>
      <c r="H1277">
        <v>1.4791679999999998</v>
      </c>
      <c r="I1277" t="s">
        <v>46</v>
      </c>
      <c r="J1277">
        <v>45760000</v>
      </c>
      <c r="K1277">
        <v>67686727.679999992</v>
      </c>
      <c r="L1277" t="s">
        <v>8</v>
      </c>
      <c r="M1277" t="s">
        <v>7</v>
      </c>
      <c r="N1277" t="b">
        <v>0</v>
      </c>
    </row>
    <row r="1278" spans="1:14" x14ac:dyDescent="0.3">
      <c r="A1278" t="s">
        <v>29</v>
      </c>
      <c r="B1278" t="s">
        <v>8</v>
      </c>
      <c r="C1278">
        <v>10</v>
      </c>
      <c r="D1278" t="s">
        <v>56</v>
      </c>
      <c r="E1278" t="s">
        <v>57</v>
      </c>
      <c r="G1278">
        <v>10.536799999999999</v>
      </c>
      <c r="H1278">
        <v>10.536799999999999</v>
      </c>
      <c r="I1278" t="s">
        <v>61</v>
      </c>
      <c r="J1278">
        <v>1430000</v>
      </c>
      <c r="K1278">
        <v>15067624</v>
      </c>
      <c r="L1278" t="s">
        <v>8</v>
      </c>
      <c r="M1278" t="s">
        <v>7</v>
      </c>
      <c r="N1278" t="b">
        <v>0</v>
      </c>
    </row>
    <row r="1279" spans="1:14" x14ac:dyDescent="0.3">
      <c r="A1279" t="s">
        <v>29</v>
      </c>
      <c r="B1279" t="s">
        <v>8</v>
      </c>
      <c r="C1279">
        <v>11</v>
      </c>
      <c r="D1279" t="s">
        <v>58</v>
      </c>
      <c r="E1279" t="s">
        <v>59</v>
      </c>
      <c r="G1279">
        <v>16</v>
      </c>
      <c r="H1279">
        <v>16</v>
      </c>
      <c r="I1279" t="s">
        <v>46</v>
      </c>
      <c r="J1279">
        <v>3000000</v>
      </c>
      <c r="K1279">
        <v>48000000</v>
      </c>
      <c r="L1279" t="s">
        <v>8</v>
      </c>
      <c r="M1279" t="s">
        <v>7</v>
      </c>
      <c r="N1279" t="b">
        <v>0</v>
      </c>
    </row>
    <row r="1280" spans="1:14" x14ac:dyDescent="0.3">
      <c r="A1280" t="s">
        <v>29</v>
      </c>
      <c r="B1280" t="s">
        <v>8</v>
      </c>
      <c r="C1280">
        <v>12</v>
      </c>
      <c r="E1280" t="s">
        <v>60</v>
      </c>
      <c r="G1280">
        <v>21.965644800000003</v>
      </c>
      <c r="H1280">
        <v>21.965644800000003</v>
      </c>
      <c r="I1280" t="s">
        <v>61</v>
      </c>
      <c r="J1280">
        <v>3600000</v>
      </c>
      <c r="K1280">
        <v>79076321.280000016</v>
      </c>
      <c r="L1280" t="s">
        <v>8</v>
      </c>
      <c r="M1280" t="s">
        <v>7</v>
      </c>
      <c r="N1280" t="b">
        <v>0</v>
      </c>
    </row>
    <row r="1281" spans="1:14" x14ac:dyDescent="0.3">
      <c r="A1281" t="s">
        <v>29</v>
      </c>
      <c r="B1281" t="s">
        <v>8</v>
      </c>
      <c r="C1281">
        <v>13</v>
      </c>
      <c r="D1281" t="s">
        <v>62</v>
      </c>
      <c r="E1281" t="s">
        <v>63</v>
      </c>
      <c r="G1281">
        <v>7.7039999999999997</v>
      </c>
      <c r="H1281">
        <v>7.7039999999999997</v>
      </c>
      <c r="I1281" t="s">
        <v>61</v>
      </c>
      <c r="J1281">
        <v>3600000</v>
      </c>
      <c r="K1281">
        <v>27734400</v>
      </c>
      <c r="L1281" t="s">
        <v>8</v>
      </c>
      <c r="M1281" t="s">
        <v>7</v>
      </c>
      <c r="N1281" t="b">
        <v>0</v>
      </c>
    </row>
    <row r="1282" spans="1:14" x14ac:dyDescent="0.3">
      <c r="A1282" t="s">
        <v>29</v>
      </c>
      <c r="B1282" t="s">
        <v>8</v>
      </c>
      <c r="C1282">
        <v>14</v>
      </c>
      <c r="E1282" t="s">
        <v>64</v>
      </c>
      <c r="G1282">
        <v>0.4</v>
      </c>
      <c r="H1282">
        <v>0.4</v>
      </c>
      <c r="I1282" t="s">
        <v>61</v>
      </c>
      <c r="J1282">
        <v>5500000</v>
      </c>
      <c r="K1282">
        <v>2200000</v>
      </c>
      <c r="L1282" t="s">
        <v>8</v>
      </c>
      <c r="M1282" t="s">
        <v>7</v>
      </c>
      <c r="N1282" t="b">
        <v>0</v>
      </c>
    </row>
    <row r="1283" spans="1:14" x14ac:dyDescent="0.3">
      <c r="A1283" t="s">
        <v>29</v>
      </c>
      <c r="B1283" t="s">
        <v>8</v>
      </c>
      <c r="C1283">
        <v>15</v>
      </c>
      <c r="D1283" t="s">
        <v>65</v>
      </c>
      <c r="E1283" t="s">
        <v>66</v>
      </c>
      <c r="G1283">
        <v>20</v>
      </c>
      <c r="H1283">
        <v>20</v>
      </c>
      <c r="I1283" t="s">
        <v>61</v>
      </c>
      <c r="J1283">
        <v>200000</v>
      </c>
      <c r="K1283">
        <v>4000000</v>
      </c>
      <c r="L1283" t="s">
        <v>8</v>
      </c>
      <c r="M1283" t="s">
        <v>7</v>
      </c>
      <c r="N1283" t="b">
        <v>0</v>
      </c>
    </row>
    <row r="1284" spans="1:14" x14ac:dyDescent="0.3">
      <c r="A1284" t="s">
        <v>29</v>
      </c>
      <c r="B1284" t="s">
        <v>8</v>
      </c>
      <c r="C1284">
        <v>16</v>
      </c>
      <c r="E1284" t="s">
        <v>68</v>
      </c>
      <c r="G1284">
        <v>8</v>
      </c>
      <c r="H1284">
        <v>8</v>
      </c>
      <c r="I1284" t="s">
        <v>61</v>
      </c>
      <c r="J1284">
        <v>200000</v>
      </c>
      <c r="K1284">
        <v>1600000</v>
      </c>
      <c r="L1284" t="s">
        <v>8</v>
      </c>
      <c r="M1284" t="s">
        <v>7</v>
      </c>
      <c r="N1284" t="b">
        <v>0</v>
      </c>
    </row>
    <row r="1285" spans="1:14" x14ac:dyDescent="0.3">
      <c r="A1285" t="s">
        <v>29</v>
      </c>
      <c r="B1285" t="s">
        <v>8</v>
      </c>
      <c r="C1285">
        <v>17</v>
      </c>
      <c r="E1285" t="s">
        <v>69</v>
      </c>
      <c r="G1285">
        <v>28</v>
      </c>
      <c r="H1285">
        <v>28</v>
      </c>
      <c r="I1285" t="s">
        <v>61</v>
      </c>
      <c r="J1285">
        <v>200000</v>
      </c>
      <c r="K1285">
        <v>5600000</v>
      </c>
      <c r="L1285" t="s">
        <v>8</v>
      </c>
      <c r="M1285" t="s">
        <v>7</v>
      </c>
      <c r="N1285" t="b">
        <v>0</v>
      </c>
    </row>
    <row r="1286" spans="1:14" x14ac:dyDescent="0.3">
      <c r="A1286" t="s">
        <v>29</v>
      </c>
      <c r="B1286" t="s">
        <v>8</v>
      </c>
      <c r="C1286">
        <v>18</v>
      </c>
      <c r="E1286" t="s">
        <v>70</v>
      </c>
      <c r="G1286">
        <v>16</v>
      </c>
      <c r="H1286">
        <v>16</v>
      </c>
      <c r="I1286" t="s">
        <v>61</v>
      </c>
      <c r="J1286">
        <v>400000</v>
      </c>
      <c r="K1286">
        <v>6400000</v>
      </c>
      <c r="L1286" t="s">
        <v>8</v>
      </c>
      <c r="M1286" t="s">
        <v>7</v>
      </c>
      <c r="N1286" t="b">
        <v>0</v>
      </c>
    </row>
    <row r="1287" spans="1:14" x14ac:dyDescent="0.3">
      <c r="A1287" t="s">
        <v>29</v>
      </c>
      <c r="B1287" t="s">
        <v>8</v>
      </c>
      <c r="C1287">
        <v>19</v>
      </c>
      <c r="E1287" t="s">
        <v>71</v>
      </c>
      <c r="G1287">
        <v>16</v>
      </c>
      <c r="H1287">
        <v>16</v>
      </c>
      <c r="I1287" t="s">
        <v>61</v>
      </c>
      <c r="J1287">
        <v>120000</v>
      </c>
      <c r="K1287">
        <v>1920000</v>
      </c>
      <c r="L1287" t="s">
        <v>8</v>
      </c>
      <c r="M1287" t="s">
        <v>7</v>
      </c>
      <c r="N1287" t="b">
        <v>0</v>
      </c>
    </row>
    <row r="1288" spans="1:14" x14ac:dyDescent="0.3">
      <c r="A1288" t="s">
        <v>29</v>
      </c>
      <c r="B1288" t="s">
        <v>8</v>
      </c>
      <c r="C1288">
        <v>20</v>
      </c>
      <c r="E1288" t="s">
        <v>72</v>
      </c>
      <c r="G1288">
        <v>24</v>
      </c>
      <c r="H1288">
        <v>24</v>
      </c>
      <c r="I1288" t="s">
        <v>61</v>
      </c>
      <c r="J1288">
        <v>400000</v>
      </c>
      <c r="K1288">
        <v>9600000</v>
      </c>
      <c r="L1288" t="s">
        <v>8</v>
      </c>
      <c r="M1288" t="s">
        <v>7</v>
      </c>
      <c r="N1288" t="b">
        <v>0</v>
      </c>
    </row>
    <row r="1289" spans="1:14" x14ac:dyDescent="0.3">
      <c r="A1289" t="s">
        <v>29</v>
      </c>
      <c r="B1289" t="s">
        <v>8</v>
      </c>
      <c r="C1289">
        <v>21</v>
      </c>
      <c r="D1289" t="s">
        <v>73</v>
      </c>
      <c r="E1289" t="s">
        <v>74</v>
      </c>
      <c r="F1289">
        <v>132</v>
      </c>
      <c r="G1289">
        <v>16</v>
      </c>
      <c r="H1289">
        <v>9.9916185600000009</v>
      </c>
      <c r="I1289" t="s">
        <v>46</v>
      </c>
      <c r="J1289">
        <v>35000000</v>
      </c>
      <c r="K1289">
        <v>349706649.60000002</v>
      </c>
      <c r="L1289" t="s">
        <v>8</v>
      </c>
      <c r="M1289" t="s">
        <v>7</v>
      </c>
      <c r="N1289" t="b">
        <v>0</v>
      </c>
    </row>
    <row r="1290" spans="1:14" x14ac:dyDescent="0.3">
      <c r="A1290" t="s">
        <v>29</v>
      </c>
      <c r="B1290" t="s">
        <v>8</v>
      </c>
      <c r="C1290">
        <v>22</v>
      </c>
      <c r="D1290" t="s">
        <v>75</v>
      </c>
      <c r="E1290" t="s">
        <v>76</v>
      </c>
      <c r="F1290" t="s">
        <v>77</v>
      </c>
      <c r="G1290">
        <v>2</v>
      </c>
      <c r="H1290">
        <v>2.6</v>
      </c>
      <c r="I1290" t="s">
        <v>46</v>
      </c>
      <c r="J1290">
        <v>5200000</v>
      </c>
      <c r="K1290">
        <v>13520000</v>
      </c>
      <c r="L1290" t="s">
        <v>8</v>
      </c>
      <c r="M1290" t="s">
        <v>7</v>
      </c>
      <c r="N1290" t="b">
        <v>0</v>
      </c>
    </row>
    <row r="1291" spans="1:14" x14ac:dyDescent="0.3">
      <c r="A1291" t="s">
        <v>29</v>
      </c>
      <c r="B1291" t="s">
        <v>8</v>
      </c>
      <c r="C1291">
        <v>23</v>
      </c>
      <c r="E1291" t="s">
        <v>78</v>
      </c>
      <c r="F1291" t="s">
        <v>79</v>
      </c>
      <c r="G1291">
        <v>2</v>
      </c>
      <c r="H1291">
        <v>1.2</v>
      </c>
      <c r="I1291" t="s">
        <v>46</v>
      </c>
      <c r="J1291">
        <v>5200000</v>
      </c>
      <c r="K1291">
        <v>6240000</v>
      </c>
      <c r="L1291" t="s">
        <v>8</v>
      </c>
      <c r="M1291" t="s">
        <v>7</v>
      </c>
      <c r="N1291" t="b">
        <v>0</v>
      </c>
    </row>
    <row r="1292" spans="1:14" x14ac:dyDescent="0.3">
      <c r="A1292" t="s">
        <v>29</v>
      </c>
      <c r="B1292" t="s">
        <v>8</v>
      </c>
      <c r="C1292">
        <v>24</v>
      </c>
      <c r="D1292" t="s">
        <v>80</v>
      </c>
      <c r="E1292" t="s">
        <v>81</v>
      </c>
      <c r="F1292" t="s">
        <v>82</v>
      </c>
      <c r="G1292">
        <v>2</v>
      </c>
      <c r="H1292">
        <v>1.487393</v>
      </c>
      <c r="I1292" t="s">
        <v>46</v>
      </c>
      <c r="J1292">
        <v>8500000</v>
      </c>
      <c r="K1292">
        <v>12642840.5</v>
      </c>
      <c r="L1292" t="s">
        <v>8</v>
      </c>
      <c r="M1292" t="s">
        <v>7</v>
      </c>
      <c r="N1292" t="b">
        <v>0</v>
      </c>
    </row>
    <row r="1293" spans="1:14" x14ac:dyDescent="0.3">
      <c r="A1293" t="s">
        <v>29</v>
      </c>
      <c r="B1293" t="s">
        <v>8</v>
      </c>
      <c r="C1293">
        <v>25</v>
      </c>
      <c r="D1293" t="s">
        <v>83</v>
      </c>
      <c r="E1293" t="s">
        <v>84</v>
      </c>
      <c r="F1293">
        <v>0.18</v>
      </c>
      <c r="G1293">
        <v>4</v>
      </c>
      <c r="H1293">
        <v>4</v>
      </c>
      <c r="I1293" t="s">
        <v>61</v>
      </c>
      <c r="J1293">
        <v>1014000</v>
      </c>
      <c r="K1293">
        <v>4056000</v>
      </c>
      <c r="L1293" t="s">
        <v>8</v>
      </c>
      <c r="M1293" t="s">
        <v>7</v>
      </c>
      <c r="N1293" t="b">
        <v>0</v>
      </c>
    </row>
    <row r="1294" spans="1:14" x14ac:dyDescent="0.3">
      <c r="A1294" t="s">
        <v>29</v>
      </c>
      <c r="B1294" t="s">
        <v>8</v>
      </c>
      <c r="C1294">
        <v>26</v>
      </c>
      <c r="E1294" t="s">
        <v>86</v>
      </c>
      <c r="F1294">
        <v>0.2</v>
      </c>
      <c r="G1294">
        <v>6</v>
      </c>
      <c r="H1294">
        <v>6</v>
      </c>
      <c r="I1294" t="s">
        <v>61</v>
      </c>
      <c r="J1294">
        <v>1014000</v>
      </c>
      <c r="K1294">
        <v>6084000</v>
      </c>
      <c r="L1294" t="s">
        <v>8</v>
      </c>
      <c r="M1294" t="s">
        <v>7</v>
      </c>
      <c r="N1294" t="b">
        <v>0</v>
      </c>
    </row>
    <row r="1295" spans="1:14" x14ac:dyDescent="0.3">
      <c r="A1295" t="s">
        <v>29</v>
      </c>
      <c r="B1295" t="s">
        <v>8</v>
      </c>
      <c r="C1295">
        <v>27</v>
      </c>
      <c r="D1295" t="s">
        <v>88</v>
      </c>
      <c r="E1295" t="s">
        <v>89</v>
      </c>
      <c r="F1295" t="s">
        <v>90</v>
      </c>
      <c r="G1295">
        <v>2</v>
      </c>
      <c r="H1295">
        <v>2</v>
      </c>
      <c r="I1295" t="s">
        <v>61</v>
      </c>
      <c r="J1295">
        <v>100000</v>
      </c>
      <c r="K1295">
        <v>200000</v>
      </c>
      <c r="L1295" t="s">
        <v>8</v>
      </c>
      <c r="M1295" t="s">
        <v>7</v>
      </c>
      <c r="N1295" t="b">
        <v>0</v>
      </c>
    </row>
    <row r="1296" spans="1:14" x14ac:dyDescent="0.3">
      <c r="A1296" t="s">
        <v>29</v>
      </c>
      <c r="B1296" t="s">
        <v>8</v>
      </c>
      <c r="C1296">
        <v>28</v>
      </c>
      <c r="D1296" t="s">
        <v>65</v>
      </c>
      <c r="E1296" t="s">
        <v>91</v>
      </c>
      <c r="G1296">
        <v>4</v>
      </c>
      <c r="H1296">
        <v>4</v>
      </c>
      <c r="I1296" t="s">
        <v>61</v>
      </c>
      <c r="J1296">
        <v>2400000</v>
      </c>
      <c r="K1296">
        <v>9600000</v>
      </c>
      <c r="L1296" t="s">
        <v>8</v>
      </c>
      <c r="M1296" t="s">
        <v>7</v>
      </c>
      <c r="N1296" t="b">
        <v>0</v>
      </c>
    </row>
    <row r="1297" spans="1:14" x14ac:dyDescent="0.3">
      <c r="A1297" t="s">
        <v>29</v>
      </c>
      <c r="B1297" t="s">
        <v>8</v>
      </c>
      <c r="C1297">
        <v>29</v>
      </c>
      <c r="E1297" t="s">
        <v>92</v>
      </c>
      <c r="G1297">
        <v>4</v>
      </c>
      <c r="H1297">
        <v>4</v>
      </c>
      <c r="I1297" t="s">
        <v>61</v>
      </c>
      <c r="J1297">
        <v>2400000</v>
      </c>
      <c r="K1297">
        <v>9600000</v>
      </c>
      <c r="L1297" t="s">
        <v>8</v>
      </c>
      <c r="M1297" t="s">
        <v>7</v>
      </c>
      <c r="N1297" t="b">
        <v>0</v>
      </c>
    </row>
    <row r="1298" spans="1:14" x14ac:dyDescent="0.3">
      <c r="A1298" t="s">
        <v>29</v>
      </c>
      <c r="B1298" t="s">
        <v>8</v>
      </c>
      <c r="C1298">
        <v>30</v>
      </c>
      <c r="E1298" t="s">
        <v>93</v>
      </c>
      <c r="G1298">
        <v>4</v>
      </c>
      <c r="H1298">
        <v>4</v>
      </c>
      <c r="I1298" t="s">
        <v>61</v>
      </c>
      <c r="J1298">
        <v>3000000</v>
      </c>
      <c r="K1298">
        <v>12000000</v>
      </c>
      <c r="L1298" t="s">
        <v>8</v>
      </c>
      <c r="M1298" t="s">
        <v>7</v>
      </c>
      <c r="N1298" t="b">
        <v>0</v>
      </c>
    </row>
    <row r="1299" spans="1:14" x14ac:dyDescent="0.3">
      <c r="A1299" t="s">
        <v>29</v>
      </c>
      <c r="B1299" t="s">
        <v>8</v>
      </c>
      <c r="C1299">
        <v>31</v>
      </c>
      <c r="D1299" t="s">
        <v>104</v>
      </c>
      <c r="E1299" t="s">
        <v>105</v>
      </c>
      <c r="G1299">
        <v>1</v>
      </c>
      <c r="H1299">
        <v>4</v>
      </c>
      <c r="I1299" t="s">
        <v>61</v>
      </c>
      <c r="J1299">
        <v>30000000</v>
      </c>
      <c r="K1299">
        <v>120000000</v>
      </c>
      <c r="L1299" t="s">
        <v>8</v>
      </c>
      <c r="M1299" t="s">
        <v>7</v>
      </c>
      <c r="N1299" t="b">
        <v>0</v>
      </c>
    </row>
    <row r="1300" spans="1:14" x14ac:dyDescent="0.3">
      <c r="A1300" t="s">
        <v>29</v>
      </c>
      <c r="B1300" t="s">
        <v>8</v>
      </c>
      <c r="C1300">
        <v>32</v>
      </c>
      <c r="E1300" t="s">
        <v>106</v>
      </c>
      <c r="G1300">
        <v>1</v>
      </c>
      <c r="H1300">
        <v>8</v>
      </c>
      <c r="J1300">
        <v>19000000</v>
      </c>
      <c r="K1300">
        <v>152000000</v>
      </c>
      <c r="L1300" t="s">
        <v>8</v>
      </c>
      <c r="M1300" t="s">
        <v>7</v>
      </c>
      <c r="N1300" t="b">
        <v>0</v>
      </c>
    </row>
    <row r="1301" spans="1:14" x14ac:dyDescent="0.3">
      <c r="A1301" t="s">
        <v>29</v>
      </c>
      <c r="B1301" t="s">
        <v>8</v>
      </c>
      <c r="C1301">
        <v>33</v>
      </c>
      <c r="D1301" t="s">
        <v>94</v>
      </c>
      <c r="E1301" t="s">
        <v>95</v>
      </c>
      <c r="G1301">
        <v>2</v>
      </c>
      <c r="H1301">
        <v>2</v>
      </c>
      <c r="I1301" t="s">
        <v>61</v>
      </c>
      <c r="J1301">
        <v>1300000</v>
      </c>
      <c r="K1301">
        <v>2600000</v>
      </c>
      <c r="L1301" t="s">
        <v>8</v>
      </c>
      <c r="M1301" t="s">
        <v>7</v>
      </c>
      <c r="N1301" t="b">
        <v>0</v>
      </c>
    </row>
    <row r="1302" spans="1:14" x14ac:dyDescent="0.3">
      <c r="A1302" t="s">
        <v>29</v>
      </c>
      <c r="B1302" t="s">
        <v>8</v>
      </c>
      <c r="C1302">
        <v>34</v>
      </c>
      <c r="D1302" t="s">
        <v>94</v>
      </c>
      <c r="E1302" t="s">
        <v>96</v>
      </c>
      <c r="G1302">
        <v>8</v>
      </c>
      <c r="H1302">
        <v>5.6239999999999997</v>
      </c>
      <c r="I1302" t="s">
        <v>97</v>
      </c>
      <c r="J1302">
        <v>460000</v>
      </c>
      <c r="K1302">
        <v>2587040</v>
      </c>
      <c r="L1302" t="s">
        <v>8</v>
      </c>
      <c r="M1302" t="s">
        <v>7</v>
      </c>
      <c r="N1302" t="b">
        <v>0</v>
      </c>
    </row>
    <row r="1303" spans="1:14" x14ac:dyDescent="0.3">
      <c r="A1303" t="s">
        <v>29</v>
      </c>
      <c r="B1303" t="s">
        <v>8</v>
      </c>
      <c r="C1303">
        <v>35</v>
      </c>
      <c r="D1303" t="s">
        <v>98</v>
      </c>
      <c r="E1303" t="s">
        <v>99</v>
      </c>
      <c r="F1303">
        <v>50</v>
      </c>
      <c r="G1303">
        <v>16</v>
      </c>
      <c r="H1303">
        <v>1.6</v>
      </c>
      <c r="I1303" t="s">
        <v>100</v>
      </c>
      <c r="J1303">
        <v>12655280.000000002</v>
      </c>
      <c r="K1303">
        <v>20248448.000000004</v>
      </c>
      <c r="L1303" t="s">
        <v>8</v>
      </c>
      <c r="M1303" t="s">
        <v>7</v>
      </c>
      <c r="N1303" t="b">
        <v>0</v>
      </c>
    </row>
    <row r="1304" spans="1:14" x14ac:dyDescent="0.3">
      <c r="A1304" t="s">
        <v>29</v>
      </c>
      <c r="B1304" t="s">
        <v>8</v>
      </c>
      <c r="C1304">
        <v>28</v>
      </c>
      <c r="E1304" t="s">
        <v>101</v>
      </c>
      <c r="H1304">
        <v>12</v>
      </c>
      <c r="I1304" t="s">
        <v>102</v>
      </c>
      <c r="J1304">
        <v>13000000</v>
      </c>
      <c r="K1304">
        <v>156000000</v>
      </c>
      <c r="L1304" t="s">
        <v>8</v>
      </c>
      <c r="M1304" t="s">
        <v>7</v>
      </c>
      <c r="N1304" t="b">
        <v>0</v>
      </c>
    </row>
    <row r="1305" spans="1:14" x14ac:dyDescent="0.3">
      <c r="A1305" t="s">
        <v>29</v>
      </c>
      <c r="B1305" t="s">
        <v>8</v>
      </c>
      <c r="C1305">
        <v>29</v>
      </c>
      <c r="E1305" t="s">
        <v>107</v>
      </c>
      <c r="H1305">
        <v>0</v>
      </c>
      <c r="I1305" t="s">
        <v>108</v>
      </c>
      <c r="K1305">
        <v>0</v>
      </c>
      <c r="L1305" t="s">
        <v>8</v>
      </c>
      <c r="M1305" t="s">
        <v>7</v>
      </c>
      <c r="N1305" t="b">
        <v>0</v>
      </c>
    </row>
    <row r="1306" spans="1:14" x14ac:dyDescent="0.3">
      <c r="A1306" t="s">
        <v>29</v>
      </c>
      <c r="B1306" t="s">
        <v>9</v>
      </c>
      <c r="C1306">
        <v>1</v>
      </c>
      <c r="D1306" t="s">
        <v>44</v>
      </c>
      <c r="E1306" t="s">
        <v>45</v>
      </c>
      <c r="F1306">
        <v>0.33500000000000002</v>
      </c>
      <c r="G1306">
        <v>2</v>
      </c>
      <c r="H1306">
        <v>0.93799999999999994</v>
      </c>
      <c r="I1306" t="s">
        <v>46</v>
      </c>
      <c r="J1306">
        <v>8500000</v>
      </c>
      <c r="K1306">
        <v>7972999.9999999981</v>
      </c>
      <c r="L1306" t="s">
        <v>9</v>
      </c>
      <c r="M1306" t="s">
        <v>7</v>
      </c>
      <c r="N1306" t="b">
        <v>0</v>
      </c>
    </row>
    <row r="1307" spans="1:14" x14ac:dyDescent="0.3">
      <c r="A1307" t="s">
        <v>29</v>
      </c>
      <c r="B1307" t="s">
        <v>9</v>
      </c>
      <c r="C1307">
        <v>2</v>
      </c>
      <c r="E1307" t="s">
        <v>47</v>
      </c>
      <c r="F1307">
        <v>0.33500000000000002</v>
      </c>
      <c r="G1307">
        <v>1</v>
      </c>
      <c r="H1307">
        <v>0.46899999999999997</v>
      </c>
      <c r="I1307" t="s">
        <v>46</v>
      </c>
      <c r="J1307">
        <v>8500000</v>
      </c>
      <c r="K1307">
        <v>3986499.9999999991</v>
      </c>
      <c r="L1307" t="s">
        <v>9</v>
      </c>
      <c r="M1307" t="s">
        <v>7</v>
      </c>
      <c r="N1307" t="b">
        <v>0</v>
      </c>
    </row>
    <row r="1308" spans="1:14" x14ac:dyDescent="0.3">
      <c r="A1308" t="s">
        <v>29</v>
      </c>
      <c r="B1308" t="s">
        <v>9</v>
      </c>
      <c r="C1308">
        <v>3</v>
      </c>
      <c r="E1308" t="s">
        <v>172</v>
      </c>
      <c r="F1308">
        <v>0.33500000000000002</v>
      </c>
      <c r="G1308">
        <v>4</v>
      </c>
      <c r="H1308">
        <v>3.4840000000000004</v>
      </c>
      <c r="I1308" t="s">
        <v>46</v>
      </c>
      <c r="J1308">
        <v>8500000</v>
      </c>
      <c r="K1308">
        <v>29614000.000000004</v>
      </c>
      <c r="L1308" t="s">
        <v>9</v>
      </c>
      <c r="M1308" t="s">
        <v>7</v>
      </c>
      <c r="N1308" t="b">
        <v>0</v>
      </c>
    </row>
    <row r="1309" spans="1:14" x14ac:dyDescent="0.3">
      <c r="A1309" t="s">
        <v>29</v>
      </c>
      <c r="B1309" t="s">
        <v>9</v>
      </c>
      <c r="C1309">
        <v>4</v>
      </c>
      <c r="E1309" t="s">
        <v>49</v>
      </c>
      <c r="F1309">
        <v>120</v>
      </c>
      <c r="G1309">
        <v>4</v>
      </c>
      <c r="H1309">
        <v>0.48</v>
      </c>
      <c r="I1309" t="s">
        <v>46</v>
      </c>
      <c r="J1309">
        <v>8500000</v>
      </c>
      <c r="K1309">
        <v>4080000</v>
      </c>
      <c r="L1309" t="s">
        <v>9</v>
      </c>
      <c r="M1309" t="s">
        <v>7</v>
      </c>
      <c r="N1309" t="b">
        <v>0</v>
      </c>
    </row>
    <row r="1310" spans="1:14" x14ac:dyDescent="0.3">
      <c r="A1310" t="s">
        <v>29</v>
      </c>
      <c r="B1310" t="s">
        <v>9</v>
      </c>
      <c r="C1310">
        <v>5</v>
      </c>
      <c r="E1310" t="s">
        <v>50</v>
      </c>
      <c r="F1310">
        <v>180</v>
      </c>
      <c r="G1310">
        <v>4</v>
      </c>
      <c r="H1310">
        <v>2.4552719999999999</v>
      </c>
      <c r="I1310" t="s">
        <v>46</v>
      </c>
      <c r="J1310">
        <v>8500000</v>
      </c>
      <c r="K1310">
        <v>20869812</v>
      </c>
      <c r="L1310" t="s">
        <v>9</v>
      </c>
      <c r="M1310" t="s">
        <v>7</v>
      </c>
      <c r="N1310" t="b">
        <v>0</v>
      </c>
    </row>
    <row r="1311" spans="1:14" x14ac:dyDescent="0.3">
      <c r="A1311" t="s">
        <v>29</v>
      </c>
      <c r="B1311" t="s">
        <v>9</v>
      </c>
      <c r="C1311">
        <v>6</v>
      </c>
      <c r="E1311" t="s">
        <v>51</v>
      </c>
      <c r="F1311">
        <v>0.55800000000000005</v>
      </c>
      <c r="G1311">
        <v>8</v>
      </c>
      <c r="H1311">
        <v>12.7277568</v>
      </c>
      <c r="I1311" t="s">
        <v>46</v>
      </c>
      <c r="J1311">
        <v>8500000</v>
      </c>
      <c r="K1311">
        <v>108185932.8</v>
      </c>
      <c r="L1311" t="s">
        <v>9</v>
      </c>
      <c r="M1311" t="s">
        <v>7</v>
      </c>
      <c r="N1311" t="b">
        <v>0</v>
      </c>
    </row>
    <row r="1312" spans="1:14" x14ac:dyDescent="0.3">
      <c r="A1312" t="s">
        <v>29</v>
      </c>
      <c r="B1312" t="s">
        <v>9</v>
      </c>
      <c r="C1312">
        <v>7</v>
      </c>
      <c r="D1312" t="s">
        <v>52</v>
      </c>
      <c r="E1312" t="s">
        <v>53</v>
      </c>
      <c r="F1312">
        <v>0.13</v>
      </c>
      <c r="G1312">
        <v>1.7141759999999999</v>
      </c>
      <c r="H1312">
        <v>1.7141759999999999</v>
      </c>
      <c r="I1312" t="s">
        <v>54</v>
      </c>
      <c r="J1312">
        <v>4275000</v>
      </c>
      <c r="K1312">
        <v>7328102.4000000004</v>
      </c>
      <c r="L1312" t="s">
        <v>9</v>
      </c>
      <c r="M1312" t="s">
        <v>7</v>
      </c>
      <c r="N1312" t="b">
        <v>0</v>
      </c>
    </row>
    <row r="1313" spans="1:14" x14ac:dyDescent="0.3">
      <c r="A1313" t="s">
        <v>29</v>
      </c>
      <c r="B1313" t="s">
        <v>9</v>
      </c>
      <c r="C1313">
        <v>8</v>
      </c>
      <c r="E1313" t="s">
        <v>55</v>
      </c>
      <c r="F1313">
        <v>0.35</v>
      </c>
      <c r="G1313">
        <v>0</v>
      </c>
      <c r="H1313">
        <v>0</v>
      </c>
      <c r="I1313" t="s">
        <v>46</v>
      </c>
      <c r="J1313">
        <v>35750000</v>
      </c>
      <c r="K1313">
        <v>0</v>
      </c>
      <c r="L1313" t="s">
        <v>9</v>
      </c>
      <c r="M1313" t="s">
        <v>7</v>
      </c>
      <c r="N1313" t="b">
        <v>0</v>
      </c>
    </row>
    <row r="1314" spans="1:14" x14ac:dyDescent="0.3">
      <c r="A1314" t="s">
        <v>29</v>
      </c>
      <c r="B1314" t="s">
        <v>9</v>
      </c>
      <c r="C1314">
        <v>9</v>
      </c>
      <c r="E1314" t="s">
        <v>55</v>
      </c>
      <c r="F1314">
        <v>0.2</v>
      </c>
      <c r="G1314">
        <v>0.85708799999999996</v>
      </c>
      <c r="H1314">
        <v>0.85708799999999996</v>
      </c>
      <c r="I1314" t="s">
        <v>46</v>
      </c>
      <c r="J1314">
        <v>45760000</v>
      </c>
      <c r="K1314">
        <v>39220346.880000003</v>
      </c>
      <c r="L1314" t="s">
        <v>9</v>
      </c>
      <c r="M1314" t="s">
        <v>7</v>
      </c>
      <c r="N1314" t="b">
        <v>0</v>
      </c>
    </row>
    <row r="1315" spans="1:14" x14ac:dyDescent="0.3">
      <c r="A1315" t="s">
        <v>29</v>
      </c>
      <c r="B1315" t="s">
        <v>9</v>
      </c>
      <c r="C1315">
        <v>10</v>
      </c>
      <c r="D1315" t="s">
        <v>56</v>
      </c>
      <c r="E1315" t="s">
        <v>57</v>
      </c>
      <c r="G1315">
        <v>4.8910000000000009</v>
      </c>
      <c r="H1315">
        <v>4.8910000000000009</v>
      </c>
      <c r="I1315" t="s">
        <v>61</v>
      </c>
      <c r="J1315">
        <v>1430000</v>
      </c>
      <c r="K1315">
        <v>6994130.0000000009</v>
      </c>
      <c r="L1315" t="s">
        <v>9</v>
      </c>
      <c r="M1315" t="s">
        <v>7</v>
      </c>
      <c r="N1315" t="b">
        <v>0</v>
      </c>
    </row>
    <row r="1316" spans="1:14" x14ac:dyDescent="0.3">
      <c r="A1316" t="s">
        <v>29</v>
      </c>
      <c r="B1316" t="s">
        <v>9</v>
      </c>
      <c r="C1316">
        <v>11</v>
      </c>
      <c r="D1316" t="s">
        <v>58</v>
      </c>
      <c r="E1316" t="s">
        <v>59</v>
      </c>
      <c r="G1316">
        <v>16</v>
      </c>
      <c r="H1316">
        <v>16</v>
      </c>
      <c r="I1316" t="s">
        <v>46</v>
      </c>
      <c r="J1316">
        <v>3000000</v>
      </c>
      <c r="K1316">
        <v>48000000</v>
      </c>
      <c r="L1316" t="s">
        <v>9</v>
      </c>
      <c r="M1316" t="s">
        <v>7</v>
      </c>
      <c r="N1316" t="b">
        <v>0</v>
      </c>
    </row>
    <row r="1317" spans="1:14" x14ac:dyDescent="0.3">
      <c r="A1317" t="s">
        <v>29</v>
      </c>
      <c r="B1317" t="s">
        <v>9</v>
      </c>
      <c r="C1317">
        <v>12</v>
      </c>
      <c r="E1317" t="s">
        <v>60</v>
      </c>
      <c r="G1317">
        <v>12.7277568</v>
      </c>
      <c r="H1317">
        <v>12.7277568</v>
      </c>
      <c r="I1317" t="s">
        <v>61</v>
      </c>
      <c r="J1317">
        <v>3600000</v>
      </c>
      <c r="K1317">
        <v>45819924.479999997</v>
      </c>
      <c r="L1317" t="s">
        <v>9</v>
      </c>
      <c r="M1317" t="s">
        <v>7</v>
      </c>
      <c r="N1317" t="b">
        <v>0</v>
      </c>
    </row>
    <row r="1318" spans="1:14" x14ac:dyDescent="0.3">
      <c r="A1318" t="s">
        <v>29</v>
      </c>
      <c r="B1318" t="s">
        <v>9</v>
      </c>
      <c r="C1318">
        <v>13</v>
      </c>
      <c r="D1318" t="s">
        <v>62</v>
      </c>
      <c r="E1318" t="s">
        <v>63</v>
      </c>
      <c r="G1318">
        <v>4.4640000000000004</v>
      </c>
      <c r="H1318">
        <v>4.4640000000000004</v>
      </c>
      <c r="I1318" t="s">
        <v>61</v>
      </c>
      <c r="J1318">
        <v>3600000</v>
      </c>
      <c r="K1318">
        <v>16070400.000000002</v>
      </c>
      <c r="L1318" t="s">
        <v>9</v>
      </c>
      <c r="M1318" t="s">
        <v>7</v>
      </c>
      <c r="N1318" t="b">
        <v>0</v>
      </c>
    </row>
    <row r="1319" spans="1:14" x14ac:dyDescent="0.3">
      <c r="A1319" t="s">
        <v>29</v>
      </c>
      <c r="B1319" t="s">
        <v>9</v>
      </c>
      <c r="C1319">
        <v>14</v>
      </c>
      <c r="E1319" t="s">
        <v>64</v>
      </c>
      <c r="G1319">
        <v>0.4</v>
      </c>
      <c r="H1319">
        <v>0.4</v>
      </c>
      <c r="I1319" t="s">
        <v>61</v>
      </c>
      <c r="J1319">
        <v>5500000</v>
      </c>
      <c r="K1319">
        <v>2200000</v>
      </c>
      <c r="L1319" t="s">
        <v>9</v>
      </c>
      <c r="M1319" t="s">
        <v>7</v>
      </c>
      <c r="N1319" t="b">
        <v>0</v>
      </c>
    </row>
    <row r="1320" spans="1:14" x14ac:dyDescent="0.3">
      <c r="A1320" t="s">
        <v>29</v>
      </c>
      <c r="B1320" t="s">
        <v>9</v>
      </c>
      <c r="C1320">
        <v>15</v>
      </c>
      <c r="D1320" t="s">
        <v>65</v>
      </c>
      <c r="E1320" t="s">
        <v>66</v>
      </c>
      <c r="G1320">
        <v>20</v>
      </c>
      <c r="H1320">
        <v>20</v>
      </c>
      <c r="I1320" t="s">
        <v>61</v>
      </c>
      <c r="J1320">
        <v>200000</v>
      </c>
      <c r="K1320">
        <v>4000000</v>
      </c>
      <c r="L1320" t="s">
        <v>9</v>
      </c>
      <c r="M1320" t="s">
        <v>7</v>
      </c>
      <c r="N1320" t="b">
        <v>0</v>
      </c>
    </row>
    <row r="1321" spans="1:14" x14ac:dyDescent="0.3">
      <c r="A1321" t="s">
        <v>29</v>
      </c>
      <c r="B1321" t="s">
        <v>9</v>
      </c>
      <c r="C1321">
        <v>16</v>
      </c>
      <c r="E1321" t="s">
        <v>68</v>
      </c>
      <c r="G1321">
        <v>8</v>
      </c>
      <c r="H1321">
        <v>8</v>
      </c>
      <c r="I1321" t="s">
        <v>61</v>
      </c>
      <c r="J1321">
        <v>200000</v>
      </c>
      <c r="K1321">
        <v>1600000</v>
      </c>
      <c r="L1321" t="s">
        <v>9</v>
      </c>
      <c r="M1321" t="s">
        <v>7</v>
      </c>
      <c r="N1321" t="b">
        <v>0</v>
      </c>
    </row>
    <row r="1322" spans="1:14" x14ac:dyDescent="0.3">
      <c r="A1322" t="s">
        <v>29</v>
      </c>
      <c r="B1322" t="s">
        <v>9</v>
      </c>
      <c r="C1322">
        <v>17</v>
      </c>
      <c r="E1322" t="s">
        <v>69</v>
      </c>
      <c r="G1322">
        <v>16</v>
      </c>
      <c r="H1322">
        <v>16</v>
      </c>
      <c r="I1322" t="s">
        <v>61</v>
      </c>
      <c r="J1322">
        <v>200000</v>
      </c>
      <c r="K1322">
        <v>3200000</v>
      </c>
      <c r="L1322" t="s">
        <v>9</v>
      </c>
      <c r="M1322" t="s">
        <v>7</v>
      </c>
      <c r="N1322" t="b">
        <v>0</v>
      </c>
    </row>
    <row r="1323" spans="1:14" x14ac:dyDescent="0.3">
      <c r="A1323" t="s">
        <v>29</v>
      </c>
      <c r="B1323" t="s">
        <v>9</v>
      </c>
      <c r="C1323">
        <v>18</v>
      </c>
      <c r="E1323" t="s">
        <v>70</v>
      </c>
      <c r="G1323">
        <v>16</v>
      </c>
      <c r="H1323">
        <v>16</v>
      </c>
      <c r="I1323" t="s">
        <v>61</v>
      </c>
      <c r="J1323">
        <v>400000</v>
      </c>
      <c r="K1323">
        <v>6400000</v>
      </c>
      <c r="L1323" t="s">
        <v>9</v>
      </c>
      <c r="M1323" t="s">
        <v>7</v>
      </c>
      <c r="N1323" t="b">
        <v>0</v>
      </c>
    </row>
    <row r="1324" spans="1:14" x14ac:dyDescent="0.3">
      <c r="A1324" t="s">
        <v>29</v>
      </c>
      <c r="B1324" t="s">
        <v>9</v>
      </c>
      <c r="C1324">
        <v>19</v>
      </c>
      <c r="E1324" t="s">
        <v>71</v>
      </c>
      <c r="G1324">
        <v>16</v>
      </c>
      <c r="H1324">
        <v>16</v>
      </c>
      <c r="I1324" t="s">
        <v>61</v>
      </c>
      <c r="J1324">
        <v>120000</v>
      </c>
      <c r="K1324">
        <v>1920000</v>
      </c>
      <c r="L1324" t="s">
        <v>9</v>
      </c>
      <c r="M1324" t="s">
        <v>7</v>
      </c>
      <c r="N1324" t="b">
        <v>0</v>
      </c>
    </row>
    <row r="1325" spans="1:14" x14ac:dyDescent="0.3">
      <c r="A1325" t="s">
        <v>29</v>
      </c>
      <c r="B1325" t="s">
        <v>9</v>
      </c>
      <c r="C1325">
        <v>20</v>
      </c>
      <c r="E1325" t="s">
        <v>72</v>
      </c>
      <c r="G1325">
        <v>24</v>
      </c>
      <c r="H1325">
        <v>24</v>
      </c>
      <c r="I1325" t="s">
        <v>61</v>
      </c>
      <c r="J1325">
        <v>400000</v>
      </c>
      <c r="K1325">
        <v>9600000</v>
      </c>
      <c r="L1325" t="s">
        <v>9</v>
      </c>
      <c r="M1325" t="s">
        <v>7</v>
      </c>
      <c r="N1325" t="b">
        <v>0</v>
      </c>
    </row>
    <row r="1326" spans="1:14" x14ac:dyDescent="0.3">
      <c r="A1326" t="s">
        <v>29</v>
      </c>
      <c r="B1326" t="s">
        <v>9</v>
      </c>
      <c r="C1326">
        <v>21</v>
      </c>
      <c r="D1326" t="s">
        <v>73</v>
      </c>
      <c r="E1326" t="s">
        <v>74</v>
      </c>
      <c r="F1326">
        <v>132</v>
      </c>
      <c r="G1326">
        <v>16</v>
      </c>
      <c r="H1326">
        <v>9.9916185600000009</v>
      </c>
      <c r="I1326" t="s">
        <v>46</v>
      </c>
      <c r="J1326">
        <v>35000000</v>
      </c>
      <c r="K1326">
        <v>349706649.60000002</v>
      </c>
      <c r="L1326" t="s">
        <v>9</v>
      </c>
      <c r="M1326" t="s">
        <v>7</v>
      </c>
      <c r="N1326" t="b">
        <v>0</v>
      </c>
    </row>
    <row r="1327" spans="1:14" x14ac:dyDescent="0.3">
      <c r="A1327" t="s">
        <v>29</v>
      </c>
      <c r="B1327" t="s">
        <v>9</v>
      </c>
      <c r="C1327">
        <v>22</v>
      </c>
      <c r="D1327" t="s">
        <v>75</v>
      </c>
      <c r="E1327" t="s">
        <v>76</v>
      </c>
      <c r="F1327" t="s">
        <v>77</v>
      </c>
      <c r="G1327">
        <v>2</v>
      </c>
      <c r="H1327">
        <v>2.6</v>
      </c>
      <c r="I1327" t="s">
        <v>46</v>
      </c>
      <c r="J1327">
        <v>5200000</v>
      </c>
      <c r="K1327">
        <v>13520000</v>
      </c>
      <c r="L1327" t="s">
        <v>9</v>
      </c>
      <c r="M1327" t="s">
        <v>7</v>
      </c>
      <c r="N1327" t="b">
        <v>0</v>
      </c>
    </row>
    <row r="1328" spans="1:14" x14ac:dyDescent="0.3">
      <c r="A1328" t="s">
        <v>29</v>
      </c>
      <c r="B1328" t="s">
        <v>9</v>
      </c>
      <c r="C1328">
        <v>23</v>
      </c>
      <c r="E1328" t="s">
        <v>78</v>
      </c>
      <c r="F1328" t="s">
        <v>79</v>
      </c>
      <c r="G1328">
        <v>2</v>
      </c>
      <c r="H1328">
        <v>1.2</v>
      </c>
      <c r="I1328" t="s">
        <v>46</v>
      </c>
      <c r="J1328">
        <v>5200000</v>
      </c>
      <c r="K1328">
        <v>6240000</v>
      </c>
      <c r="L1328" t="s">
        <v>9</v>
      </c>
      <c r="M1328" t="s">
        <v>7</v>
      </c>
      <c r="N1328" t="b">
        <v>0</v>
      </c>
    </row>
    <row r="1329" spans="1:14" x14ac:dyDescent="0.3">
      <c r="A1329" t="s">
        <v>29</v>
      </c>
      <c r="B1329" t="s">
        <v>9</v>
      </c>
      <c r="C1329">
        <v>24</v>
      </c>
      <c r="D1329" t="s">
        <v>80</v>
      </c>
      <c r="E1329" t="s">
        <v>81</v>
      </c>
      <c r="F1329" t="s">
        <v>82</v>
      </c>
      <c r="G1329">
        <v>2</v>
      </c>
      <c r="H1329">
        <v>1.487393</v>
      </c>
      <c r="I1329" t="s">
        <v>46</v>
      </c>
      <c r="J1329">
        <v>8500000</v>
      </c>
      <c r="K1329">
        <v>12642840.5</v>
      </c>
      <c r="L1329" t="s">
        <v>9</v>
      </c>
      <c r="M1329" t="s">
        <v>7</v>
      </c>
      <c r="N1329" t="b">
        <v>0</v>
      </c>
    </row>
    <row r="1330" spans="1:14" x14ac:dyDescent="0.3">
      <c r="A1330" t="s">
        <v>29</v>
      </c>
      <c r="B1330" t="s">
        <v>9</v>
      </c>
      <c r="C1330">
        <v>25</v>
      </c>
      <c r="D1330" t="s">
        <v>83</v>
      </c>
      <c r="E1330" t="s">
        <v>84</v>
      </c>
      <c r="F1330">
        <v>0.18</v>
      </c>
      <c r="G1330">
        <v>4</v>
      </c>
      <c r="H1330">
        <v>4</v>
      </c>
      <c r="I1330" t="s">
        <v>61</v>
      </c>
      <c r="J1330">
        <v>1014000</v>
      </c>
      <c r="K1330">
        <v>4056000</v>
      </c>
      <c r="L1330" t="s">
        <v>9</v>
      </c>
      <c r="M1330" t="s">
        <v>7</v>
      </c>
      <c r="N1330" t="b">
        <v>0</v>
      </c>
    </row>
    <row r="1331" spans="1:14" x14ac:dyDescent="0.3">
      <c r="A1331" t="s">
        <v>29</v>
      </c>
      <c r="B1331" t="s">
        <v>9</v>
      </c>
      <c r="C1331">
        <v>26</v>
      </c>
      <c r="E1331" t="s">
        <v>86</v>
      </c>
      <c r="F1331">
        <v>0.2</v>
      </c>
      <c r="G1331">
        <v>6</v>
      </c>
      <c r="H1331">
        <v>6</v>
      </c>
      <c r="I1331" t="s">
        <v>61</v>
      </c>
      <c r="J1331">
        <v>1014000</v>
      </c>
      <c r="K1331">
        <v>6084000</v>
      </c>
      <c r="L1331" t="s">
        <v>9</v>
      </c>
      <c r="M1331" t="s">
        <v>7</v>
      </c>
      <c r="N1331" t="b">
        <v>0</v>
      </c>
    </row>
    <row r="1332" spans="1:14" x14ac:dyDescent="0.3">
      <c r="A1332" t="s">
        <v>29</v>
      </c>
      <c r="B1332" t="s">
        <v>9</v>
      </c>
      <c r="C1332">
        <v>27</v>
      </c>
      <c r="D1332" t="s">
        <v>88</v>
      </c>
      <c r="E1332" t="s">
        <v>89</v>
      </c>
      <c r="F1332" t="s">
        <v>90</v>
      </c>
      <c r="G1332">
        <v>2</v>
      </c>
      <c r="H1332">
        <v>2</v>
      </c>
      <c r="I1332" t="s">
        <v>61</v>
      </c>
      <c r="J1332">
        <v>100000</v>
      </c>
      <c r="K1332">
        <v>200000</v>
      </c>
      <c r="L1332" t="s">
        <v>9</v>
      </c>
      <c r="M1332" t="s">
        <v>7</v>
      </c>
      <c r="N1332" t="b">
        <v>0</v>
      </c>
    </row>
    <row r="1333" spans="1:14" x14ac:dyDescent="0.3">
      <c r="A1333" t="s">
        <v>29</v>
      </c>
      <c r="B1333" t="s">
        <v>9</v>
      </c>
      <c r="C1333">
        <v>28</v>
      </c>
      <c r="D1333" t="s">
        <v>65</v>
      </c>
      <c r="E1333" t="s">
        <v>91</v>
      </c>
      <c r="G1333">
        <v>4</v>
      </c>
      <c r="H1333">
        <v>4</v>
      </c>
      <c r="I1333" t="s">
        <v>61</v>
      </c>
      <c r="J1333">
        <v>2400000</v>
      </c>
      <c r="K1333">
        <v>9600000</v>
      </c>
      <c r="L1333" t="s">
        <v>9</v>
      </c>
      <c r="M1333" t="s">
        <v>7</v>
      </c>
      <c r="N1333" t="b">
        <v>0</v>
      </c>
    </row>
    <row r="1334" spans="1:14" x14ac:dyDescent="0.3">
      <c r="A1334" t="s">
        <v>29</v>
      </c>
      <c r="B1334" t="s">
        <v>9</v>
      </c>
      <c r="C1334">
        <v>29</v>
      </c>
      <c r="E1334" t="s">
        <v>92</v>
      </c>
      <c r="G1334">
        <v>4</v>
      </c>
      <c r="H1334">
        <v>4</v>
      </c>
      <c r="I1334" t="s">
        <v>61</v>
      </c>
      <c r="J1334">
        <v>2400000</v>
      </c>
      <c r="K1334">
        <v>9600000</v>
      </c>
      <c r="L1334" t="s">
        <v>9</v>
      </c>
      <c r="M1334" t="s">
        <v>7</v>
      </c>
      <c r="N1334" t="b">
        <v>0</v>
      </c>
    </row>
    <row r="1335" spans="1:14" x14ac:dyDescent="0.3">
      <c r="A1335" t="s">
        <v>29</v>
      </c>
      <c r="B1335" t="s">
        <v>9</v>
      </c>
      <c r="C1335">
        <v>30</v>
      </c>
      <c r="E1335" t="s">
        <v>93</v>
      </c>
      <c r="G1335">
        <v>4</v>
      </c>
      <c r="H1335">
        <v>4</v>
      </c>
      <c r="I1335" t="s">
        <v>61</v>
      </c>
      <c r="J1335">
        <v>3000000</v>
      </c>
      <c r="K1335">
        <v>12000000</v>
      </c>
      <c r="L1335" t="s">
        <v>9</v>
      </c>
      <c r="M1335" t="s">
        <v>7</v>
      </c>
      <c r="N1335" t="b">
        <v>0</v>
      </c>
    </row>
    <row r="1336" spans="1:14" x14ac:dyDescent="0.3">
      <c r="A1336" t="s">
        <v>29</v>
      </c>
      <c r="B1336" t="s">
        <v>9</v>
      </c>
      <c r="C1336">
        <v>31</v>
      </c>
      <c r="D1336" t="s">
        <v>104</v>
      </c>
      <c r="E1336" t="s">
        <v>105</v>
      </c>
      <c r="G1336">
        <v>1</v>
      </c>
      <c r="H1336">
        <v>4</v>
      </c>
      <c r="I1336" t="s">
        <v>61</v>
      </c>
      <c r="J1336">
        <v>30000000</v>
      </c>
      <c r="K1336">
        <v>120000000</v>
      </c>
      <c r="L1336" t="s">
        <v>9</v>
      </c>
      <c r="M1336" t="s">
        <v>7</v>
      </c>
      <c r="N1336" t="b">
        <v>0</v>
      </c>
    </row>
    <row r="1337" spans="1:14" x14ac:dyDescent="0.3">
      <c r="A1337" t="s">
        <v>29</v>
      </c>
      <c r="B1337" t="s">
        <v>9</v>
      </c>
      <c r="C1337">
        <v>32</v>
      </c>
      <c r="E1337" t="s">
        <v>106</v>
      </c>
      <c r="G1337">
        <v>1</v>
      </c>
      <c r="H1337">
        <v>0</v>
      </c>
      <c r="I1337" t="s">
        <v>61</v>
      </c>
      <c r="J1337">
        <v>19000000</v>
      </c>
      <c r="K1337">
        <v>0</v>
      </c>
      <c r="L1337" t="s">
        <v>9</v>
      </c>
      <c r="M1337" t="s">
        <v>7</v>
      </c>
      <c r="N1337" t="b">
        <v>0</v>
      </c>
    </row>
    <row r="1338" spans="1:14" x14ac:dyDescent="0.3">
      <c r="A1338" t="s">
        <v>29</v>
      </c>
      <c r="B1338" t="s">
        <v>9</v>
      </c>
      <c r="C1338">
        <v>33</v>
      </c>
      <c r="D1338" t="s">
        <v>94</v>
      </c>
      <c r="E1338" t="s">
        <v>95</v>
      </c>
      <c r="G1338">
        <v>2</v>
      </c>
      <c r="H1338">
        <v>2</v>
      </c>
      <c r="I1338" t="s">
        <v>61</v>
      </c>
      <c r="J1338">
        <v>1300000</v>
      </c>
      <c r="K1338">
        <v>2600000</v>
      </c>
      <c r="L1338" t="s">
        <v>9</v>
      </c>
      <c r="M1338" t="s">
        <v>7</v>
      </c>
      <c r="N1338" t="b">
        <v>0</v>
      </c>
    </row>
    <row r="1339" spans="1:14" x14ac:dyDescent="0.3">
      <c r="A1339" t="s">
        <v>29</v>
      </c>
      <c r="B1339" t="s">
        <v>9</v>
      </c>
      <c r="C1339">
        <v>34</v>
      </c>
      <c r="D1339" t="s">
        <v>94</v>
      </c>
      <c r="E1339" t="s">
        <v>96</v>
      </c>
      <c r="G1339">
        <v>8</v>
      </c>
      <c r="H1339">
        <v>2.68</v>
      </c>
      <c r="I1339" t="s">
        <v>97</v>
      </c>
      <c r="J1339">
        <v>460000</v>
      </c>
      <c r="K1339">
        <v>1232800</v>
      </c>
      <c r="L1339" t="s">
        <v>9</v>
      </c>
      <c r="M1339" t="s">
        <v>7</v>
      </c>
      <c r="N1339" t="b">
        <v>0</v>
      </c>
    </row>
    <row r="1340" spans="1:14" x14ac:dyDescent="0.3">
      <c r="A1340" t="s">
        <v>29</v>
      </c>
      <c r="B1340" t="s">
        <v>9</v>
      </c>
      <c r="C1340">
        <v>35</v>
      </c>
      <c r="D1340" t="s">
        <v>98</v>
      </c>
      <c r="E1340" t="s">
        <v>99</v>
      </c>
      <c r="F1340">
        <v>50</v>
      </c>
      <c r="G1340">
        <v>16</v>
      </c>
      <c r="H1340">
        <v>1.6</v>
      </c>
      <c r="I1340" t="s">
        <v>100</v>
      </c>
      <c r="J1340">
        <v>12655280.000000002</v>
      </c>
      <c r="K1340">
        <v>20248448.000000004</v>
      </c>
      <c r="L1340" t="s">
        <v>9</v>
      </c>
      <c r="M1340" t="s">
        <v>7</v>
      </c>
      <c r="N1340" t="b">
        <v>0</v>
      </c>
    </row>
    <row r="1341" spans="1:14" x14ac:dyDescent="0.3">
      <c r="A1341" t="s">
        <v>29</v>
      </c>
      <c r="B1341" t="s">
        <v>9</v>
      </c>
      <c r="C1341">
        <v>28</v>
      </c>
      <c r="E1341" t="s">
        <v>101</v>
      </c>
      <c r="H1341">
        <v>10</v>
      </c>
      <c r="I1341" t="s">
        <v>102</v>
      </c>
      <c r="J1341">
        <v>13000000</v>
      </c>
      <c r="K1341">
        <v>130000000</v>
      </c>
      <c r="L1341" t="s">
        <v>9</v>
      </c>
      <c r="M1341" t="s">
        <v>7</v>
      </c>
      <c r="N1341" t="b">
        <v>0</v>
      </c>
    </row>
    <row r="1342" spans="1:14" x14ac:dyDescent="0.3">
      <c r="A1342" t="s">
        <v>29</v>
      </c>
      <c r="B1342" t="s">
        <v>9</v>
      </c>
      <c r="C1342">
        <v>29</v>
      </c>
      <c r="E1342" t="s">
        <v>107</v>
      </c>
      <c r="H1342">
        <v>0</v>
      </c>
      <c r="I1342" t="s">
        <v>108</v>
      </c>
      <c r="K1342">
        <v>0</v>
      </c>
      <c r="L1342" t="s">
        <v>9</v>
      </c>
      <c r="M1342" t="s">
        <v>7</v>
      </c>
      <c r="N1342" t="b">
        <v>0</v>
      </c>
    </row>
    <row r="1343" spans="1:14" x14ac:dyDescent="0.3">
      <c r="A1343" t="s">
        <v>29</v>
      </c>
      <c r="B1343" t="s">
        <v>10</v>
      </c>
      <c r="C1343">
        <v>1</v>
      </c>
      <c r="D1343" t="s">
        <v>44</v>
      </c>
      <c r="E1343" t="s">
        <v>45</v>
      </c>
      <c r="F1343">
        <v>168</v>
      </c>
      <c r="G1343">
        <v>2</v>
      </c>
      <c r="H1343">
        <v>0.47039999999999998</v>
      </c>
      <c r="I1343" t="s">
        <v>46</v>
      </c>
      <c r="J1343">
        <v>8500000</v>
      </c>
      <c r="K1343">
        <v>3998400</v>
      </c>
      <c r="L1343" t="s">
        <v>10</v>
      </c>
      <c r="M1343" t="s">
        <v>7</v>
      </c>
      <c r="N1343" t="b">
        <v>0</v>
      </c>
    </row>
    <row r="1344" spans="1:14" x14ac:dyDescent="0.3">
      <c r="A1344" t="s">
        <v>29</v>
      </c>
      <c r="B1344" t="s">
        <v>10</v>
      </c>
      <c r="C1344">
        <v>2</v>
      </c>
      <c r="E1344" t="s">
        <v>47</v>
      </c>
      <c r="F1344">
        <v>168</v>
      </c>
      <c r="G1344">
        <v>1</v>
      </c>
      <c r="H1344">
        <v>0.23519999999999999</v>
      </c>
      <c r="I1344" t="s">
        <v>46</v>
      </c>
      <c r="J1344">
        <v>8500000</v>
      </c>
      <c r="K1344">
        <v>1999200</v>
      </c>
      <c r="L1344" t="s">
        <v>10</v>
      </c>
      <c r="M1344" t="s">
        <v>7</v>
      </c>
      <c r="N1344" t="b">
        <v>0</v>
      </c>
    </row>
    <row r="1345" spans="1:14" x14ac:dyDescent="0.3">
      <c r="A1345" t="s">
        <v>29</v>
      </c>
      <c r="B1345" t="s">
        <v>10</v>
      </c>
      <c r="C1345">
        <v>3</v>
      </c>
      <c r="E1345" t="s">
        <v>175</v>
      </c>
      <c r="F1345">
        <v>168</v>
      </c>
      <c r="G1345">
        <v>4</v>
      </c>
      <c r="H1345">
        <v>1.7472000000000001</v>
      </c>
      <c r="I1345" t="s">
        <v>46</v>
      </c>
      <c r="J1345">
        <v>8500000</v>
      </c>
      <c r="K1345">
        <v>14851200</v>
      </c>
      <c r="L1345" t="s">
        <v>10</v>
      </c>
      <c r="M1345" t="s">
        <v>7</v>
      </c>
      <c r="N1345" t="b">
        <v>0</v>
      </c>
    </row>
    <row r="1346" spans="1:14" x14ac:dyDescent="0.3">
      <c r="A1346" t="s">
        <v>29</v>
      </c>
      <c r="B1346" t="s">
        <v>10</v>
      </c>
      <c r="C1346">
        <v>4</v>
      </c>
      <c r="E1346" t="s">
        <v>49</v>
      </c>
      <c r="F1346">
        <v>120</v>
      </c>
      <c r="G1346">
        <v>4</v>
      </c>
      <c r="H1346">
        <v>0.48</v>
      </c>
      <c r="I1346" t="s">
        <v>46</v>
      </c>
      <c r="J1346">
        <v>8500000</v>
      </c>
      <c r="K1346">
        <v>4080000</v>
      </c>
      <c r="L1346" t="s">
        <v>10</v>
      </c>
      <c r="M1346" t="s">
        <v>7</v>
      </c>
      <c r="N1346" t="b">
        <v>0</v>
      </c>
    </row>
    <row r="1347" spans="1:14" x14ac:dyDescent="0.3">
      <c r="A1347" t="s">
        <v>29</v>
      </c>
      <c r="B1347" t="s">
        <v>10</v>
      </c>
      <c r="C1347">
        <v>5</v>
      </c>
      <c r="E1347" t="s">
        <v>50</v>
      </c>
      <c r="F1347">
        <v>180</v>
      </c>
      <c r="G1347">
        <v>2</v>
      </c>
      <c r="H1347">
        <v>1.2276359999999999</v>
      </c>
      <c r="I1347" t="s">
        <v>46</v>
      </c>
      <c r="J1347">
        <v>8500000</v>
      </c>
      <c r="K1347">
        <v>10434906</v>
      </c>
      <c r="L1347" t="s">
        <v>10</v>
      </c>
      <c r="M1347" t="s">
        <v>7</v>
      </c>
      <c r="N1347" t="b">
        <v>0</v>
      </c>
    </row>
    <row r="1348" spans="1:14" x14ac:dyDescent="0.3">
      <c r="A1348" t="s">
        <v>29</v>
      </c>
      <c r="B1348" t="s">
        <v>10</v>
      </c>
      <c r="C1348">
        <v>6</v>
      </c>
      <c r="E1348" t="s">
        <v>51</v>
      </c>
      <c r="F1348">
        <v>0.58799999999999997</v>
      </c>
      <c r="G1348">
        <v>8</v>
      </c>
      <c r="H1348">
        <v>13.412044800000002</v>
      </c>
      <c r="I1348" t="s">
        <v>46</v>
      </c>
      <c r="J1348">
        <v>8500000</v>
      </c>
      <c r="K1348">
        <v>114002380.8</v>
      </c>
      <c r="L1348" t="s">
        <v>10</v>
      </c>
      <c r="M1348" t="s">
        <v>7</v>
      </c>
      <c r="N1348" t="b">
        <v>0</v>
      </c>
    </row>
    <row r="1349" spans="1:14" x14ac:dyDescent="0.3">
      <c r="A1349" t="s">
        <v>29</v>
      </c>
      <c r="B1349" t="s">
        <v>10</v>
      </c>
      <c r="C1349">
        <v>7</v>
      </c>
      <c r="D1349" t="s">
        <v>52</v>
      </c>
      <c r="E1349" t="s">
        <v>53</v>
      </c>
      <c r="F1349">
        <v>0.13</v>
      </c>
      <c r="G1349">
        <v>1.8063359999999995</v>
      </c>
      <c r="H1349">
        <v>1.8063359999999995</v>
      </c>
      <c r="I1349" t="s">
        <v>54</v>
      </c>
      <c r="J1349">
        <v>4275000</v>
      </c>
      <c r="K1349">
        <v>7722086.3999999985</v>
      </c>
      <c r="L1349" t="s">
        <v>10</v>
      </c>
      <c r="M1349" t="s">
        <v>7</v>
      </c>
      <c r="N1349" t="b">
        <v>0</v>
      </c>
    </row>
    <row r="1350" spans="1:14" x14ac:dyDescent="0.3">
      <c r="A1350" t="s">
        <v>29</v>
      </c>
      <c r="B1350" t="s">
        <v>10</v>
      </c>
      <c r="C1350">
        <v>8</v>
      </c>
      <c r="E1350" t="s">
        <v>55</v>
      </c>
      <c r="F1350">
        <v>0.35</v>
      </c>
      <c r="G1350">
        <v>0</v>
      </c>
      <c r="H1350">
        <v>0</v>
      </c>
      <c r="I1350" t="s">
        <v>46</v>
      </c>
      <c r="J1350">
        <v>35750000</v>
      </c>
      <c r="K1350">
        <v>0</v>
      </c>
      <c r="L1350" t="s">
        <v>10</v>
      </c>
      <c r="M1350" t="s">
        <v>7</v>
      </c>
      <c r="N1350" t="b">
        <v>0</v>
      </c>
    </row>
    <row r="1351" spans="1:14" x14ac:dyDescent="0.3">
      <c r="A1351" t="s">
        <v>29</v>
      </c>
      <c r="B1351" t="s">
        <v>10</v>
      </c>
      <c r="C1351">
        <v>9</v>
      </c>
      <c r="E1351" t="s">
        <v>55</v>
      </c>
      <c r="F1351">
        <v>0.2</v>
      </c>
      <c r="G1351">
        <v>0.90316799999999986</v>
      </c>
      <c r="H1351">
        <v>0.90316799999999986</v>
      </c>
      <c r="I1351" t="s">
        <v>46</v>
      </c>
      <c r="J1351">
        <v>45760000</v>
      </c>
      <c r="K1351">
        <v>41328967.679999992</v>
      </c>
      <c r="L1351" t="s">
        <v>10</v>
      </c>
      <c r="M1351" t="s">
        <v>7</v>
      </c>
      <c r="N1351" t="b">
        <v>0</v>
      </c>
    </row>
    <row r="1352" spans="1:14" x14ac:dyDescent="0.3">
      <c r="A1352" t="s">
        <v>29</v>
      </c>
      <c r="B1352" t="s">
        <v>10</v>
      </c>
      <c r="C1352">
        <v>10</v>
      </c>
      <c r="D1352" t="s">
        <v>56</v>
      </c>
      <c r="E1352" t="s">
        <v>57</v>
      </c>
      <c r="G1352">
        <v>2.4527999999999999</v>
      </c>
      <c r="H1352">
        <v>2.4527999999999999</v>
      </c>
      <c r="I1352" t="s">
        <v>46</v>
      </c>
      <c r="J1352">
        <v>1430000</v>
      </c>
      <c r="K1352">
        <v>3507504</v>
      </c>
      <c r="L1352" t="s">
        <v>10</v>
      </c>
      <c r="M1352" t="s">
        <v>7</v>
      </c>
      <c r="N1352" t="b">
        <v>0</v>
      </c>
    </row>
    <row r="1353" spans="1:14" x14ac:dyDescent="0.3">
      <c r="A1353" t="s">
        <v>29</v>
      </c>
      <c r="B1353" t="s">
        <v>10</v>
      </c>
      <c r="C1353">
        <v>11</v>
      </c>
      <c r="D1353" t="s">
        <v>58</v>
      </c>
      <c r="E1353" t="s">
        <v>59</v>
      </c>
      <c r="G1353">
        <v>16</v>
      </c>
      <c r="H1353">
        <v>16</v>
      </c>
      <c r="I1353" t="s">
        <v>46</v>
      </c>
      <c r="J1353">
        <v>3000000</v>
      </c>
      <c r="K1353">
        <v>48000000</v>
      </c>
      <c r="L1353" t="s">
        <v>10</v>
      </c>
      <c r="M1353" t="s">
        <v>7</v>
      </c>
      <c r="N1353" t="b">
        <v>0</v>
      </c>
    </row>
    <row r="1354" spans="1:14" x14ac:dyDescent="0.3">
      <c r="A1354" t="s">
        <v>29</v>
      </c>
      <c r="B1354" t="s">
        <v>10</v>
      </c>
      <c r="C1354">
        <v>12</v>
      </c>
      <c r="E1354" t="s">
        <v>60</v>
      </c>
      <c r="G1354">
        <v>13.412044800000002</v>
      </c>
      <c r="H1354">
        <v>13.412044800000002</v>
      </c>
      <c r="I1354" t="s">
        <v>61</v>
      </c>
      <c r="J1354">
        <v>3600000</v>
      </c>
      <c r="K1354">
        <v>48283361.280000009</v>
      </c>
      <c r="L1354" t="s">
        <v>10</v>
      </c>
      <c r="M1354" t="s">
        <v>7</v>
      </c>
      <c r="N1354" t="b">
        <v>0</v>
      </c>
    </row>
    <row r="1355" spans="1:14" x14ac:dyDescent="0.3">
      <c r="A1355" t="s">
        <v>29</v>
      </c>
      <c r="B1355" t="s">
        <v>10</v>
      </c>
      <c r="C1355">
        <v>13</v>
      </c>
      <c r="D1355" t="s">
        <v>62</v>
      </c>
      <c r="E1355" t="s">
        <v>63</v>
      </c>
      <c r="G1355">
        <v>4.7039999999999997</v>
      </c>
      <c r="H1355">
        <v>4.7039999999999997</v>
      </c>
      <c r="I1355" t="s">
        <v>61</v>
      </c>
      <c r="J1355">
        <v>3600000</v>
      </c>
      <c r="K1355">
        <v>16934400</v>
      </c>
      <c r="L1355" t="s">
        <v>10</v>
      </c>
      <c r="M1355" t="s">
        <v>7</v>
      </c>
      <c r="N1355" t="b">
        <v>0</v>
      </c>
    </row>
    <row r="1356" spans="1:14" x14ac:dyDescent="0.3">
      <c r="A1356" t="s">
        <v>29</v>
      </c>
      <c r="B1356" t="s">
        <v>10</v>
      </c>
      <c r="C1356">
        <v>14</v>
      </c>
      <c r="E1356" t="s">
        <v>64</v>
      </c>
      <c r="G1356">
        <v>0.4</v>
      </c>
      <c r="H1356">
        <v>0.4</v>
      </c>
      <c r="I1356" t="s">
        <v>61</v>
      </c>
      <c r="J1356">
        <v>5500000</v>
      </c>
      <c r="K1356">
        <v>2200000</v>
      </c>
      <c r="L1356" t="s">
        <v>10</v>
      </c>
      <c r="M1356" t="s">
        <v>7</v>
      </c>
      <c r="N1356" t="b">
        <v>0</v>
      </c>
    </row>
    <row r="1357" spans="1:14" x14ac:dyDescent="0.3">
      <c r="A1357" t="s">
        <v>29</v>
      </c>
      <c r="B1357" t="s">
        <v>10</v>
      </c>
      <c r="C1357">
        <v>15</v>
      </c>
      <c r="D1357" t="s">
        <v>65</v>
      </c>
      <c r="E1357" t="s">
        <v>66</v>
      </c>
      <c r="G1357" t="s">
        <v>67</v>
      </c>
      <c r="H1357">
        <v>8</v>
      </c>
      <c r="I1357" t="s">
        <v>61</v>
      </c>
      <c r="J1357">
        <v>200000</v>
      </c>
      <c r="K1357">
        <v>1600000</v>
      </c>
      <c r="L1357" t="s">
        <v>10</v>
      </c>
      <c r="M1357" t="s">
        <v>7</v>
      </c>
      <c r="N1357" t="b">
        <v>0</v>
      </c>
    </row>
    <row r="1358" spans="1:14" x14ac:dyDescent="0.3">
      <c r="A1358" t="s">
        <v>29</v>
      </c>
      <c r="B1358" t="s">
        <v>10</v>
      </c>
      <c r="C1358">
        <v>16</v>
      </c>
      <c r="E1358" t="s">
        <v>68</v>
      </c>
      <c r="G1358">
        <v>8</v>
      </c>
      <c r="H1358">
        <v>8</v>
      </c>
      <c r="I1358" t="s">
        <v>61</v>
      </c>
      <c r="J1358">
        <v>200000</v>
      </c>
      <c r="K1358">
        <v>1600000</v>
      </c>
      <c r="L1358" t="s">
        <v>10</v>
      </c>
      <c r="M1358" t="s">
        <v>7</v>
      </c>
      <c r="N1358" t="b">
        <v>0</v>
      </c>
    </row>
    <row r="1359" spans="1:14" x14ac:dyDescent="0.3">
      <c r="A1359" t="s">
        <v>29</v>
      </c>
      <c r="B1359" t="s">
        <v>10</v>
      </c>
      <c r="C1359">
        <v>17</v>
      </c>
      <c r="E1359" t="s">
        <v>69</v>
      </c>
      <c r="G1359">
        <v>88</v>
      </c>
      <c r="H1359">
        <v>16</v>
      </c>
      <c r="I1359" t="s">
        <v>61</v>
      </c>
      <c r="J1359">
        <v>200000</v>
      </c>
      <c r="K1359">
        <v>3200000</v>
      </c>
      <c r="L1359" t="s">
        <v>10</v>
      </c>
      <c r="M1359" t="s">
        <v>7</v>
      </c>
      <c r="N1359" t="b">
        <v>0</v>
      </c>
    </row>
    <row r="1360" spans="1:14" x14ac:dyDescent="0.3">
      <c r="A1360" t="s">
        <v>29</v>
      </c>
      <c r="B1360" t="s">
        <v>10</v>
      </c>
      <c r="C1360">
        <v>18</v>
      </c>
      <c r="E1360" t="s">
        <v>70</v>
      </c>
      <c r="G1360">
        <v>16</v>
      </c>
      <c r="H1360">
        <v>16</v>
      </c>
      <c r="I1360" t="s">
        <v>61</v>
      </c>
      <c r="J1360">
        <v>400000</v>
      </c>
      <c r="K1360">
        <v>6400000</v>
      </c>
      <c r="L1360" t="s">
        <v>10</v>
      </c>
      <c r="M1360" t="s">
        <v>7</v>
      </c>
      <c r="N1360" t="b">
        <v>0</v>
      </c>
    </row>
    <row r="1361" spans="1:14" x14ac:dyDescent="0.3">
      <c r="A1361" t="s">
        <v>29</v>
      </c>
      <c r="B1361" t="s">
        <v>10</v>
      </c>
      <c r="C1361">
        <v>19</v>
      </c>
      <c r="E1361" t="s">
        <v>71</v>
      </c>
      <c r="G1361">
        <v>16</v>
      </c>
      <c r="H1361">
        <v>16</v>
      </c>
      <c r="I1361" t="s">
        <v>61</v>
      </c>
      <c r="J1361">
        <v>120000</v>
      </c>
      <c r="K1361">
        <v>1920000</v>
      </c>
      <c r="L1361" t="s">
        <v>10</v>
      </c>
      <c r="M1361" t="s">
        <v>7</v>
      </c>
      <c r="N1361" t="b">
        <v>0</v>
      </c>
    </row>
    <row r="1362" spans="1:14" x14ac:dyDescent="0.3">
      <c r="A1362" t="s">
        <v>29</v>
      </c>
      <c r="B1362" t="s">
        <v>10</v>
      </c>
      <c r="C1362">
        <v>20</v>
      </c>
      <c r="E1362" t="s">
        <v>72</v>
      </c>
      <c r="G1362">
        <v>24</v>
      </c>
      <c r="H1362">
        <v>24</v>
      </c>
      <c r="I1362" t="s">
        <v>61</v>
      </c>
      <c r="J1362">
        <v>400000</v>
      </c>
      <c r="K1362">
        <v>9600000</v>
      </c>
      <c r="L1362" t="s">
        <v>10</v>
      </c>
      <c r="M1362" t="s">
        <v>7</v>
      </c>
      <c r="N1362" t="b">
        <v>0</v>
      </c>
    </row>
    <row r="1363" spans="1:14" x14ac:dyDescent="0.3">
      <c r="A1363" t="s">
        <v>29</v>
      </c>
      <c r="B1363" t="s">
        <v>10</v>
      </c>
      <c r="C1363">
        <v>21</v>
      </c>
      <c r="D1363" t="s">
        <v>73</v>
      </c>
      <c r="E1363" t="s">
        <v>74</v>
      </c>
      <c r="F1363">
        <v>132</v>
      </c>
      <c r="G1363">
        <v>16</v>
      </c>
      <c r="H1363">
        <v>9.9916185600000009</v>
      </c>
      <c r="I1363" t="s">
        <v>46</v>
      </c>
      <c r="J1363">
        <v>35000000</v>
      </c>
      <c r="K1363">
        <v>349706649.60000002</v>
      </c>
      <c r="L1363" t="s">
        <v>10</v>
      </c>
      <c r="M1363" t="s">
        <v>7</v>
      </c>
      <c r="N1363" t="b">
        <v>0</v>
      </c>
    </row>
    <row r="1364" spans="1:14" x14ac:dyDescent="0.3">
      <c r="A1364" t="s">
        <v>29</v>
      </c>
      <c r="B1364" t="s">
        <v>10</v>
      </c>
      <c r="C1364">
        <v>22</v>
      </c>
      <c r="D1364" t="s">
        <v>75</v>
      </c>
      <c r="E1364" t="s">
        <v>76</v>
      </c>
      <c r="F1364" t="s">
        <v>77</v>
      </c>
      <c r="G1364">
        <v>2</v>
      </c>
      <c r="H1364">
        <v>2.6</v>
      </c>
      <c r="I1364" t="s">
        <v>46</v>
      </c>
      <c r="J1364">
        <v>5200000</v>
      </c>
      <c r="K1364">
        <v>13520000</v>
      </c>
      <c r="L1364" t="s">
        <v>10</v>
      </c>
      <c r="M1364" t="s">
        <v>7</v>
      </c>
      <c r="N1364" t="b">
        <v>0</v>
      </c>
    </row>
    <row r="1365" spans="1:14" x14ac:dyDescent="0.3">
      <c r="A1365" t="s">
        <v>29</v>
      </c>
      <c r="B1365" t="s">
        <v>10</v>
      </c>
      <c r="C1365">
        <v>23</v>
      </c>
      <c r="E1365" t="s">
        <v>78</v>
      </c>
      <c r="F1365" t="s">
        <v>79</v>
      </c>
      <c r="G1365">
        <v>2</v>
      </c>
      <c r="H1365">
        <v>1.2</v>
      </c>
      <c r="I1365" t="s">
        <v>46</v>
      </c>
      <c r="J1365">
        <v>5200000</v>
      </c>
      <c r="K1365">
        <v>6240000</v>
      </c>
      <c r="L1365" t="s">
        <v>10</v>
      </c>
      <c r="M1365" t="s">
        <v>7</v>
      </c>
      <c r="N1365" t="b">
        <v>0</v>
      </c>
    </row>
    <row r="1366" spans="1:14" x14ac:dyDescent="0.3">
      <c r="A1366" t="s">
        <v>29</v>
      </c>
      <c r="B1366" t="s">
        <v>10</v>
      </c>
      <c r="C1366">
        <v>24</v>
      </c>
      <c r="D1366" t="s">
        <v>80</v>
      </c>
      <c r="E1366" t="s">
        <v>81</v>
      </c>
      <c r="F1366" t="s">
        <v>82</v>
      </c>
      <c r="G1366">
        <v>2</v>
      </c>
      <c r="H1366">
        <v>1.487393</v>
      </c>
      <c r="I1366" t="s">
        <v>46</v>
      </c>
      <c r="J1366">
        <v>8500000</v>
      </c>
      <c r="K1366">
        <v>12642840.5</v>
      </c>
      <c r="L1366" t="s">
        <v>10</v>
      </c>
      <c r="M1366" t="s">
        <v>7</v>
      </c>
      <c r="N1366" t="b">
        <v>0</v>
      </c>
    </row>
    <row r="1367" spans="1:14" x14ac:dyDescent="0.3">
      <c r="A1367" t="s">
        <v>29</v>
      </c>
      <c r="B1367" t="s">
        <v>10</v>
      </c>
      <c r="C1367">
        <v>25</v>
      </c>
      <c r="D1367" t="s">
        <v>83</v>
      </c>
      <c r="E1367" t="s">
        <v>84</v>
      </c>
      <c r="F1367">
        <v>0.18</v>
      </c>
      <c r="G1367">
        <v>4</v>
      </c>
      <c r="H1367">
        <v>4</v>
      </c>
      <c r="I1367" t="s">
        <v>61</v>
      </c>
      <c r="J1367">
        <v>1014000</v>
      </c>
      <c r="K1367">
        <v>4056000</v>
      </c>
      <c r="L1367" t="s">
        <v>10</v>
      </c>
      <c r="M1367" t="s">
        <v>7</v>
      </c>
      <c r="N1367" t="b">
        <v>0</v>
      </c>
    </row>
    <row r="1368" spans="1:14" x14ac:dyDescent="0.3">
      <c r="A1368" t="s">
        <v>29</v>
      </c>
      <c r="B1368" t="s">
        <v>10</v>
      </c>
      <c r="C1368">
        <v>26</v>
      </c>
      <c r="E1368" t="s">
        <v>86</v>
      </c>
      <c r="F1368">
        <v>0.2</v>
      </c>
      <c r="G1368">
        <v>6</v>
      </c>
      <c r="H1368">
        <v>6</v>
      </c>
      <c r="I1368" t="s">
        <v>61</v>
      </c>
      <c r="J1368">
        <v>1014000</v>
      </c>
      <c r="K1368">
        <v>6084000</v>
      </c>
      <c r="L1368" t="s">
        <v>10</v>
      </c>
      <c r="M1368" t="s">
        <v>7</v>
      </c>
      <c r="N1368" t="b">
        <v>0</v>
      </c>
    </row>
    <row r="1369" spans="1:14" x14ac:dyDescent="0.3">
      <c r="A1369" t="s">
        <v>29</v>
      </c>
      <c r="B1369" t="s">
        <v>10</v>
      </c>
      <c r="C1369">
        <v>27</v>
      </c>
      <c r="D1369" t="s">
        <v>88</v>
      </c>
      <c r="E1369" t="s">
        <v>89</v>
      </c>
      <c r="F1369" t="s">
        <v>90</v>
      </c>
      <c r="G1369">
        <v>2</v>
      </c>
      <c r="H1369">
        <v>2</v>
      </c>
      <c r="I1369" t="s">
        <v>61</v>
      </c>
      <c r="J1369">
        <v>100000</v>
      </c>
      <c r="K1369">
        <v>200000</v>
      </c>
      <c r="L1369" t="s">
        <v>10</v>
      </c>
      <c r="M1369" t="s">
        <v>7</v>
      </c>
      <c r="N1369" t="b">
        <v>0</v>
      </c>
    </row>
    <row r="1370" spans="1:14" x14ac:dyDescent="0.3">
      <c r="A1370" t="s">
        <v>29</v>
      </c>
      <c r="B1370" t="s">
        <v>10</v>
      </c>
      <c r="C1370">
        <v>28</v>
      </c>
      <c r="D1370" t="s">
        <v>65</v>
      </c>
      <c r="E1370" t="s">
        <v>91</v>
      </c>
      <c r="G1370">
        <v>4</v>
      </c>
      <c r="H1370">
        <v>4</v>
      </c>
      <c r="I1370" t="s">
        <v>61</v>
      </c>
      <c r="J1370">
        <v>2400000</v>
      </c>
      <c r="K1370">
        <v>9600000</v>
      </c>
      <c r="L1370" t="s">
        <v>10</v>
      </c>
      <c r="M1370" t="s">
        <v>7</v>
      </c>
      <c r="N1370" t="b">
        <v>0</v>
      </c>
    </row>
    <row r="1371" spans="1:14" x14ac:dyDescent="0.3">
      <c r="A1371" t="s">
        <v>29</v>
      </c>
      <c r="B1371" t="s">
        <v>10</v>
      </c>
      <c r="C1371">
        <v>29</v>
      </c>
      <c r="E1371" t="s">
        <v>92</v>
      </c>
      <c r="G1371">
        <v>4</v>
      </c>
      <c r="H1371">
        <v>4</v>
      </c>
      <c r="I1371" t="s">
        <v>61</v>
      </c>
      <c r="J1371">
        <v>2400000</v>
      </c>
      <c r="K1371">
        <v>9600000</v>
      </c>
      <c r="L1371" t="s">
        <v>10</v>
      </c>
      <c r="M1371" t="s">
        <v>7</v>
      </c>
      <c r="N1371" t="b">
        <v>0</v>
      </c>
    </row>
    <row r="1372" spans="1:14" x14ac:dyDescent="0.3">
      <c r="A1372" t="s">
        <v>29</v>
      </c>
      <c r="B1372" t="s">
        <v>10</v>
      </c>
      <c r="C1372">
        <v>30</v>
      </c>
      <c r="E1372" t="s">
        <v>93</v>
      </c>
      <c r="G1372">
        <v>4</v>
      </c>
      <c r="H1372">
        <v>4</v>
      </c>
      <c r="I1372" t="s">
        <v>61</v>
      </c>
      <c r="J1372">
        <v>3000000</v>
      </c>
      <c r="K1372">
        <v>12000000</v>
      </c>
      <c r="L1372" t="s">
        <v>10</v>
      </c>
      <c r="M1372" t="s">
        <v>7</v>
      </c>
      <c r="N1372" t="b">
        <v>0</v>
      </c>
    </row>
    <row r="1373" spans="1:14" x14ac:dyDescent="0.3">
      <c r="A1373" t="s">
        <v>29</v>
      </c>
      <c r="B1373" t="s">
        <v>10</v>
      </c>
      <c r="C1373">
        <v>31</v>
      </c>
      <c r="D1373" t="s">
        <v>94</v>
      </c>
      <c r="E1373" t="s">
        <v>95</v>
      </c>
      <c r="G1373">
        <v>2</v>
      </c>
      <c r="H1373">
        <v>2</v>
      </c>
      <c r="I1373" t="s">
        <v>61</v>
      </c>
      <c r="J1373">
        <v>1300000</v>
      </c>
      <c r="K1373">
        <v>2600000</v>
      </c>
      <c r="L1373" t="s">
        <v>10</v>
      </c>
      <c r="M1373" t="s">
        <v>7</v>
      </c>
      <c r="N1373" t="b">
        <v>0</v>
      </c>
    </row>
    <row r="1374" spans="1:14" x14ac:dyDescent="0.3">
      <c r="A1374" t="s">
        <v>29</v>
      </c>
      <c r="B1374" t="s">
        <v>10</v>
      </c>
      <c r="C1374">
        <v>32</v>
      </c>
      <c r="D1374" t="s">
        <v>94</v>
      </c>
      <c r="E1374" t="s">
        <v>96</v>
      </c>
      <c r="G1374">
        <v>8</v>
      </c>
      <c r="H1374">
        <v>1.3440000000000001</v>
      </c>
      <c r="I1374" t="s">
        <v>97</v>
      </c>
      <c r="J1374">
        <v>460000</v>
      </c>
      <c r="K1374">
        <v>618240</v>
      </c>
      <c r="L1374" t="s">
        <v>10</v>
      </c>
      <c r="M1374" t="s">
        <v>7</v>
      </c>
      <c r="N1374" t="b">
        <v>0</v>
      </c>
    </row>
    <row r="1375" spans="1:14" x14ac:dyDescent="0.3">
      <c r="A1375" t="s">
        <v>29</v>
      </c>
      <c r="B1375" t="s">
        <v>10</v>
      </c>
      <c r="C1375">
        <v>33</v>
      </c>
      <c r="D1375" t="s">
        <v>98</v>
      </c>
      <c r="E1375" t="s">
        <v>99</v>
      </c>
      <c r="F1375">
        <v>50</v>
      </c>
      <c r="G1375">
        <v>8</v>
      </c>
      <c r="H1375">
        <v>0.8</v>
      </c>
      <c r="I1375" t="s">
        <v>100</v>
      </c>
      <c r="J1375">
        <v>12655280.000000002</v>
      </c>
      <c r="K1375">
        <v>10124224.000000002</v>
      </c>
      <c r="L1375" t="s">
        <v>10</v>
      </c>
      <c r="M1375" t="s">
        <v>7</v>
      </c>
      <c r="N1375" t="b">
        <v>0</v>
      </c>
    </row>
    <row r="1376" spans="1:14" x14ac:dyDescent="0.3">
      <c r="A1376" t="s">
        <v>29</v>
      </c>
      <c r="B1376" t="s">
        <v>10</v>
      </c>
      <c r="C1376">
        <v>28</v>
      </c>
      <c r="E1376" t="s">
        <v>101</v>
      </c>
      <c r="H1376">
        <v>8</v>
      </c>
      <c r="I1376" t="s">
        <v>102</v>
      </c>
      <c r="J1376">
        <v>13000000</v>
      </c>
      <c r="K1376">
        <v>104000000</v>
      </c>
      <c r="L1376" t="s">
        <v>10</v>
      </c>
      <c r="M1376" t="s">
        <v>7</v>
      </c>
      <c r="N1376" t="b">
        <v>0</v>
      </c>
    </row>
    <row r="1377" spans="1:14" x14ac:dyDescent="0.3">
      <c r="A1377" t="s">
        <v>29</v>
      </c>
      <c r="B1377" t="s">
        <v>10</v>
      </c>
      <c r="C1377">
        <v>29</v>
      </c>
      <c r="E1377" t="s">
        <v>107</v>
      </c>
      <c r="H1377">
        <v>0</v>
      </c>
      <c r="I1377" t="s">
        <v>108</v>
      </c>
      <c r="K1377">
        <v>0</v>
      </c>
      <c r="L1377" t="s">
        <v>10</v>
      </c>
      <c r="M1377" t="s">
        <v>7</v>
      </c>
      <c r="N1377" t="b">
        <v>0</v>
      </c>
    </row>
    <row r="1378" spans="1:14" x14ac:dyDescent="0.3">
      <c r="A1378" t="s">
        <v>29</v>
      </c>
      <c r="B1378" t="s">
        <v>11</v>
      </c>
      <c r="C1378">
        <v>1</v>
      </c>
      <c r="D1378" t="s">
        <v>75</v>
      </c>
      <c r="E1378" t="s">
        <v>109</v>
      </c>
      <c r="G1378">
        <v>1</v>
      </c>
      <c r="H1378">
        <v>9</v>
      </c>
      <c r="I1378" t="s">
        <v>46</v>
      </c>
      <c r="J1378">
        <v>5200000</v>
      </c>
      <c r="K1378">
        <v>46800000</v>
      </c>
      <c r="L1378" t="s">
        <v>11</v>
      </c>
      <c r="M1378" t="s">
        <v>7</v>
      </c>
      <c r="N1378" t="b">
        <v>0</v>
      </c>
    </row>
    <row r="1379" spans="1:14" x14ac:dyDescent="0.3">
      <c r="A1379" t="s">
        <v>29</v>
      </c>
      <c r="B1379" t="s">
        <v>11</v>
      </c>
      <c r="C1379">
        <v>4</v>
      </c>
      <c r="D1379" t="s">
        <v>110</v>
      </c>
      <c r="E1379" t="s">
        <v>111</v>
      </c>
      <c r="G1379">
        <v>4</v>
      </c>
      <c r="H1379">
        <v>0.5</v>
      </c>
      <c r="I1379" t="s">
        <v>46</v>
      </c>
      <c r="J1379">
        <v>22000000</v>
      </c>
      <c r="K1379">
        <v>11000000</v>
      </c>
      <c r="L1379" t="s">
        <v>11</v>
      </c>
      <c r="M1379" t="s">
        <v>7</v>
      </c>
      <c r="N1379" t="b">
        <v>0</v>
      </c>
    </row>
    <row r="1380" spans="1:14" x14ac:dyDescent="0.3">
      <c r="A1380" t="s">
        <v>29</v>
      </c>
      <c r="B1380" t="s">
        <v>11</v>
      </c>
      <c r="C1380">
        <v>5</v>
      </c>
      <c r="E1380" t="s">
        <v>112</v>
      </c>
      <c r="G1380">
        <v>20</v>
      </c>
      <c r="H1380">
        <v>20</v>
      </c>
      <c r="I1380" t="s">
        <v>61</v>
      </c>
      <c r="J1380">
        <v>26000</v>
      </c>
      <c r="K1380">
        <v>520000</v>
      </c>
      <c r="L1380" t="s">
        <v>11</v>
      </c>
      <c r="M1380" t="s">
        <v>7</v>
      </c>
      <c r="N1380" t="b">
        <v>0</v>
      </c>
    </row>
    <row r="1381" spans="1:14" x14ac:dyDescent="0.3">
      <c r="A1381" t="s">
        <v>29</v>
      </c>
      <c r="B1381" t="s">
        <v>11</v>
      </c>
      <c r="C1381">
        <v>6</v>
      </c>
      <c r="E1381" t="s">
        <v>113</v>
      </c>
      <c r="G1381">
        <v>6</v>
      </c>
      <c r="H1381">
        <v>6</v>
      </c>
      <c r="I1381" t="s">
        <v>61</v>
      </c>
      <c r="J1381">
        <v>195000</v>
      </c>
      <c r="K1381">
        <v>1170000</v>
      </c>
      <c r="L1381" t="s">
        <v>11</v>
      </c>
      <c r="M1381" t="s">
        <v>7</v>
      </c>
      <c r="N1381" t="b">
        <v>0</v>
      </c>
    </row>
    <row r="1382" spans="1:14" x14ac:dyDescent="0.3">
      <c r="A1382" t="s">
        <v>29</v>
      </c>
      <c r="B1382" t="s">
        <v>11</v>
      </c>
      <c r="C1382">
        <v>7</v>
      </c>
      <c r="E1382" t="s">
        <v>114</v>
      </c>
      <c r="G1382">
        <v>20</v>
      </c>
      <c r="H1382">
        <v>20</v>
      </c>
      <c r="I1382" t="s">
        <v>61</v>
      </c>
      <c r="J1382">
        <v>13000</v>
      </c>
      <c r="K1382">
        <v>260000</v>
      </c>
      <c r="L1382" t="s">
        <v>11</v>
      </c>
      <c r="M1382" t="s">
        <v>7</v>
      </c>
      <c r="N1382" t="b">
        <v>0</v>
      </c>
    </row>
    <row r="1383" spans="1:14" x14ac:dyDescent="0.3">
      <c r="A1383" t="s">
        <v>29</v>
      </c>
      <c r="B1383" t="s">
        <v>11</v>
      </c>
      <c r="C1383">
        <v>8</v>
      </c>
      <c r="E1383" t="s">
        <v>115</v>
      </c>
      <c r="G1383">
        <v>20</v>
      </c>
      <c r="H1383">
        <v>20</v>
      </c>
      <c r="I1383" t="s">
        <v>61</v>
      </c>
      <c r="J1383">
        <v>75000</v>
      </c>
      <c r="K1383">
        <v>1500000</v>
      </c>
      <c r="L1383" t="s">
        <v>11</v>
      </c>
      <c r="M1383" t="s">
        <v>7</v>
      </c>
      <c r="N1383" t="b">
        <v>0</v>
      </c>
    </row>
    <row r="1384" spans="1:14" x14ac:dyDescent="0.3">
      <c r="A1384" t="s">
        <v>29</v>
      </c>
      <c r="B1384" t="s">
        <v>11</v>
      </c>
      <c r="C1384">
        <v>9</v>
      </c>
      <c r="E1384" t="s">
        <v>116</v>
      </c>
      <c r="G1384">
        <v>1</v>
      </c>
      <c r="H1384">
        <v>1</v>
      </c>
      <c r="I1384" t="s">
        <v>61</v>
      </c>
      <c r="J1384">
        <v>11250000</v>
      </c>
      <c r="K1384">
        <v>11250000</v>
      </c>
      <c r="L1384" t="s">
        <v>11</v>
      </c>
      <c r="M1384" t="s">
        <v>7</v>
      </c>
      <c r="N1384" t="b">
        <v>0</v>
      </c>
    </row>
    <row r="1385" spans="1:14" x14ac:dyDescent="0.3">
      <c r="A1385" t="s">
        <v>29</v>
      </c>
      <c r="B1385" t="s">
        <v>11</v>
      </c>
      <c r="C1385">
        <v>10</v>
      </c>
      <c r="E1385" t="s">
        <v>117</v>
      </c>
      <c r="G1385">
        <v>1</v>
      </c>
      <c r="H1385">
        <v>1</v>
      </c>
      <c r="I1385" t="s">
        <v>61</v>
      </c>
      <c r="J1385">
        <v>7500000</v>
      </c>
      <c r="K1385">
        <v>7500000</v>
      </c>
      <c r="L1385" t="s">
        <v>11</v>
      </c>
      <c r="M1385" t="s">
        <v>7</v>
      </c>
      <c r="N1385" t="b">
        <v>0</v>
      </c>
    </row>
    <row r="1386" spans="1:14" x14ac:dyDescent="0.3">
      <c r="A1386" t="s">
        <v>29</v>
      </c>
      <c r="B1386" t="s">
        <v>11</v>
      </c>
      <c r="C1386">
        <v>11</v>
      </c>
      <c r="E1386" t="s">
        <v>118</v>
      </c>
      <c r="G1386">
        <v>2</v>
      </c>
      <c r="H1386">
        <v>2</v>
      </c>
      <c r="I1386" t="s">
        <v>61</v>
      </c>
      <c r="J1386">
        <v>150000</v>
      </c>
      <c r="K1386">
        <v>300000</v>
      </c>
      <c r="L1386" t="s">
        <v>11</v>
      </c>
      <c r="M1386" t="s">
        <v>7</v>
      </c>
      <c r="N1386" t="b">
        <v>0</v>
      </c>
    </row>
    <row r="1387" spans="1:14" x14ac:dyDescent="0.3">
      <c r="A1387" t="s">
        <v>29</v>
      </c>
      <c r="B1387" t="s">
        <v>11</v>
      </c>
      <c r="C1387">
        <v>12</v>
      </c>
      <c r="E1387" t="s">
        <v>119</v>
      </c>
      <c r="G1387">
        <v>2</v>
      </c>
      <c r="H1387">
        <v>2</v>
      </c>
      <c r="I1387" t="s">
        <v>61</v>
      </c>
      <c r="J1387">
        <v>100000</v>
      </c>
      <c r="K1387">
        <v>200000</v>
      </c>
      <c r="L1387" t="s">
        <v>11</v>
      </c>
      <c r="M1387" t="s">
        <v>7</v>
      </c>
      <c r="N1387" t="b">
        <v>0</v>
      </c>
    </row>
    <row r="1388" spans="1:14" x14ac:dyDescent="0.3">
      <c r="A1388" t="s">
        <v>29</v>
      </c>
      <c r="B1388" t="s">
        <v>11</v>
      </c>
      <c r="C1388">
        <v>13</v>
      </c>
      <c r="E1388" t="s">
        <v>120</v>
      </c>
      <c r="G1388">
        <v>4</v>
      </c>
      <c r="H1388">
        <v>4</v>
      </c>
      <c r="I1388" t="s">
        <v>61</v>
      </c>
      <c r="J1388">
        <v>50000</v>
      </c>
      <c r="K1388">
        <v>200000</v>
      </c>
      <c r="L1388" t="s">
        <v>11</v>
      </c>
      <c r="M1388" t="s">
        <v>7</v>
      </c>
      <c r="N1388" t="b">
        <v>0</v>
      </c>
    </row>
    <row r="1389" spans="1:14" x14ac:dyDescent="0.3">
      <c r="A1389" t="s">
        <v>29</v>
      </c>
      <c r="B1389" t="s">
        <v>11</v>
      </c>
      <c r="C1389">
        <v>14</v>
      </c>
      <c r="E1389" t="s">
        <v>121</v>
      </c>
      <c r="G1389">
        <v>2</v>
      </c>
      <c r="H1389">
        <v>2</v>
      </c>
      <c r="I1389" t="s">
        <v>61</v>
      </c>
      <c r="J1389">
        <v>100000</v>
      </c>
      <c r="K1389">
        <v>200000</v>
      </c>
      <c r="L1389" t="s">
        <v>11</v>
      </c>
      <c r="M1389" t="s">
        <v>7</v>
      </c>
      <c r="N1389" t="b">
        <v>0</v>
      </c>
    </row>
    <row r="1390" spans="1:14" x14ac:dyDescent="0.3">
      <c r="A1390" t="s">
        <v>29</v>
      </c>
      <c r="B1390" t="s">
        <v>11</v>
      </c>
      <c r="C1390">
        <v>15</v>
      </c>
      <c r="E1390" t="s">
        <v>122</v>
      </c>
      <c r="G1390">
        <v>1</v>
      </c>
      <c r="H1390">
        <v>0.1</v>
      </c>
      <c r="I1390" t="s">
        <v>46</v>
      </c>
      <c r="J1390">
        <v>4200000</v>
      </c>
      <c r="K1390">
        <v>420000</v>
      </c>
      <c r="L1390" t="s">
        <v>11</v>
      </c>
      <c r="M1390" t="s">
        <v>7</v>
      </c>
      <c r="N1390" t="b">
        <v>0</v>
      </c>
    </row>
    <row r="1391" spans="1:14" x14ac:dyDescent="0.3">
      <c r="A1391" t="s">
        <v>29</v>
      </c>
      <c r="B1391" t="s">
        <v>11</v>
      </c>
      <c r="C1391">
        <v>16</v>
      </c>
      <c r="E1391" t="s">
        <v>123</v>
      </c>
      <c r="G1391">
        <v>1</v>
      </c>
      <c r="H1391">
        <v>0.3</v>
      </c>
      <c r="I1391" t="s">
        <v>97</v>
      </c>
      <c r="K1391">
        <v>0</v>
      </c>
      <c r="L1391" t="s">
        <v>11</v>
      </c>
      <c r="M1391" t="s">
        <v>7</v>
      </c>
      <c r="N1391" t="b">
        <v>0</v>
      </c>
    </row>
    <row r="1392" spans="1:14" x14ac:dyDescent="0.3">
      <c r="A1392" t="s">
        <v>29</v>
      </c>
      <c r="B1392" t="s">
        <v>11</v>
      </c>
      <c r="C1392">
        <v>17</v>
      </c>
      <c r="E1392" t="s">
        <v>124</v>
      </c>
      <c r="G1392">
        <v>1</v>
      </c>
      <c r="H1392">
        <v>0.15</v>
      </c>
      <c r="I1392" t="s">
        <v>97</v>
      </c>
      <c r="K1392">
        <v>0</v>
      </c>
      <c r="L1392" t="s">
        <v>11</v>
      </c>
      <c r="M1392" t="s">
        <v>7</v>
      </c>
      <c r="N1392" t="b">
        <v>0</v>
      </c>
    </row>
    <row r="1393" spans="1:14" x14ac:dyDescent="0.3">
      <c r="A1393" t="s">
        <v>29</v>
      </c>
      <c r="B1393" t="s">
        <v>11</v>
      </c>
      <c r="C1393">
        <v>18</v>
      </c>
      <c r="E1393" t="s">
        <v>125</v>
      </c>
      <c r="G1393">
        <v>1</v>
      </c>
      <c r="I1393" t="s">
        <v>61</v>
      </c>
      <c r="K1393">
        <v>0</v>
      </c>
      <c r="L1393" t="s">
        <v>11</v>
      </c>
      <c r="M1393" t="s">
        <v>7</v>
      </c>
      <c r="N1393" t="b">
        <v>0</v>
      </c>
    </row>
    <row r="1394" spans="1:14" x14ac:dyDescent="0.3">
      <c r="A1394" t="s">
        <v>29</v>
      </c>
      <c r="B1394" t="s">
        <v>11</v>
      </c>
      <c r="C1394">
        <v>19</v>
      </c>
      <c r="E1394" t="s">
        <v>126</v>
      </c>
      <c r="G1394">
        <v>1</v>
      </c>
      <c r="I1394" t="s">
        <v>61</v>
      </c>
      <c r="K1394">
        <v>0</v>
      </c>
      <c r="L1394" t="s">
        <v>11</v>
      </c>
      <c r="M1394" t="s">
        <v>7</v>
      </c>
      <c r="N1394" t="b">
        <v>0</v>
      </c>
    </row>
    <row r="1395" spans="1:14" x14ac:dyDescent="0.3">
      <c r="A1395" t="s">
        <v>29</v>
      </c>
      <c r="B1395" t="s">
        <v>11</v>
      </c>
      <c r="C1395">
        <v>20</v>
      </c>
      <c r="E1395" t="s">
        <v>127</v>
      </c>
      <c r="G1395">
        <v>1</v>
      </c>
      <c r="I1395" t="s">
        <v>61</v>
      </c>
      <c r="K1395">
        <v>0</v>
      </c>
      <c r="L1395" t="s">
        <v>11</v>
      </c>
      <c r="M1395" t="s">
        <v>7</v>
      </c>
      <c r="N1395" t="b">
        <v>0</v>
      </c>
    </row>
    <row r="1396" spans="1:14" x14ac:dyDescent="0.3">
      <c r="A1396" t="s">
        <v>29</v>
      </c>
      <c r="B1396" t="s">
        <v>11</v>
      </c>
      <c r="C1396">
        <v>21</v>
      </c>
      <c r="E1396" t="s">
        <v>128</v>
      </c>
      <c r="G1396">
        <v>1</v>
      </c>
      <c r="H1396">
        <v>1</v>
      </c>
      <c r="I1396" t="s">
        <v>61</v>
      </c>
      <c r="J1396">
        <v>74000000</v>
      </c>
      <c r="K1396">
        <v>74000000</v>
      </c>
      <c r="L1396" t="s">
        <v>11</v>
      </c>
      <c r="M1396" t="s">
        <v>7</v>
      </c>
      <c r="N1396" t="b">
        <v>0</v>
      </c>
    </row>
    <row r="1397" spans="1:14" x14ac:dyDescent="0.3">
      <c r="A1397" t="s">
        <v>29</v>
      </c>
      <c r="B1397" t="s">
        <v>11</v>
      </c>
      <c r="C1397">
        <v>7</v>
      </c>
      <c r="E1397" t="s">
        <v>101</v>
      </c>
      <c r="H1397">
        <v>5</v>
      </c>
      <c r="I1397" t="s">
        <v>102</v>
      </c>
      <c r="J1397">
        <v>13000000</v>
      </c>
      <c r="K1397">
        <v>65000000</v>
      </c>
      <c r="L1397" t="s">
        <v>11</v>
      </c>
      <c r="M1397" t="s">
        <v>7</v>
      </c>
      <c r="N1397" t="b">
        <v>0</v>
      </c>
    </row>
    <row r="1398" spans="1:14" x14ac:dyDescent="0.3">
      <c r="A1398" t="s">
        <v>29</v>
      </c>
      <c r="B1398" t="s">
        <v>11</v>
      </c>
      <c r="C1398">
        <v>8</v>
      </c>
      <c r="E1398" t="s">
        <v>107</v>
      </c>
      <c r="H1398">
        <v>0</v>
      </c>
      <c r="I1398" t="s">
        <v>108</v>
      </c>
      <c r="K1398">
        <v>0</v>
      </c>
      <c r="L1398" t="s">
        <v>11</v>
      </c>
      <c r="M1398" t="s">
        <v>7</v>
      </c>
      <c r="N1398" t="b">
        <v>0</v>
      </c>
    </row>
    <row r="1399" spans="1:14" x14ac:dyDescent="0.3">
      <c r="A1399" t="s">
        <v>29</v>
      </c>
      <c r="B1399" t="s">
        <v>12</v>
      </c>
      <c r="C1399">
        <v>1</v>
      </c>
      <c r="D1399" t="s">
        <v>129</v>
      </c>
      <c r="E1399" t="s">
        <v>130</v>
      </c>
      <c r="G1399">
        <v>1</v>
      </c>
      <c r="H1399">
        <v>7</v>
      </c>
      <c r="I1399" t="s">
        <v>131</v>
      </c>
      <c r="J1399">
        <v>34500000</v>
      </c>
      <c r="K1399">
        <v>241500000</v>
      </c>
      <c r="L1399" t="s">
        <v>12</v>
      </c>
      <c r="M1399" t="s">
        <v>7</v>
      </c>
      <c r="N1399" t="b">
        <v>0</v>
      </c>
    </row>
    <row r="1400" spans="1:14" x14ac:dyDescent="0.3">
      <c r="A1400" t="s">
        <v>29</v>
      </c>
      <c r="B1400" t="s">
        <v>12</v>
      </c>
      <c r="D1400" t="s">
        <v>58</v>
      </c>
      <c r="E1400" t="s">
        <v>60</v>
      </c>
      <c r="G1400">
        <v>0</v>
      </c>
      <c r="H1400">
        <v>20</v>
      </c>
      <c r="I1400" t="s">
        <v>46</v>
      </c>
      <c r="J1400">
        <v>3600000</v>
      </c>
      <c r="K1400">
        <v>72000000</v>
      </c>
      <c r="L1400" t="s">
        <v>12</v>
      </c>
      <c r="M1400" t="s">
        <v>7</v>
      </c>
      <c r="N1400" t="b">
        <v>0</v>
      </c>
    </row>
    <row r="1401" spans="1:14" x14ac:dyDescent="0.3">
      <c r="A1401" t="s">
        <v>29</v>
      </c>
      <c r="B1401" t="s">
        <v>12</v>
      </c>
      <c r="C1401">
        <v>3</v>
      </c>
      <c r="E1401" t="s">
        <v>132</v>
      </c>
      <c r="G1401">
        <v>16</v>
      </c>
      <c r="I1401" t="s">
        <v>61</v>
      </c>
      <c r="J1401">
        <v>50000</v>
      </c>
      <c r="K1401">
        <v>800000</v>
      </c>
      <c r="L1401" t="s">
        <v>12</v>
      </c>
      <c r="M1401" t="s">
        <v>7</v>
      </c>
      <c r="N1401" t="b">
        <v>0</v>
      </c>
    </row>
    <row r="1402" spans="1:14" x14ac:dyDescent="0.3">
      <c r="A1402" t="s">
        <v>29</v>
      </c>
      <c r="B1402" t="s">
        <v>12</v>
      </c>
      <c r="C1402">
        <v>4</v>
      </c>
      <c r="E1402" t="s">
        <v>133</v>
      </c>
      <c r="G1402">
        <v>16</v>
      </c>
      <c r="I1402" t="s">
        <v>61</v>
      </c>
      <c r="J1402">
        <v>15000</v>
      </c>
      <c r="K1402">
        <v>240000</v>
      </c>
      <c r="L1402" t="s">
        <v>12</v>
      </c>
      <c r="M1402" t="s">
        <v>7</v>
      </c>
      <c r="N1402" t="b">
        <v>0</v>
      </c>
    </row>
    <row r="1403" spans="1:14" x14ac:dyDescent="0.3">
      <c r="A1403" t="s">
        <v>29</v>
      </c>
      <c r="B1403" t="s">
        <v>12</v>
      </c>
      <c r="C1403">
        <v>5</v>
      </c>
      <c r="E1403" t="s">
        <v>134</v>
      </c>
      <c r="G1403">
        <v>32</v>
      </c>
      <c r="I1403" t="s">
        <v>61</v>
      </c>
      <c r="J1403">
        <v>5000</v>
      </c>
      <c r="K1403">
        <v>160000</v>
      </c>
      <c r="L1403" t="s">
        <v>12</v>
      </c>
      <c r="M1403" t="s">
        <v>7</v>
      </c>
      <c r="N1403" t="b">
        <v>0</v>
      </c>
    </row>
    <row r="1404" spans="1:14" x14ac:dyDescent="0.3">
      <c r="A1404" t="s">
        <v>29</v>
      </c>
      <c r="B1404" t="s">
        <v>12</v>
      </c>
      <c r="C1404">
        <v>6</v>
      </c>
      <c r="E1404" t="s">
        <v>135</v>
      </c>
      <c r="G1404">
        <v>16</v>
      </c>
      <c r="I1404" t="s">
        <v>61</v>
      </c>
      <c r="J1404">
        <v>5000</v>
      </c>
      <c r="K1404">
        <v>80000</v>
      </c>
      <c r="L1404" t="s">
        <v>12</v>
      </c>
      <c r="M1404" t="s">
        <v>7</v>
      </c>
      <c r="N1404" t="b">
        <v>0</v>
      </c>
    </row>
    <row r="1405" spans="1:14" x14ac:dyDescent="0.3">
      <c r="A1405" t="s">
        <v>29</v>
      </c>
      <c r="B1405" t="s">
        <v>12</v>
      </c>
      <c r="C1405">
        <v>7</v>
      </c>
      <c r="E1405" t="s">
        <v>101</v>
      </c>
      <c r="H1405">
        <v>1</v>
      </c>
      <c r="I1405" t="s">
        <v>102</v>
      </c>
      <c r="J1405">
        <v>13000000</v>
      </c>
      <c r="K1405">
        <v>13000000</v>
      </c>
      <c r="L1405" t="s">
        <v>12</v>
      </c>
      <c r="M1405" t="s">
        <v>7</v>
      </c>
      <c r="N1405" t="b">
        <v>0</v>
      </c>
    </row>
    <row r="1406" spans="1:14" x14ac:dyDescent="0.3">
      <c r="A1406" t="s">
        <v>29</v>
      </c>
      <c r="B1406" t="s">
        <v>12</v>
      </c>
      <c r="C1406">
        <v>8</v>
      </c>
      <c r="E1406" t="s">
        <v>107</v>
      </c>
      <c r="H1406">
        <v>0</v>
      </c>
      <c r="I1406" t="s">
        <v>108</v>
      </c>
      <c r="K1406">
        <v>0</v>
      </c>
      <c r="L1406" t="s">
        <v>12</v>
      </c>
      <c r="M1406" t="s">
        <v>7</v>
      </c>
      <c r="N1406" t="b">
        <v>0</v>
      </c>
    </row>
    <row r="1407" spans="1:14" x14ac:dyDescent="0.3">
      <c r="A1407" t="s">
        <v>29</v>
      </c>
      <c r="B1407" t="s">
        <v>13</v>
      </c>
      <c r="C1407">
        <v>1</v>
      </c>
      <c r="D1407" t="s">
        <v>73</v>
      </c>
      <c r="E1407" t="s">
        <v>136</v>
      </c>
      <c r="G1407">
        <v>1</v>
      </c>
      <c r="H1407">
        <v>20</v>
      </c>
      <c r="I1407" t="s">
        <v>46</v>
      </c>
      <c r="J1407">
        <v>8500000</v>
      </c>
      <c r="K1407">
        <v>170000000</v>
      </c>
      <c r="L1407" t="s">
        <v>13</v>
      </c>
      <c r="M1407" t="s">
        <v>7</v>
      </c>
      <c r="N1407" t="b">
        <v>0</v>
      </c>
    </row>
    <row r="1408" spans="1:14" x14ac:dyDescent="0.3">
      <c r="A1408" t="s">
        <v>29</v>
      </c>
      <c r="B1408" t="s">
        <v>13</v>
      </c>
      <c r="D1408" t="s">
        <v>58</v>
      </c>
      <c r="E1408" t="s">
        <v>60</v>
      </c>
      <c r="G1408">
        <v>0</v>
      </c>
      <c r="H1408">
        <v>20</v>
      </c>
      <c r="I1408" t="s">
        <v>46</v>
      </c>
      <c r="J1408">
        <v>3600000</v>
      </c>
      <c r="K1408">
        <v>72000000</v>
      </c>
      <c r="L1408" t="s">
        <v>13</v>
      </c>
      <c r="M1408" t="s">
        <v>7</v>
      </c>
      <c r="N1408" t="b">
        <v>0</v>
      </c>
    </row>
    <row r="1409" spans="1:14" x14ac:dyDescent="0.3">
      <c r="A1409" t="s">
        <v>29</v>
      </c>
      <c r="B1409" t="s">
        <v>13</v>
      </c>
      <c r="C1409">
        <v>3</v>
      </c>
      <c r="E1409" t="s">
        <v>132</v>
      </c>
      <c r="G1409">
        <v>4</v>
      </c>
      <c r="I1409" t="s">
        <v>61</v>
      </c>
      <c r="J1409">
        <v>50000</v>
      </c>
      <c r="K1409">
        <v>200000</v>
      </c>
      <c r="L1409" t="s">
        <v>13</v>
      </c>
      <c r="M1409" t="s">
        <v>7</v>
      </c>
      <c r="N1409" t="b">
        <v>0</v>
      </c>
    </row>
    <row r="1410" spans="1:14" x14ac:dyDescent="0.3">
      <c r="A1410" t="s">
        <v>29</v>
      </c>
      <c r="B1410" t="s">
        <v>13</v>
      </c>
      <c r="C1410">
        <v>4</v>
      </c>
      <c r="E1410" t="s">
        <v>133</v>
      </c>
      <c r="G1410">
        <v>4</v>
      </c>
      <c r="I1410" t="s">
        <v>61</v>
      </c>
      <c r="J1410">
        <v>15000</v>
      </c>
      <c r="K1410">
        <v>60000</v>
      </c>
      <c r="L1410" t="s">
        <v>13</v>
      </c>
      <c r="M1410" t="s">
        <v>7</v>
      </c>
      <c r="N1410" t="b">
        <v>0</v>
      </c>
    </row>
    <row r="1411" spans="1:14" x14ac:dyDescent="0.3">
      <c r="A1411" t="s">
        <v>29</v>
      </c>
      <c r="B1411" t="s">
        <v>13</v>
      </c>
      <c r="C1411">
        <v>5</v>
      </c>
      <c r="E1411" t="s">
        <v>134</v>
      </c>
      <c r="G1411">
        <v>8</v>
      </c>
      <c r="I1411" t="s">
        <v>61</v>
      </c>
      <c r="J1411">
        <v>5000</v>
      </c>
      <c r="K1411">
        <v>40000</v>
      </c>
      <c r="L1411" t="s">
        <v>13</v>
      </c>
      <c r="M1411" t="s">
        <v>7</v>
      </c>
      <c r="N1411" t="b">
        <v>0</v>
      </c>
    </row>
    <row r="1412" spans="1:14" x14ac:dyDescent="0.3">
      <c r="A1412" t="s">
        <v>29</v>
      </c>
      <c r="B1412" t="s">
        <v>13</v>
      </c>
      <c r="C1412">
        <v>6</v>
      </c>
      <c r="E1412" t="s">
        <v>135</v>
      </c>
      <c r="G1412">
        <v>4</v>
      </c>
      <c r="I1412" t="s">
        <v>61</v>
      </c>
      <c r="J1412">
        <v>5000</v>
      </c>
      <c r="K1412">
        <v>20000</v>
      </c>
      <c r="L1412" t="s">
        <v>13</v>
      </c>
      <c r="M1412" t="s">
        <v>7</v>
      </c>
      <c r="N1412" t="b">
        <v>0</v>
      </c>
    </row>
    <row r="1413" spans="1:14" x14ac:dyDescent="0.3">
      <c r="A1413" t="s">
        <v>29</v>
      </c>
      <c r="B1413" t="s">
        <v>13</v>
      </c>
      <c r="C1413">
        <v>7</v>
      </c>
      <c r="E1413" t="s">
        <v>101</v>
      </c>
      <c r="H1413">
        <v>5</v>
      </c>
      <c r="I1413" t="s">
        <v>102</v>
      </c>
      <c r="J1413">
        <v>13000000</v>
      </c>
      <c r="K1413">
        <v>65000000</v>
      </c>
      <c r="L1413" t="s">
        <v>13</v>
      </c>
      <c r="M1413" t="s">
        <v>7</v>
      </c>
      <c r="N1413" t="b">
        <v>0</v>
      </c>
    </row>
    <row r="1414" spans="1:14" x14ac:dyDescent="0.3">
      <c r="A1414" t="s">
        <v>29</v>
      </c>
      <c r="B1414" t="s">
        <v>13</v>
      </c>
      <c r="C1414">
        <v>8</v>
      </c>
      <c r="E1414" t="s">
        <v>107</v>
      </c>
      <c r="H1414">
        <v>0</v>
      </c>
      <c r="I1414" t="s">
        <v>108</v>
      </c>
      <c r="K1414">
        <v>0</v>
      </c>
      <c r="L1414" t="s">
        <v>13</v>
      </c>
      <c r="M1414" t="s">
        <v>7</v>
      </c>
      <c r="N1414" t="b">
        <v>0</v>
      </c>
    </row>
    <row r="1415" spans="1:14" x14ac:dyDescent="0.3">
      <c r="A1415" t="s">
        <v>29</v>
      </c>
      <c r="B1415" t="s">
        <v>14</v>
      </c>
      <c r="C1415">
        <v>1</v>
      </c>
      <c r="D1415" t="s">
        <v>73</v>
      </c>
      <c r="E1415" t="s">
        <v>137</v>
      </c>
      <c r="G1415">
        <v>1</v>
      </c>
      <c r="H1415">
        <v>20</v>
      </c>
      <c r="I1415" t="s">
        <v>46</v>
      </c>
      <c r="J1415">
        <v>8500000</v>
      </c>
      <c r="K1415">
        <v>170000000</v>
      </c>
      <c r="L1415" t="s">
        <v>14</v>
      </c>
      <c r="M1415" t="s">
        <v>7</v>
      </c>
      <c r="N1415" t="b">
        <v>0</v>
      </c>
    </row>
    <row r="1416" spans="1:14" x14ac:dyDescent="0.3">
      <c r="A1416" t="s">
        <v>29</v>
      </c>
      <c r="B1416" t="s">
        <v>14</v>
      </c>
      <c r="D1416" t="s">
        <v>58</v>
      </c>
      <c r="E1416" t="s">
        <v>60</v>
      </c>
      <c r="G1416">
        <v>0</v>
      </c>
      <c r="H1416">
        <v>20</v>
      </c>
      <c r="I1416" t="s">
        <v>46</v>
      </c>
      <c r="J1416">
        <v>3600000</v>
      </c>
      <c r="K1416">
        <v>72000000</v>
      </c>
      <c r="L1416" t="s">
        <v>14</v>
      </c>
      <c r="M1416" t="s">
        <v>7</v>
      </c>
      <c r="N1416" t="b">
        <v>0</v>
      </c>
    </row>
    <row r="1417" spans="1:14" x14ac:dyDescent="0.3">
      <c r="A1417" t="s">
        <v>29</v>
      </c>
      <c r="B1417" t="s">
        <v>14</v>
      </c>
      <c r="C1417">
        <v>3</v>
      </c>
      <c r="E1417" t="s">
        <v>132</v>
      </c>
      <c r="G1417">
        <v>16</v>
      </c>
      <c r="I1417" t="s">
        <v>61</v>
      </c>
      <c r="J1417">
        <v>50000</v>
      </c>
      <c r="K1417">
        <v>800000</v>
      </c>
      <c r="L1417" t="s">
        <v>14</v>
      </c>
      <c r="M1417" t="s">
        <v>7</v>
      </c>
      <c r="N1417" t="b">
        <v>0</v>
      </c>
    </row>
    <row r="1418" spans="1:14" x14ac:dyDescent="0.3">
      <c r="A1418" t="s">
        <v>29</v>
      </c>
      <c r="B1418" t="s">
        <v>14</v>
      </c>
      <c r="C1418">
        <v>4</v>
      </c>
      <c r="E1418" t="s">
        <v>133</v>
      </c>
      <c r="G1418">
        <v>16</v>
      </c>
      <c r="I1418" t="s">
        <v>61</v>
      </c>
      <c r="J1418">
        <v>15000</v>
      </c>
      <c r="K1418">
        <v>240000</v>
      </c>
      <c r="L1418" t="s">
        <v>14</v>
      </c>
      <c r="M1418" t="s">
        <v>7</v>
      </c>
      <c r="N1418" t="b">
        <v>0</v>
      </c>
    </row>
    <row r="1419" spans="1:14" x14ac:dyDescent="0.3">
      <c r="A1419" t="s">
        <v>29</v>
      </c>
      <c r="B1419" t="s">
        <v>14</v>
      </c>
      <c r="C1419">
        <v>5</v>
      </c>
      <c r="E1419" t="s">
        <v>134</v>
      </c>
      <c r="G1419">
        <v>32</v>
      </c>
      <c r="I1419" t="s">
        <v>61</v>
      </c>
      <c r="J1419">
        <v>5000</v>
      </c>
      <c r="K1419">
        <v>160000</v>
      </c>
      <c r="L1419" t="s">
        <v>14</v>
      </c>
      <c r="M1419" t="s">
        <v>7</v>
      </c>
      <c r="N1419" t="b">
        <v>0</v>
      </c>
    </row>
    <row r="1420" spans="1:14" x14ac:dyDescent="0.3">
      <c r="A1420" t="s">
        <v>29</v>
      </c>
      <c r="B1420" t="s">
        <v>14</v>
      </c>
      <c r="C1420">
        <v>6</v>
      </c>
      <c r="E1420" t="s">
        <v>135</v>
      </c>
      <c r="G1420">
        <v>16</v>
      </c>
      <c r="I1420" t="s">
        <v>61</v>
      </c>
      <c r="J1420">
        <v>5000</v>
      </c>
      <c r="K1420">
        <v>80000</v>
      </c>
      <c r="L1420" t="s">
        <v>14</v>
      </c>
      <c r="M1420" t="s">
        <v>7</v>
      </c>
      <c r="N1420" t="b">
        <v>0</v>
      </c>
    </row>
    <row r="1421" spans="1:14" x14ac:dyDescent="0.3">
      <c r="A1421" t="s">
        <v>29</v>
      </c>
      <c r="B1421" t="s">
        <v>14</v>
      </c>
      <c r="C1421">
        <v>7</v>
      </c>
      <c r="E1421" t="s">
        <v>101</v>
      </c>
      <c r="H1421">
        <v>5</v>
      </c>
      <c r="I1421" t="s">
        <v>102</v>
      </c>
      <c r="J1421">
        <v>13000000</v>
      </c>
      <c r="K1421">
        <v>65000000</v>
      </c>
      <c r="L1421" t="s">
        <v>14</v>
      </c>
      <c r="M1421" t="s">
        <v>7</v>
      </c>
      <c r="N1421" t="b">
        <v>0</v>
      </c>
    </row>
    <row r="1422" spans="1:14" x14ac:dyDescent="0.3">
      <c r="A1422" t="s">
        <v>29</v>
      </c>
      <c r="B1422" t="s">
        <v>14</v>
      </c>
      <c r="C1422">
        <v>8</v>
      </c>
      <c r="E1422" t="s">
        <v>107</v>
      </c>
      <c r="H1422">
        <v>0</v>
      </c>
      <c r="I1422" t="s">
        <v>108</v>
      </c>
      <c r="K1422">
        <v>0</v>
      </c>
      <c r="L1422" t="s">
        <v>14</v>
      </c>
      <c r="M1422" t="s">
        <v>7</v>
      </c>
      <c r="N1422" t="b">
        <v>0</v>
      </c>
    </row>
    <row r="1423" spans="1:14" x14ac:dyDescent="0.3">
      <c r="A1423" t="s">
        <v>29</v>
      </c>
      <c r="B1423" t="s">
        <v>15</v>
      </c>
      <c r="C1423">
        <v>1</v>
      </c>
      <c r="D1423" t="s">
        <v>75</v>
      </c>
      <c r="E1423" t="s">
        <v>138</v>
      </c>
      <c r="G1423">
        <v>1</v>
      </c>
      <c r="H1423">
        <v>25</v>
      </c>
      <c r="I1423" t="s">
        <v>46</v>
      </c>
      <c r="J1423">
        <v>5200000</v>
      </c>
      <c r="K1423">
        <v>130000000</v>
      </c>
      <c r="L1423" t="s">
        <v>15</v>
      </c>
      <c r="M1423" t="s">
        <v>7</v>
      </c>
      <c r="N1423" t="b">
        <v>0</v>
      </c>
    </row>
    <row r="1424" spans="1:14" x14ac:dyDescent="0.3">
      <c r="A1424" t="s">
        <v>29</v>
      </c>
      <c r="B1424" t="s">
        <v>15</v>
      </c>
      <c r="D1424" t="s">
        <v>75</v>
      </c>
      <c r="E1424" t="s">
        <v>139</v>
      </c>
      <c r="G1424">
        <v>1</v>
      </c>
      <c r="I1424" t="s">
        <v>46</v>
      </c>
      <c r="K1424">
        <v>0</v>
      </c>
      <c r="L1424" t="s">
        <v>15</v>
      </c>
      <c r="M1424" t="s">
        <v>7</v>
      </c>
      <c r="N1424" t="b">
        <v>0</v>
      </c>
    </row>
    <row r="1425" spans="1:14" x14ac:dyDescent="0.3">
      <c r="A1425" t="s">
        <v>29</v>
      </c>
      <c r="B1425" t="s">
        <v>15</v>
      </c>
      <c r="C1425">
        <v>3</v>
      </c>
      <c r="E1425" t="s">
        <v>140</v>
      </c>
      <c r="G1425">
        <v>32</v>
      </c>
      <c r="I1425" t="s">
        <v>61</v>
      </c>
      <c r="J1425">
        <v>10000</v>
      </c>
      <c r="K1425">
        <v>320000</v>
      </c>
      <c r="L1425" t="s">
        <v>15</v>
      </c>
      <c r="M1425" t="s">
        <v>7</v>
      </c>
      <c r="N1425" t="b">
        <v>0</v>
      </c>
    </row>
    <row r="1426" spans="1:14" x14ac:dyDescent="0.3">
      <c r="A1426" t="s">
        <v>29</v>
      </c>
      <c r="B1426" t="s">
        <v>15</v>
      </c>
      <c r="C1426">
        <v>4</v>
      </c>
      <c r="E1426" t="s">
        <v>69</v>
      </c>
      <c r="G1426">
        <v>32</v>
      </c>
      <c r="I1426" t="s">
        <v>61</v>
      </c>
      <c r="J1426">
        <v>60000</v>
      </c>
      <c r="K1426">
        <v>1920000</v>
      </c>
      <c r="L1426" t="s">
        <v>15</v>
      </c>
      <c r="M1426" t="s">
        <v>7</v>
      </c>
      <c r="N1426" t="b">
        <v>0</v>
      </c>
    </row>
    <row r="1427" spans="1:14" x14ac:dyDescent="0.3">
      <c r="A1427" t="s">
        <v>29</v>
      </c>
      <c r="B1427" t="s">
        <v>15</v>
      </c>
      <c r="C1427">
        <v>5</v>
      </c>
      <c r="E1427" t="s">
        <v>141</v>
      </c>
      <c r="G1427">
        <v>32</v>
      </c>
      <c r="I1427" t="s">
        <v>61</v>
      </c>
      <c r="J1427">
        <v>60000</v>
      </c>
      <c r="K1427">
        <v>1920000</v>
      </c>
      <c r="L1427" t="s">
        <v>15</v>
      </c>
      <c r="M1427" t="s">
        <v>7</v>
      </c>
      <c r="N1427" t="b">
        <v>0</v>
      </c>
    </row>
    <row r="1428" spans="1:14" x14ac:dyDescent="0.3">
      <c r="A1428" t="s">
        <v>29</v>
      </c>
      <c r="B1428" t="s">
        <v>15</v>
      </c>
      <c r="C1428">
        <v>6</v>
      </c>
      <c r="E1428" t="s">
        <v>140</v>
      </c>
      <c r="G1428">
        <v>12</v>
      </c>
      <c r="I1428" t="s">
        <v>61</v>
      </c>
      <c r="J1428">
        <v>10000</v>
      </c>
      <c r="K1428">
        <v>120000</v>
      </c>
      <c r="L1428" t="s">
        <v>15</v>
      </c>
      <c r="M1428" t="s">
        <v>7</v>
      </c>
      <c r="N1428" t="b">
        <v>0</v>
      </c>
    </row>
    <row r="1429" spans="1:14" x14ac:dyDescent="0.3">
      <c r="A1429" t="s">
        <v>29</v>
      </c>
      <c r="B1429" t="s">
        <v>15</v>
      </c>
      <c r="C1429">
        <v>7</v>
      </c>
      <c r="E1429" t="s">
        <v>142</v>
      </c>
      <c r="G1429">
        <v>12</v>
      </c>
      <c r="I1429" t="s">
        <v>61</v>
      </c>
      <c r="J1429">
        <v>10000</v>
      </c>
      <c r="K1429">
        <v>120000</v>
      </c>
      <c r="L1429" t="s">
        <v>15</v>
      </c>
      <c r="M1429" t="s">
        <v>7</v>
      </c>
      <c r="N1429" t="b">
        <v>0</v>
      </c>
    </row>
    <row r="1430" spans="1:14" x14ac:dyDescent="0.3">
      <c r="A1430" t="s">
        <v>29</v>
      </c>
      <c r="B1430" t="s">
        <v>15</v>
      </c>
      <c r="C1430">
        <v>8</v>
      </c>
      <c r="E1430" t="s">
        <v>114</v>
      </c>
      <c r="G1430">
        <v>12</v>
      </c>
      <c r="I1430" t="s">
        <v>61</v>
      </c>
      <c r="J1430">
        <v>60000</v>
      </c>
      <c r="K1430">
        <v>720000</v>
      </c>
      <c r="L1430" t="s">
        <v>15</v>
      </c>
      <c r="M1430" t="s">
        <v>7</v>
      </c>
      <c r="N1430" t="b">
        <v>0</v>
      </c>
    </row>
    <row r="1431" spans="1:14" x14ac:dyDescent="0.3">
      <c r="A1431" t="s">
        <v>29</v>
      </c>
      <c r="B1431" t="s">
        <v>15</v>
      </c>
      <c r="C1431">
        <v>9</v>
      </c>
      <c r="E1431" t="s">
        <v>143</v>
      </c>
      <c r="G1431">
        <v>32</v>
      </c>
      <c r="I1431" t="s">
        <v>61</v>
      </c>
      <c r="J1431">
        <v>10000</v>
      </c>
      <c r="K1431">
        <v>320000</v>
      </c>
      <c r="L1431" t="s">
        <v>15</v>
      </c>
      <c r="M1431" t="s">
        <v>7</v>
      </c>
      <c r="N1431" t="b">
        <v>0</v>
      </c>
    </row>
    <row r="1432" spans="1:14" x14ac:dyDescent="0.3">
      <c r="A1432" t="s">
        <v>29</v>
      </c>
      <c r="B1432" t="s">
        <v>15</v>
      </c>
      <c r="C1432">
        <v>10</v>
      </c>
      <c r="E1432" t="s">
        <v>57</v>
      </c>
      <c r="G1432">
        <v>25</v>
      </c>
      <c r="I1432" t="s">
        <v>46</v>
      </c>
      <c r="J1432">
        <v>1430000</v>
      </c>
      <c r="K1432">
        <v>35750000</v>
      </c>
      <c r="L1432" t="s">
        <v>15</v>
      </c>
      <c r="M1432" t="s">
        <v>7</v>
      </c>
      <c r="N1432" t="b">
        <v>0</v>
      </c>
    </row>
    <row r="1433" spans="1:14" x14ac:dyDescent="0.3">
      <c r="A1433" t="s">
        <v>29</v>
      </c>
      <c r="B1433" t="s">
        <v>15</v>
      </c>
      <c r="E1433" t="s">
        <v>96</v>
      </c>
      <c r="G1433">
        <v>1</v>
      </c>
      <c r="H1433">
        <v>6</v>
      </c>
      <c r="I1433" t="s">
        <v>97</v>
      </c>
      <c r="J1433">
        <v>460000</v>
      </c>
      <c r="K1433">
        <v>2760000</v>
      </c>
      <c r="L1433" t="s">
        <v>15</v>
      </c>
      <c r="M1433" t="s">
        <v>7</v>
      </c>
      <c r="N1433" t="b">
        <v>0</v>
      </c>
    </row>
    <row r="1434" spans="1:14" x14ac:dyDescent="0.3">
      <c r="A1434" t="s">
        <v>29</v>
      </c>
      <c r="B1434" t="s">
        <v>15</v>
      </c>
      <c r="C1434">
        <v>11</v>
      </c>
      <c r="E1434" t="s">
        <v>101</v>
      </c>
      <c r="H1434">
        <v>5</v>
      </c>
      <c r="I1434" t="s">
        <v>102</v>
      </c>
      <c r="J1434">
        <v>13000000</v>
      </c>
      <c r="K1434">
        <v>65000000</v>
      </c>
      <c r="L1434" t="s">
        <v>15</v>
      </c>
      <c r="M1434" t="s">
        <v>7</v>
      </c>
      <c r="N1434" t="b">
        <v>0</v>
      </c>
    </row>
    <row r="1435" spans="1:14" x14ac:dyDescent="0.3">
      <c r="A1435" t="s">
        <v>29</v>
      </c>
      <c r="B1435" t="s">
        <v>15</v>
      </c>
      <c r="C1435">
        <v>12</v>
      </c>
      <c r="E1435" t="s">
        <v>107</v>
      </c>
      <c r="H1435">
        <v>0</v>
      </c>
      <c r="I1435" t="s">
        <v>108</v>
      </c>
      <c r="K1435">
        <v>0</v>
      </c>
      <c r="L1435" t="s">
        <v>15</v>
      </c>
      <c r="M1435" t="s">
        <v>7</v>
      </c>
      <c r="N1435" t="b">
        <v>0</v>
      </c>
    </row>
    <row r="1436" spans="1:14" x14ac:dyDescent="0.3">
      <c r="A1436" t="s">
        <v>29</v>
      </c>
      <c r="B1436" t="s">
        <v>16</v>
      </c>
      <c r="C1436">
        <v>1</v>
      </c>
      <c r="D1436" t="s">
        <v>144</v>
      </c>
      <c r="E1436" t="s">
        <v>145</v>
      </c>
      <c r="F1436" t="s">
        <v>146</v>
      </c>
      <c r="G1436">
        <v>2</v>
      </c>
      <c r="H1436">
        <v>2.8296000000000001</v>
      </c>
      <c r="I1436" t="s">
        <v>46</v>
      </c>
      <c r="J1436">
        <v>800000</v>
      </c>
      <c r="K1436">
        <v>2263680</v>
      </c>
      <c r="L1436" t="s">
        <v>16</v>
      </c>
      <c r="M1436" t="s">
        <v>7</v>
      </c>
      <c r="N1436" t="b">
        <v>0</v>
      </c>
    </row>
    <row r="1437" spans="1:14" x14ac:dyDescent="0.3">
      <c r="A1437" t="s">
        <v>29</v>
      </c>
      <c r="B1437" t="s">
        <v>16</v>
      </c>
      <c r="E1437" t="s">
        <v>147</v>
      </c>
      <c r="F1437" t="s">
        <v>148</v>
      </c>
      <c r="G1437">
        <v>2</v>
      </c>
      <c r="H1437">
        <v>0.94320000000000004</v>
      </c>
      <c r="I1437" t="s">
        <v>46</v>
      </c>
      <c r="J1437">
        <v>800000</v>
      </c>
      <c r="K1437">
        <v>754560</v>
      </c>
      <c r="L1437" t="s">
        <v>16</v>
      </c>
      <c r="M1437" t="s">
        <v>7</v>
      </c>
      <c r="N1437" t="b">
        <v>0</v>
      </c>
    </row>
    <row r="1438" spans="1:14" x14ac:dyDescent="0.3">
      <c r="A1438" t="s">
        <v>29</v>
      </c>
      <c r="B1438" t="s">
        <v>16</v>
      </c>
      <c r="E1438" t="s">
        <v>149</v>
      </c>
      <c r="G1438">
        <v>2</v>
      </c>
      <c r="I1438" t="s">
        <v>61</v>
      </c>
      <c r="J1438">
        <v>5000000</v>
      </c>
      <c r="K1438">
        <v>10000000</v>
      </c>
      <c r="L1438" t="s">
        <v>16</v>
      </c>
      <c r="M1438" t="s">
        <v>7</v>
      </c>
      <c r="N1438" t="b">
        <v>0</v>
      </c>
    </row>
    <row r="1439" spans="1:14" x14ac:dyDescent="0.3">
      <c r="A1439" t="s">
        <v>29</v>
      </c>
      <c r="B1439" t="s">
        <v>16</v>
      </c>
      <c r="C1439">
        <v>2</v>
      </c>
      <c r="E1439" t="s">
        <v>150</v>
      </c>
      <c r="F1439">
        <v>260</v>
      </c>
      <c r="G1439">
        <v>2</v>
      </c>
      <c r="H1439">
        <v>0.52</v>
      </c>
      <c r="I1439" t="s">
        <v>151</v>
      </c>
      <c r="J1439">
        <v>2000000</v>
      </c>
      <c r="K1439">
        <v>1040000</v>
      </c>
      <c r="L1439" t="s">
        <v>16</v>
      </c>
      <c r="M1439" t="s">
        <v>7</v>
      </c>
      <c r="N1439" t="b">
        <v>0</v>
      </c>
    </row>
    <row r="1440" spans="1:14" x14ac:dyDescent="0.3">
      <c r="A1440" t="s">
        <v>29</v>
      </c>
      <c r="B1440" t="s">
        <v>16</v>
      </c>
      <c r="E1440" t="s">
        <v>152</v>
      </c>
      <c r="G1440">
        <v>10</v>
      </c>
      <c r="I1440" t="s">
        <v>61</v>
      </c>
      <c r="J1440">
        <v>200000</v>
      </c>
      <c r="K1440">
        <v>2000000</v>
      </c>
      <c r="L1440" t="s">
        <v>16</v>
      </c>
      <c r="M1440" t="s">
        <v>7</v>
      </c>
      <c r="N1440" t="b">
        <v>0</v>
      </c>
    </row>
    <row r="1441" spans="1:14" x14ac:dyDescent="0.3">
      <c r="A1441" t="s">
        <v>29</v>
      </c>
      <c r="B1441" t="s">
        <v>16</v>
      </c>
      <c r="C1441">
        <v>7</v>
      </c>
      <c r="E1441" t="s">
        <v>153</v>
      </c>
      <c r="G1441">
        <v>4</v>
      </c>
      <c r="H1441">
        <v>4</v>
      </c>
      <c r="I1441" t="s">
        <v>61</v>
      </c>
      <c r="J1441">
        <v>300000</v>
      </c>
      <c r="K1441">
        <v>1200000</v>
      </c>
      <c r="L1441" t="s">
        <v>16</v>
      </c>
      <c r="M1441" t="s">
        <v>7</v>
      </c>
      <c r="N1441" t="b">
        <v>0</v>
      </c>
    </row>
    <row r="1442" spans="1:14" x14ac:dyDescent="0.3">
      <c r="A1442" t="s">
        <v>29</v>
      </c>
      <c r="B1442" t="s">
        <v>16</v>
      </c>
      <c r="C1442">
        <v>8</v>
      </c>
      <c r="E1442" t="s">
        <v>134</v>
      </c>
      <c r="G1442">
        <v>10</v>
      </c>
      <c r="H1442">
        <v>10</v>
      </c>
      <c r="I1442" t="s">
        <v>61</v>
      </c>
      <c r="J1442">
        <v>30000</v>
      </c>
      <c r="K1442">
        <v>300000</v>
      </c>
      <c r="L1442" t="s">
        <v>16</v>
      </c>
      <c r="M1442" t="s">
        <v>7</v>
      </c>
      <c r="N1442" t="b">
        <v>0</v>
      </c>
    </row>
    <row r="1443" spans="1:14" x14ac:dyDescent="0.3">
      <c r="A1443" t="s">
        <v>29</v>
      </c>
      <c r="B1443" t="s">
        <v>16</v>
      </c>
      <c r="C1443">
        <v>9</v>
      </c>
      <c r="E1443" t="s">
        <v>154</v>
      </c>
      <c r="G1443">
        <v>4</v>
      </c>
      <c r="H1443">
        <v>4</v>
      </c>
      <c r="I1443" t="s">
        <v>61</v>
      </c>
      <c r="J1443">
        <v>30000</v>
      </c>
      <c r="K1443">
        <v>120000</v>
      </c>
      <c r="L1443" t="s">
        <v>16</v>
      </c>
      <c r="M1443" t="s">
        <v>7</v>
      </c>
      <c r="N1443" t="b">
        <v>0</v>
      </c>
    </row>
    <row r="1444" spans="1:14" x14ac:dyDescent="0.3">
      <c r="A1444" t="s">
        <v>29</v>
      </c>
      <c r="B1444" t="s">
        <v>16</v>
      </c>
      <c r="C1444">
        <v>12</v>
      </c>
      <c r="E1444" t="s">
        <v>120</v>
      </c>
      <c r="G1444">
        <v>4</v>
      </c>
      <c r="H1444">
        <v>4</v>
      </c>
      <c r="I1444" t="s">
        <v>61</v>
      </c>
      <c r="J1444">
        <v>30000</v>
      </c>
      <c r="K1444">
        <v>120000</v>
      </c>
      <c r="L1444" t="s">
        <v>16</v>
      </c>
      <c r="M1444" t="s">
        <v>7</v>
      </c>
      <c r="N1444" t="b">
        <v>0</v>
      </c>
    </row>
    <row r="1445" spans="1:14" x14ac:dyDescent="0.3">
      <c r="A1445" t="s">
        <v>29</v>
      </c>
      <c r="B1445" t="s">
        <v>16</v>
      </c>
      <c r="C1445">
        <v>13</v>
      </c>
      <c r="E1445" t="s">
        <v>101</v>
      </c>
      <c r="H1445">
        <v>1</v>
      </c>
      <c r="I1445" t="s">
        <v>102</v>
      </c>
      <c r="J1445">
        <v>13000000</v>
      </c>
      <c r="K1445">
        <v>13000000</v>
      </c>
      <c r="L1445" t="s">
        <v>16</v>
      </c>
      <c r="M1445" t="s">
        <v>7</v>
      </c>
      <c r="N1445" t="b">
        <v>0</v>
      </c>
    </row>
    <row r="1446" spans="1:14" x14ac:dyDescent="0.3">
      <c r="A1446" t="s">
        <v>29</v>
      </c>
      <c r="B1446" t="s">
        <v>16</v>
      </c>
      <c r="C1446">
        <v>14</v>
      </c>
      <c r="E1446" t="s">
        <v>107</v>
      </c>
      <c r="H1446">
        <v>0</v>
      </c>
      <c r="I1446" t="s">
        <v>108</v>
      </c>
      <c r="K1446">
        <v>0</v>
      </c>
      <c r="L1446" t="s">
        <v>16</v>
      </c>
      <c r="M1446" t="s">
        <v>7</v>
      </c>
      <c r="N1446" t="b">
        <v>0</v>
      </c>
    </row>
    <row r="1447" spans="1:14" x14ac:dyDescent="0.3">
      <c r="A1447" t="s">
        <v>29</v>
      </c>
      <c r="B1447" t="s">
        <v>16</v>
      </c>
      <c r="E1447" t="s">
        <v>155</v>
      </c>
      <c r="F1447">
        <v>300</v>
      </c>
      <c r="G1447">
        <v>200</v>
      </c>
      <c r="H1447">
        <v>3</v>
      </c>
      <c r="I1447">
        <v>7.86</v>
      </c>
      <c r="K1447">
        <v>1.4148000000000001</v>
      </c>
      <c r="L1447" t="s">
        <v>16</v>
      </c>
      <c r="M1447" t="s">
        <v>7</v>
      </c>
      <c r="N1447" t="b">
        <v>0</v>
      </c>
    </row>
    <row r="1448" spans="1:14" x14ac:dyDescent="0.3">
      <c r="A1448" t="s">
        <v>29</v>
      </c>
      <c r="B1448" t="s">
        <v>16</v>
      </c>
      <c r="E1448" t="s">
        <v>156</v>
      </c>
      <c r="F1448">
        <v>200</v>
      </c>
      <c r="G1448">
        <v>100</v>
      </c>
      <c r="H1448">
        <v>3</v>
      </c>
      <c r="I1448">
        <v>7.86</v>
      </c>
      <c r="K1448">
        <v>0.47160000000000002</v>
      </c>
      <c r="L1448" t="s">
        <v>16</v>
      </c>
      <c r="M1448" t="s">
        <v>7</v>
      </c>
      <c r="N1448" t="b">
        <v>0</v>
      </c>
    </row>
    <row r="1449" spans="1:14" x14ac:dyDescent="0.3">
      <c r="A1449" t="s">
        <v>29</v>
      </c>
      <c r="B1449" t="s">
        <v>17</v>
      </c>
      <c r="C1449">
        <v>1</v>
      </c>
      <c r="D1449" t="s">
        <v>75</v>
      </c>
      <c r="E1449" t="s">
        <v>157</v>
      </c>
      <c r="G1449">
        <v>1</v>
      </c>
      <c r="H1449">
        <v>1.6485000000000001</v>
      </c>
      <c r="I1449" t="s">
        <v>46</v>
      </c>
      <c r="J1449">
        <v>700000</v>
      </c>
      <c r="K1449">
        <v>1153950</v>
      </c>
      <c r="L1449" t="s">
        <v>17</v>
      </c>
      <c r="M1449" t="s">
        <v>7</v>
      </c>
      <c r="N1449" t="b">
        <v>0</v>
      </c>
    </row>
    <row r="1450" spans="1:14" x14ac:dyDescent="0.3">
      <c r="A1450" t="s">
        <v>29</v>
      </c>
      <c r="B1450" t="s">
        <v>17</v>
      </c>
      <c r="C1450">
        <v>2</v>
      </c>
      <c r="D1450" t="s">
        <v>75</v>
      </c>
      <c r="E1450" t="s">
        <v>158</v>
      </c>
      <c r="G1450">
        <v>2</v>
      </c>
      <c r="I1450" t="s">
        <v>151</v>
      </c>
      <c r="J1450">
        <v>1200000</v>
      </c>
      <c r="K1450">
        <v>2400000</v>
      </c>
      <c r="L1450" t="s">
        <v>17</v>
      </c>
      <c r="M1450" t="s">
        <v>7</v>
      </c>
      <c r="N1450" t="b">
        <v>0</v>
      </c>
    </row>
    <row r="1451" spans="1:14" x14ac:dyDescent="0.3">
      <c r="A1451" t="s">
        <v>29</v>
      </c>
      <c r="B1451" t="s">
        <v>17</v>
      </c>
      <c r="C1451">
        <v>3</v>
      </c>
      <c r="E1451" t="s">
        <v>159</v>
      </c>
      <c r="G1451">
        <v>2</v>
      </c>
      <c r="I1451" t="s">
        <v>61</v>
      </c>
      <c r="J1451">
        <v>100000</v>
      </c>
      <c r="K1451">
        <v>200000</v>
      </c>
      <c r="L1451" t="s">
        <v>17</v>
      </c>
      <c r="M1451" t="s">
        <v>7</v>
      </c>
      <c r="N1451" t="b">
        <v>0</v>
      </c>
    </row>
    <row r="1452" spans="1:14" x14ac:dyDescent="0.3">
      <c r="A1452" t="s">
        <v>29</v>
      </c>
      <c r="B1452" t="s">
        <v>17</v>
      </c>
      <c r="C1452">
        <v>4</v>
      </c>
      <c r="E1452" t="s">
        <v>133</v>
      </c>
      <c r="G1452">
        <v>6</v>
      </c>
      <c r="I1452" t="s">
        <v>61</v>
      </c>
      <c r="J1452">
        <v>10000</v>
      </c>
      <c r="K1452">
        <v>60000</v>
      </c>
      <c r="L1452" t="s">
        <v>17</v>
      </c>
      <c r="M1452" t="s">
        <v>7</v>
      </c>
      <c r="N1452" t="b">
        <v>0</v>
      </c>
    </row>
    <row r="1453" spans="1:14" x14ac:dyDescent="0.3">
      <c r="A1453" t="s">
        <v>29</v>
      </c>
      <c r="B1453" t="s">
        <v>17</v>
      </c>
      <c r="C1453">
        <v>5</v>
      </c>
      <c r="E1453" t="s">
        <v>134</v>
      </c>
      <c r="G1453">
        <v>6</v>
      </c>
      <c r="I1453" t="s">
        <v>61</v>
      </c>
      <c r="J1453">
        <v>5000</v>
      </c>
      <c r="K1453">
        <v>30000</v>
      </c>
      <c r="L1453" t="s">
        <v>17</v>
      </c>
      <c r="M1453" t="s">
        <v>7</v>
      </c>
      <c r="N1453" t="b">
        <v>0</v>
      </c>
    </row>
    <row r="1454" spans="1:14" x14ac:dyDescent="0.3">
      <c r="A1454" t="s">
        <v>29</v>
      </c>
      <c r="B1454" t="s">
        <v>17</v>
      </c>
      <c r="C1454">
        <v>6</v>
      </c>
      <c r="E1454" t="s">
        <v>160</v>
      </c>
      <c r="G1454">
        <v>2</v>
      </c>
      <c r="I1454" t="s">
        <v>61</v>
      </c>
      <c r="J1454">
        <v>500000</v>
      </c>
      <c r="K1454">
        <v>1000000</v>
      </c>
      <c r="L1454" t="s">
        <v>17</v>
      </c>
      <c r="M1454" t="s">
        <v>7</v>
      </c>
      <c r="N1454" t="b">
        <v>0</v>
      </c>
    </row>
    <row r="1455" spans="1:14" x14ac:dyDescent="0.3">
      <c r="A1455" t="s">
        <v>29</v>
      </c>
      <c r="B1455" t="s">
        <v>17</v>
      </c>
      <c r="C1455">
        <v>7</v>
      </c>
      <c r="E1455" t="s">
        <v>161</v>
      </c>
      <c r="G1455">
        <v>2</v>
      </c>
      <c r="I1455" t="s">
        <v>61</v>
      </c>
      <c r="J1455">
        <v>10000</v>
      </c>
      <c r="K1455">
        <v>20000</v>
      </c>
      <c r="L1455" t="s">
        <v>17</v>
      </c>
      <c r="M1455" t="s">
        <v>7</v>
      </c>
      <c r="N1455" t="b">
        <v>0</v>
      </c>
    </row>
    <row r="1456" spans="1:14" x14ac:dyDescent="0.3">
      <c r="A1456" t="s">
        <v>29</v>
      </c>
      <c r="B1456" t="s">
        <v>17</v>
      </c>
      <c r="C1456">
        <v>8</v>
      </c>
      <c r="E1456" t="s">
        <v>142</v>
      </c>
      <c r="G1456">
        <v>2</v>
      </c>
      <c r="I1456" t="s">
        <v>61</v>
      </c>
      <c r="J1456">
        <v>5000</v>
      </c>
      <c r="K1456">
        <v>10000</v>
      </c>
      <c r="L1456" t="s">
        <v>17</v>
      </c>
      <c r="M1456" t="s">
        <v>7</v>
      </c>
      <c r="N1456" t="b">
        <v>0</v>
      </c>
    </row>
    <row r="1457" spans="1:14" x14ac:dyDescent="0.3">
      <c r="A1457" t="s">
        <v>29</v>
      </c>
      <c r="B1457" t="s">
        <v>17</v>
      </c>
      <c r="C1457">
        <v>9</v>
      </c>
      <c r="E1457" t="s">
        <v>114</v>
      </c>
      <c r="G1457">
        <v>2</v>
      </c>
      <c r="I1457" t="s">
        <v>61</v>
      </c>
      <c r="J1457">
        <v>60000</v>
      </c>
      <c r="K1457">
        <v>120000</v>
      </c>
      <c r="L1457" t="s">
        <v>17</v>
      </c>
      <c r="M1457" t="s">
        <v>7</v>
      </c>
      <c r="N1457" t="b">
        <v>0</v>
      </c>
    </row>
    <row r="1458" spans="1:14" x14ac:dyDescent="0.3">
      <c r="A1458" t="s">
        <v>29</v>
      </c>
      <c r="B1458" t="s">
        <v>17</v>
      </c>
      <c r="C1458">
        <v>10</v>
      </c>
      <c r="E1458" t="s">
        <v>101</v>
      </c>
      <c r="H1458">
        <v>3</v>
      </c>
      <c r="I1458" t="s">
        <v>102</v>
      </c>
      <c r="J1458">
        <v>13000000</v>
      </c>
      <c r="K1458">
        <v>39000000</v>
      </c>
      <c r="L1458" t="s">
        <v>17</v>
      </c>
      <c r="M1458" t="s">
        <v>7</v>
      </c>
      <c r="N1458" t="b">
        <v>0</v>
      </c>
    </row>
    <row r="1459" spans="1:14" x14ac:dyDescent="0.3">
      <c r="A1459" t="s">
        <v>29</v>
      </c>
      <c r="B1459" t="s">
        <v>17</v>
      </c>
      <c r="C1459">
        <v>11</v>
      </c>
      <c r="E1459" t="s">
        <v>107</v>
      </c>
      <c r="H1459">
        <v>0</v>
      </c>
      <c r="I1459" t="s">
        <v>108</v>
      </c>
      <c r="K1459">
        <v>0</v>
      </c>
      <c r="L1459" t="s">
        <v>17</v>
      </c>
      <c r="M1459" t="s">
        <v>7</v>
      </c>
      <c r="N1459" t="b">
        <v>0</v>
      </c>
    </row>
    <row r="1460" spans="1:14" x14ac:dyDescent="0.3">
      <c r="A1460" t="s">
        <v>29</v>
      </c>
      <c r="B1460" t="s">
        <v>18</v>
      </c>
      <c r="C1460">
        <v>1</v>
      </c>
      <c r="D1460" t="s">
        <v>144</v>
      </c>
      <c r="E1460" t="s">
        <v>145</v>
      </c>
      <c r="F1460" t="s">
        <v>162</v>
      </c>
      <c r="G1460">
        <v>1</v>
      </c>
      <c r="H1460">
        <v>0.58950000000000002</v>
      </c>
      <c r="I1460" t="s">
        <v>46</v>
      </c>
      <c r="J1460">
        <v>800000</v>
      </c>
      <c r="K1460">
        <v>471600</v>
      </c>
      <c r="L1460" t="s">
        <v>18</v>
      </c>
      <c r="M1460" t="s">
        <v>7</v>
      </c>
      <c r="N1460" t="b">
        <v>0</v>
      </c>
    </row>
    <row r="1461" spans="1:14" x14ac:dyDescent="0.3">
      <c r="A1461" t="s">
        <v>29</v>
      </c>
      <c r="B1461" t="s">
        <v>18</v>
      </c>
      <c r="C1461">
        <v>2</v>
      </c>
      <c r="D1461" t="s">
        <v>73</v>
      </c>
      <c r="E1461" t="s">
        <v>163</v>
      </c>
      <c r="F1461" t="s">
        <v>164</v>
      </c>
      <c r="G1461">
        <v>2</v>
      </c>
      <c r="H1461">
        <v>1.2631449600000002</v>
      </c>
      <c r="I1461" t="s">
        <v>46</v>
      </c>
      <c r="J1461">
        <v>1500000</v>
      </c>
      <c r="K1461">
        <v>3000000</v>
      </c>
      <c r="L1461" t="s">
        <v>18</v>
      </c>
      <c r="M1461" t="s">
        <v>7</v>
      </c>
      <c r="N1461" t="b">
        <v>0</v>
      </c>
    </row>
    <row r="1462" spans="1:14" x14ac:dyDescent="0.3">
      <c r="A1462" t="s">
        <v>29</v>
      </c>
      <c r="B1462" t="s">
        <v>18</v>
      </c>
      <c r="C1462">
        <v>7</v>
      </c>
      <c r="E1462" t="s">
        <v>66</v>
      </c>
      <c r="G1462">
        <v>2</v>
      </c>
      <c r="H1462">
        <v>2</v>
      </c>
      <c r="I1462" t="s">
        <v>61</v>
      </c>
      <c r="J1462">
        <v>50000</v>
      </c>
      <c r="K1462">
        <v>100000</v>
      </c>
      <c r="L1462" t="s">
        <v>18</v>
      </c>
      <c r="M1462" t="s">
        <v>7</v>
      </c>
      <c r="N1462" t="b">
        <v>0</v>
      </c>
    </row>
    <row r="1463" spans="1:14" x14ac:dyDescent="0.3">
      <c r="A1463" t="s">
        <v>29</v>
      </c>
      <c r="B1463" t="s">
        <v>18</v>
      </c>
      <c r="C1463">
        <v>8</v>
      </c>
      <c r="E1463" t="s">
        <v>141</v>
      </c>
      <c r="G1463">
        <v>4</v>
      </c>
      <c r="H1463">
        <v>4</v>
      </c>
      <c r="I1463" t="s">
        <v>61</v>
      </c>
      <c r="J1463">
        <v>30000</v>
      </c>
      <c r="K1463">
        <v>120000</v>
      </c>
      <c r="L1463" t="s">
        <v>18</v>
      </c>
      <c r="M1463" t="s">
        <v>7</v>
      </c>
      <c r="N1463" t="b">
        <v>0</v>
      </c>
    </row>
    <row r="1464" spans="1:14" x14ac:dyDescent="0.3">
      <c r="A1464" t="s">
        <v>29</v>
      </c>
      <c r="B1464" t="s">
        <v>18</v>
      </c>
      <c r="C1464">
        <v>9</v>
      </c>
      <c r="E1464" t="s">
        <v>165</v>
      </c>
      <c r="G1464">
        <v>1</v>
      </c>
      <c r="H1464">
        <v>1</v>
      </c>
      <c r="I1464" t="s">
        <v>61</v>
      </c>
      <c r="J1464">
        <v>30000</v>
      </c>
      <c r="K1464">
        <v>30000</v>
      </c>
      <c r="L1464" t="s">
        <v>18</v>
      </c>
      <c r="M1464" t="s">
        <v>7</v>
      </c>
      <c r="N1464" t="b">
        <v>0</v>
      </c>
    </row>
    <row r="1465" spans="1:14" x14ac:dyDescent="0.3">
      <c r="A1465" t="s">
        <v>29</v>
      </c>
      <c r="B1465" t="s">
        <v>18</v>
      </c>
      <c r="C1465">
        <v>13</v>
      </c>
      <c r="E1465" t="s">
        <v>101</v>
      </c>
      <c r="H1465">
        <v>1</v>
      </c>
      <c r="I1465" t="s">
        <v>102</v>
      </c>
      <c r="J1465">
        <v>13000000</v>
      </c>
      <c r="K1465">
        <v>13000000</v>
      </c>
      <c r="L1465" t="s">
        <v>18</v>
      </c>
      <c r="M1465" t="s">
        <v>7</v>
      </c>
      <c r="N1465" t="b">
        <v>0</v>
      </c>
    </row>
    <row r="1466" spans="1:14" x14ac:dyDescent="0.3">
      <c r="A1466" t="s">
        <v>29</v>
      </c>
      <c r="B1466" t="s">
        <v>18</v>
      </c>
      <c r="C1466">
        <v>14</v>
      </c>
      <c r="E1466" t="s">
        <v>107</v>
      </c>
      <c r="H1466">
        <v>0</v>
      </c>
      <c r="I1466" t="s">
        <v>108</v>
      </c>
      <c r="K1466">
        <v>0</v>
      </c>
      <c r="L1466" t="s">
        <v>18</v>
      </c>
      <c r="M1466" t="s">
        <v>7</v>
      </c>
      <c r="N1466" t="b">
        <v>0</v>
      </c>
    </row>
    <row r="1467" spans="1:14" x14ac:dyDescent="0.3">
      <c r="A1467" t="s">
        <v>29</v>
      </c>
      <c r="B1467" t="s">
        <v>18</v>
      </c>
      <c r="E1467" t="s">
        <v>155</v>
      </c>
      <c r="F1467">
        <v>300</v>
      </c>
      <c r="G1467">
        <v>100</v>
      </c>
      <c r="H1467">
        <v>2.5</v>
      </c>
      <c r="I1467">
        <v>7.86</v>
      </c>
      <c r="K1467">
        <v>0.58950000000000002</v>
      </c>
      <c r="L1467" t="s">
        <v>18</v>
      </c>
      <c r="M1467" t="s">
        <v>7</v>
      </c>
      <c r="N1467" t="b">
        <v>0</v>
      </c>
    </row>
    <row r="1468" spans="1:14" x14ac:dyDescent="0.3">
      <c r="A1468" t="s">
        <v>179</v>
      </c>
      <c r="B1468" t="s">
        <v>180</v>
      </c>
      <c r="C1468">
        <v>1</v>
      </c>
      <c r="D1468" t="s">
        <v>44</v>
      </c>
      <c r="E1468" t="s">
        <v>45</v>
      </c>
      <c r="F1468">
        <v>2735</v>
      </c>
      <c r="G1468">
        <v>2</v>
      </c>
      <c r="H1468">
        <v>7.6580000000000004</v>
      </c>
      <c r="I1468" t="s">
        <v>46</v>
      </c>
      <c r="J1468">
        <v>8500000</v>
      </c>
      <c r="K1468">
        <v>65092999.999999993</v>
      </c>
      <c r="L1468" t="s">
        <v>180</v>
      </c>
      <c r="M1468" t="s">
        <v>7</v>
      </c>
      <c r="N1468" t="b">
        <v>0</v>
      </c>
    </row>
    <row r="1469" spans="1:14" x14ac:dyDescent="0.3">
      <c r="A1469" t="s">
        <v>179</v>
      </c>
      <c r="B1469" t="s">
        <v>180</v>
      </c>
      <c r="C1469">
        <v>2</v>
      </c>
      <c r="E1469" t="s">
        <v>47</v>
      </c>
      <c r="F1469">
        <v>2735</v>
      </c>
      <c r="G1469">
        <v>1</v>
      </c>
      <c r="H1469">
        <v>3.8290000000000002</v>
      </c>
      <c r="I1469" t="s">
        <v>46</v>
      </c>
      <c r="J1469">
        <v>8500000</v>
      </c>
      <c r="K1469">
        <v>32546499.999999996</v>
      </c>
      <c r="L1469" t="s">
        <v>180</v>
      </c>
      <c r="M1469" t="s">
        <v>7</v>
      </c>
      <c r="N1469" t="b">
        <v>0</v>
      </c>
    </row>
    <row r="1470" spans="1:14" x14ac:dyDescent="0.3">
      <c r="A1470" t="s">
        <v>179</v>
      </c>
      <c r="B1470" t="s">
        <v>180</v>
      </c>
      <c r="C1470">
        <v>3</v>
      </c>
      <c r="E1470" t="s">
        <v>181</v>
      </c>
      <c r="F1470">
        <v>2703</v>
      </c>
      <c r="G1470">
        <v>4</v>
      </c>
      <c r="H1470">
        <v>35.679600000000001</v>
      </c>
      <c r="I1470" t="s">
        <v>46</v>
      </c>
      <c r="J1470">
        <v>8500000</v>
      </c>
      <c r="K1470">
        <v>303276600</v>
      </c>
      <c r="L1470" t="s">
        <v>180</v>
      </c>
      <c r="M1470" t="s">
        <v>7</v>
      </c>
      <c r="N1470" t="b">
        <v>0</v>
      </c>
    </row>
    <row r="1471" spans="1:14" x14ac:dyDescent="0.3">
      <c r="A1471" t="s">
        <v>179</v>
      </c>
      <c r="B1471" t="s">
        <v>180</v>
      </c>
      <c r="C1471">
        <v>4</v>
      </c>
      <c r="E1471" t="s">
        <v>49</v>
      </c>
      <c r="F1471">
        <v>120</v>
      </c>
      <c r="G1471">
        <v>4</v>
      </c>
      <c r="H1471">
        <v>0.48</v>
      </c>
      <c r="I1471" t="s">
        <v>46</v>
      </c>
      <c r="J1471">
        <v>8500000</v>
      </c>
      <c r="K1471">
        <v>4080000</v>
      </c>
      <c r="L1471" t="s">
        <v>180</v>
      </c>
      <c r="M1471" t="s">
        <v>7</v>
      </c>
      <c r="N1471" t="b">
        <v>0</v>
      </c>
    </row>
    <row r="1472" spans="1:14" x14ac:dyDescent="0.3">
      <c r="A1472" t="s">
        <v>179</v>
      </c>
      <c r="B1472" t="s">
        <v>180</v>
      </c>
      <c r="C1472">
        <v>5</v>
      </c>
      <c r="E1472" t="s">
        <v>50</v>
      </c>
      <c r="F1472">
        <v>180</v>
      </c>
      <c r="G1472">
        <v>4</v>
      </c>
      <c r="H1472">
        <v>3.12012</v>
      </c>
      <c r="I1472" t="s">
        <v>46</v>
      </c>
      <c r="J1472">
        <v>8500000</v>
      </c>
      <c r="K1472">
        <v>26521020</v>
      </c>
      <c r="L1472" t="s">
        <v>180</v>
      </c>
      <c r="M1472" t="s">
        <v>7</v>
      </c>
      <c r="N1472" t="b">
        <v>0</v>
      </c>
    </row>
    <row r="1473" spans="1:14" x14ac:dyDescent="0.3">
      <c r="A1473" t="s">
        <v>179</v>
      </c>
      <c r="B1473" t="s">
        <v>180</v>
      </c>
      <c r="C1473">
        <v>6</v>
      </c>
      <c r="E1473" t="s">
        <v>51</v>
      </c>
      <c r="F1473" t="s">
        <v>173</v>
      </c>
      <c r="G1473">
        <v>8</v>
      </c>
      <c r="H1473">
        <v>88.529760000000039</v>
      </c>
      <c r="I1473" t="s">
        <v>46</v>
      </c>
      <c r="J1473">
        <v>8500000</v>
      </c>
      <c r="K1473">
        <v>752502960.00000036</v>
      </c>
      <c r="L1473" t="s">
        <v>180</v>
      </c>
      <c r="M1473" t="s">
        <v>7</v>
      </c>
      <c r="N1473" t="b">
        <v>0</v>
      </c>
    </row>
    <row r="1474" spans="1:14" x14ac:dyDescent="0.3">
      <c r="A1474" t="s">
        <v>179</v>
      </c>
      <c r="B1474" t="s">
        <v>180</v>
      </c>
      <c r="C1474">
        <v>7</v>
      </c>
      <c r="D1474" t="s">
        <v>52</v>
      </c>
      <c r="E1474" t="s">
        <v>53</v>
      </c>
      <c r="F1474">
        <v>0.13</v>
      </c>
      <c r="G1474">
        <v>11.689920000000001</v>
      </c>
      <c r="H1474">
        <v>11.689920000000001</v>
      </c>
      <c r="I1474" t="s">
        <v>54</v>
      </c>
      <c r="J1474">
        <v>4275000</v>
      </c>
      <c r="K1474">
        <v>49974408</v>
      </c>
      <c r="L1474" t="s">
        <v>180</v>
      </c>
      <c r="M1474" t="s">
        <v>7</v>
      </c>
      <c r="N1474" t="b">
        <v>0</v>
      </c>
    </row>
    <row r="1475" spans="1:14" x14ac:dyDescent="0.3">
      <c r="A1475" t="s">
        <v>179</v>
      </c>
      <c r="B1475" t="s">
        <v>180</v>
      </c>
      <c r="C1475">
        <v>8</v>
      </c>
      <c r="E1475" t="s">
        <v>55</v>
      </c>
      <c r="F1475">
        <v>0.35</v>
      </c>
      <c r="G1475">
        <v>5.1435648</v>
      </c>
      <c r="H1475">
        <v>5.1435648</v>
      </c>
      <c r="I1475" t="s">
        <v>46</v>
      </c>
      <c r="J1475">
        <v>35750000</v>
      </c>
      <c r="K1475">
        <v>183882441.59999999</v>
      </c>
      <c r="L1475" t="s">
        <v>180</v>
      </c>
      <c r="M1475" t="s">
        <v>7</v>
      </c>
      <c r="N1475" t="b">
        <v>0</v>
      </c>
    </row>
    <row r="1476" spans="1:14" x14ac:dyDescent="0.3">
      <c r="A1476" t="s">
        <v>179</v>
      </c>
      <c r="B1476" t="s">
        <v>180</v>
      </c>
      <c r="C1476">
        <v>9</v>
      </c>
      <c r="E1476" t="s">
        <v>55</v>
      </c>
      <c r="F1476">
        <v>0.2</v>
      </c>
      <c r="G1476">
        <v>0</v>
      </c>
      <c r="H1476">
        <v>0</v>
      </c>
      <c r="I1476" t="s">
        <v>46</v>
      </c>
      <c r="J1476">
        <v>45760000</v>
      </c>
      <c r="K1476">
        <v>0</v>
      </c>
      <c r="L1476" t="s">
        <v>180</v>
      </c>
      <c r="M1476" t="s">
        <v>7</v>
      </c>
      <c r="N1476" t="b">
        <v>0</v>
      </c>
    </row>
    <row r="1477" spans="1:14" x14ac:dyDescent="0.3">
      <c r="A1477" t="s">
        <v>179</v>
      </c>
      <c r="B1477" t="s">
        <v>180</v>
      </c>
      <c r="C1477">
        <v>10</v>
      </c>
      <c r="D1477" t="s">
        <v>56</v>
      </c>
      <c r="E1477" t="s">
        <v>57</v>
      </c>
      <c r="G1477">
        <v>47.166600000000003</v>
      </c>
      <c r="H1477">
        <v>47.166600000000003</v>
      </c>
      <c r="I1477" t="s">
        <v>46</v>
      </c>
      <c r="J1477">
        <v>1430000</v>
      </c>
      <c r="K1477">
        <v>67448238</v>
      </c>
      <c r="L1477" t="s">
        <v>180</v>
      </c>
      <c r="M1477" t="s">
        <v>7</v>
      </c>
      <c r="N1477" t="b">
        <v>0</v>
      </c>
    </row>
    <row r="1478" spans="1:14" x14ac:dyDescent="0.3">
      <c r="A1478" t="s">
        <v>179</v>
      </c>
      <c r="B1478" t="s">
        <v>180</v>
      </c>
      <c r="C1478">
        <v>11</v>
      </c>
      <c r="D1478" t="s">
        <v>58</v>
      </c>
      <c r="E1478" t="s">
        <v>59</v>
      </c>
      <c r="G1478">
        <v>16</v>
      </c>
      <c r="H1478">
        <v>16</v>
      </c>
      <c r="I1478" t="s">
        <v>46</v>
      </c>
      <c r="J1478">
        <v>3000000</v>
      </c>
      <c r="K1478">
        <v>48000000</v>
      </c>
      <c r="L1478" t="s">
        <v>180</v>
      </c>
      <c r="M1478" t="s">
        <v>7</v>
      </c>
      <c r="N1478" t="b">
        <v>0</v>
      </c>
    </row>
    <row r="1479" spans="1:14" x14ac:dyDescent="0.3">
      <c r="A1479" t="s">
        <v>179</v>
      </c>
      <c r="B1479" t="s">
        <v>180</v>
      </c>
      <c r="C1479">
        <v>12</v>
      </c>
      <c r="E1479" t="s">
        <v>60</v>
      </c>
      <c r="G1479">
        <v>88.529760000000039</v>
      </c>
      <c r="H1479">
        <v>88.529760000000039</v>
      </c>
      <c r="I1479" t="s">
        <v>61</v>
      </c>
      <c r="J1479">
        <v>3600000</v>
      </c>
      <c r="K1479">
        <v>318707136.00000006</v>
      </c>
      <c r="L1479" t="s">
        <v>180</v>
      </c>
      <c r="M1479" t="s">
        <v>7</v>
      </c>
      <c r="N1479" t="b">
        <v>0</v>
      </c>
    </row>
    <row r="1480" spans="1:14" x14ac:dyDescent="0.3">
      <c r="A1480" t="s">
        <v>179</v>
      </c>
      <c r="B1480" t="s">
        <v>180</v>
      </c>
      <c r="C1480">
        <v>13</v>
      </c>
      <c r="D1480" t="s">
        <v>62</v>
      </c>
      <c r="E1480" t="s">
        <v>63</v>
      </c>
      <c r="G1480">
        <v>23.76</v>
      </c>
      <c r="H1480">
        <v>23.76</v>
      </c>
      <c r="I1480" t="s">
        <v>61</v>
      </c>
      <c r="J1480">
        <v>3600000</v>
      </c>
      <c r="K1480">
        <v>85536000</v>
      </c>
      <c r="L1480" t="s">
        <v>180</v>
      </c>
      <c r="M1480" t="s">
        <v>7</v>
      </c>
      <c r="N1480" t="b">
        <v>0</v>
      </c>
    </row>
    <row r="1481" spans="1:14" x14ac:dyDescent="0.3">
      <c r="A1481" t="s">
        <v>179</v>
      </c>
      <c r="B1481" t="s">
        <v>180</v>
      </c>
      <c r="C1481">
        <v>14</v>
      </c>
      <c r="E1481" t="s">
        <v>64</v>
      </c>
      <c r="G1481">
        <v>0.4</v>
      </c>
      <c r="H1481">
        <v>0.4</v>
      </c>
      <c r="I1481" t="s">
        <v>61</v>
      </c>
      <c r="J1481">
        <v>5500000</v>
      </c>
      <c r="K1481">
        <v>2200000</v>
      </c>
      <c r="L1481" t="s">
        <v>180</v>
      </c>
      <c r="M1481" t="s">
        <v>7</v>
      </c>
      <c r="N1481" t="b">
        <v>0</v>
      </c>
    </row>
    <row r="1482" spans="1:14" x14ac:dyDescent="0.3">
      <c r="A1482" t="s">
        <v>179</v>
      </c>
      <c r="B1482" t="s">
        <v>180</v>
      </c>
      <c r="C1482">
        <v>15</v>
      </c>
      <c r="D1482" t="s">
        <v>65</v>
      </c>
      <c r="E1482" t="s">
        <v>66</v>
      </c>
      <c r="G1482" t="s">
        <v>67</v>
      </c>
      <c r="H1482" t="s">
        <v>67</v>
      </c>
      <c r="I1482" t="s">
        <v>61</v>
      </c>
      <c r="J1482">
        <v>200000</v>
      </c>
      <c r="K1482">
        <v>16000000</v>
      </c>
      <c r="L1482" t="s">
        <v>180</v>
      </c>
      <c r="M1482" t="s">
        <v>7</v>
      </c>
      <c r="N1482" t="b">
        <v>0</v>
      </c>
    </row>
    <row r="1483" spans="1:14" x14ac:dyDescent="0.3">
      <c r="A1483" t="s">
        <v>179</v>
      </c>
      <c r="B1483" t="s">
        <v>180</v>
      </c>
      <c r="C1483">
        <v>16</v>
      </c>
      <c r="E1483" t="s">
        <v>68</v>
      </c>
      <c r="G1483">
        <v>8</v>
      </c>
      <c r="H1483">
        <v>8</v>
      </c>
      <c r="I1483" t="s">
        <v>61</v>
      </c>
      <c r="J1483">
        <v>200000</v>
      </c>
      <c r="K1483">
        <v>1600000</v>
      </c>
      <c r="L1483" t="s">
        <v>180</v>
      </c>
      <c r="M1483" t="s">
        <v>7</v>
      </c>
      <c r="N1483" t="b">
        <v>0</v>
      </c>
    </row>
    <row r="1484" spans="1:14" x14ac:dyDescent="0.3">
      <c r="A1484" t="s">
        <v>179</v>
      </c>
      <c r="B1484" t="s">
        <v>180</v>
      </c>
      <c r="C1484">
        <v>17</v>
      </c>
      <c r="E1484" t="s">
        <v>69</v>
      </c>
      <c r="G1484">
        <v>88</v>
      </c>
      <c r="H1484">
        <v>88</v>
      </c>
      <c r="I1484" t="s">
        <v>61</v>
      </c>
      <c r="J1484">
        <v>200000</v>
      </c>
      <c r="K1484">
        <v>17600000</v>
      </c>
      <c r="L1484" t="s">
        <v>180</v>
      </c>
      <c r="M1484" t="s">
        <v>7</v>
      </c>
      <c r="N1484" t="b">
        <v>0</v>
      </c>
    </row>
    <row r="1485" spans="1:14" x14ac:dyDescent="0.3">
      <c r="A1485" t="s">
        <v>179</v>
      </c>
      <c r="B1485" t="s">
        <v>180</v>
      </c>
      <c r="C1485">
        <v>18</v>
      </c>
      <c r="E1485" t="s">
        <v>70</v>
      </c>
      <c r="G1485">
        <v>16</v>
      </c>
      <c r="H1485">
        <v>16</v>
      </c>
      <c r="I1485" t="s">
        <v>61</v>
      </c>
      <c r="J1485">
        <v>400000</v>
      </c>
      <c r="K1485">
        <v>6400000</v>
      </c>
      <c r="L1485" t="s">
        <v>180</v>
      </c>
      <c r="M1485" t="s">
        <v>7</v>
      </c>
      <c r="N1485" t="b">
        <v>0</v>
      </c>
    </row>
    <row r="1486" spans="1:14" x14ac:dyDescent="0.3">
      <c r="A1486" t="s">
        <v>179</v>
      </c>
      <c r="B1486" t="s">
        <v>180</v>
      </c>
      <c r="C1486">
        <v>19</v>
      </c>
      <c r="E1486" t="s">
        <v>71</v>
      </c>
      <c r="G1486">
        <v>16</v>
      </c>
      <c r="H1486">
        <v>16</v>
      </c>
      <c r="I1486" t="s">
        <v>61</v>
      </c>
      <c r="J1486">
        <v>120000</v>
      </c>
      <c r="K1486">
        <v>1920000</v>
      </c>
      <c r="L1486" t="s">
        <v>180</v>
      </c>
      <c r="M1486" t="s">
        <v>7</v>
      </c>
      <c r="N1486" t="b">
        <v>0</v>
      </c>
    </row>
    <row r="1487" spans="1:14" x14ac:dyDescent="0.3">
      <c r="A1487" t="s">
        <v>179</v>
      </c>
      <c r="B1487" t="s">
        <v>180</v>
      </c>
      <c r="C1487">
        <v>20</v>
      </c>
      <c r="E1487" t="s">
        <v>72</v>
      </c>
      <c r="G1487">
        <v>24</v>
      </c>
      <c r="H1487">
        <v>24</v>
      </c>
      <c r="I1487" t="s">
        <v>61</v>
      </c>
      <c r="J1487">
        <v>400000</v>
      </c>
      <c r="K1487">
        <v>9600000</v>
      </c>
      <c r="L1487" t="s">
        <v>180</v>
      </c>
      <c r="M1487" t="s">
        <v>7</v>
      </c>
      <c r="N1487" t="b">
        <v>0</v>
      </c>
    </row>
    <row r="1488" spans="1:14" x14ac:dyDescent="0.3">
      <c r="A1488" t="s">
        <v>179</v>
      </c>
      <c r="B1488" t="s">
        <v>180</v>
      </c>
      <c r="C1488">
        <v>21</v>
      </c>
      <c r="D1488" t="s">
        <v>73</v>
      </c>
      <c r="E1488" t="s">
        <v>74</v>
      </c>
      <c r="F1488">
        <v>132</v>
      </c>
      <c r="G1488">
        <v>16</v>
      </c>
      <c r="H1488">
        <v>13.057228800000001</v>
      </c>
      <c r="I1488" t="s">
        <v>46</v>
      </c>
      <c r="J1488">
        <v>35000000</v>
      </c>
      <c r="K1488">
        <v>457003008</v>
      </c>
      <c r="L1488" t="s">
        <v>180</v>
      </c>
      <c r="M1488" t="s">
        <v>7</v>
      </c>
      <c r="N1488" t="b">
        <v>0</v>
      </c>
    </row>
    <row r="1489" spans="1:14" x14ac:dyDescent="0.3">
      <c r="A1489" t="s">
        <v>179</v>
      </c>
      <c r="B1489" t="s">
        <v>180</v>
      </c>
      <c r="C1489">
        <v>22</v>
      </c>
      <c r="D1489" t="s">
        <v>75</v>
      </c>
      <c r="E1489" t="s">
        <v>76</v>
      </c>
      <c r="F1489" t="s">
        <v>77</v>
      </c>
      <c r="G1489">
        <v>2</v>
      </c>
      <c r="H1489">
        <v>3.2</v>
      </c>
      <c r="I1489" t="s">
        <v>46</v>
      </c>
      <c r="J1489">
        <v>5200000</v>
      </c>
      <c r="K1489">
        <v>16640000</v>
      </c>
      <c r="L1489" t="s">
        <v>180</v>
      </c>
      <c r="M1489" t="s">
        <v>7</v>
      </c>
      <c r="N1489" t="b">
        <v>0</v>
      </c>
    </row>
    <row r="1490" spans="1:14" x14ac:dyDescent="0.3">
      <c r="A1490" t="s">
        <v>179</v>
      </c>
      <c r="B1490" t="s">
        <v>180</v>
      </c>
      <c r="C1490">
        <v>23</v>
      </c>
      <c r="E1490" t="s">
        <v>78</v>
      </c>
      <c r="F1490" t="s">
        <v>79</v>
      </c>
      <c r="G1490">
        <v>2</v>
      </c>
      <c r="H1490">
        <v>1.2</v>
      </c>
      <c r="I1490" t="s">
        <v>46</v>
      </c>
      <c r="J1490">
        <v>5200000</v>
      </c>
      <c r="K1490">
        <v>6240000</v>
      </c>
      <c r="L1490" t="s">
        <v>180</v>
      </c>
      <c r="M1490" t="s">
        <v>7</v>
      </c>
      <c r="N1490" t="b">
        <v>0</v>
      </c>
    </row>
    <row r="1491" spans="1:14" x14ac:dyDescent="0.3">
      <c r="A1491" t="s">
        <v>179</v>
      </c>
      <c r="B1491" t="s">
        <v>180</v>
      </c>
      <c r="C1491">
        <v>24</v>
      </c>
      <c r="D1491" t="s">
        <v>80</v>
      </c>
      <c r="E1491" t="s">
        <v>81</v>
      </c>
      <c r="F1491" t="s">
        <v>174</v>
      </c>
      <c r="G1491">
        <v>2</v>
      </c>
      <c r="H1491">
        <v>1.890155</v>
      </c>
      <c r="I1491" t="s">
        <v>46</v>
      </c>
      <c r="J1491">
        <v>8500000</v>
      </c>
      <c r="K1491">
        <v>16066317.5</v>
      </c>
      <c r="L1491" t="s">
        <v>180</v>
      </c>
      <c r="M1491" t="s">
        <v>7</v>
      </c>
      <c r="N1491" t="b">
        <v>0</v>
      </c>
    </row>
    <row r="1492" spans="1:14" x14ac:dyDescent="0.3">
      <c r="A1492" t="s">
        <v>179</v>
      </c>
      <c r="B1492" t="s">
        <v>180</v>
      </c>
      <c r="C1492">
        <v>25</v>
      </c>
      <c r="D1492" t="s">
        <v>83</v>
      </c>
      <c r="E1492" t="s">
        <v>84</v>
      </c>
      <c r="F1492">
        <v>0.18</v>
      </c>
      <c r="G1492">
        <v>4</v>
      </c>
      <c r="H1492">
        <v>4</v>
      </c>
      <c r="I1492" t="s">
        <v>61</v>
      </c>
      <c r="J1492">
        <v>1300000</v>
      </c>
      <c r="K1492">
        <v>5200000</v>
      </c>
      <c r="L1492" t="s">
        <v>180</v>
      </c>
      <c r="M1492" t="s">
        <v>7</v>
      </c>
      <c r="N1492" t="b">
        <v>0</v>
      </c>
    </row>
    <row r="1493" spans="1:14" x14ac:dyDescent="0.3">
      <c r="A1493" t="s">
        <v>179</v>
      </c>
      <c r="B1493" t="s">
        <v>180</v>
      </c>
      <c r="C1493">
        <v>26</v>
      </c>
      <c r="E1493" t="s">
        <v>86</v>
      </c>
      <c r="F1493">
        <v>0.2</v>
      </c>
      <c r="G1493">
        <v>6</v>
      </c>
      <c r="H1493">
        <v>6</v>
      </c>
      <c r="I1493" t="s">
        <v>61</v>
      </c>
      <c r="J1493">
        <v>1300000</v>
      </c>
      <c r="K1493">
        <v>7800000</v>
      </c>
      <c r="L1493" t="s">
        <v>180</v>
      </c>
      <c r="M1493" t="s">
        <v>7</v>
      </c>
      <c r="N1493" t="b">
        <v>0</v>
      </c>
    </row>
    <row r="1494" spans="1:14" x14ac:dyDescent="0.3">
      <c r="A1494" t="s">
        <v>179</v>
      </c>
      <c r="B1494" t="s">
        <v>180</v>
      </c>
      <c r="C1494">
        <v>27</v>
      </c>
      <c r="D1494" t="s">
        <v>88</v>
      </c>
      <c r="E1494" t="s">
        <v>89</v>
      </c>
      <c r="F1494" t="s">
        <v>90</v>
      </c>
      <c r="G1494">
        <v>2</v>
      </c>
      <c r="H1494">
        <v>2</v>
      </c>
      <c r="I1494" t="s">
        <v>61</v>
      </c>
      <c r="J1494">
        <v>100000</v>
      </c>
      <c r="K1494">
        <v>200000</v>
      </c>
      <c r="L1494" t="s">
        <v>180</v>
      </c>
      <c r="M1494" t="s">
        <v>7</v>
      </c>
      <c r="N1494" t="b">
        <v>0</v>
      </c>
    </row>
    <row r="1495" spans="1:14" x14ac:dyDescent="0.3">
      <c r="A1495" t="s">
        <v>179</v>
      </c>
      <c r="B1495" t="s">
        <v>180</v>
      </c>
      <c r="C1495">
        <v>28</v>
      </c>
      <c r="D1495" t="s">
        <v>65</v>
      </c>
      <c r="E1495" t="s">
        <v>91</v>
      </c>
      <c r="G1495">
        <v>4</v>
      </c>
      <c r="H1495">
        <v>4</v>
      </c>
      <c r="I1495" t="s">
        <v>61</v>
      </c>
      <c r="J1495">
        <v>2400000</v>
      </c>
      <c r="K1495">
        <v>9600000</v>
      </c>
      <c r="L1495" t="s">
        <v>180</v>
      </c>
      <c r="M1495" t="s">
        <v>7</v>
      </c>
      <c r="N1495" t="b">
        <v>0</v>
      </c>
    </row>
    <row r="1496" spans="1:14" x14ac:dyDescent="0.3">
      <c r="A1496" t="s">
        <v>179</v>
      </c>
      <c r="B1496" t="s">
        <v>180</v>
      </c>
      <c r="C1496">
        <v>29</v>
      </c>
      <c r="E1496" t="s">
        <v>92</v>
      </c>
      <c r="G1496">
        <v>4</v>
      </c>
      <c r="H1496">
        <v>4</v>
      </c>
      <c r="I1496" t="s">
        <v>61</v>
      </c>
      <c r="J1496">
        <v>2400000</v>
      </c>
      <c r="K1496">
        <v>9600000</v>
      </c>
      <c r="L1496" t="s">
        <v>180</v>
      </c>
      <c r="M1496" t="s">
        <v>7</v>
      </c>
      <c r="N1496" t="b">
        <v>0</v>
      </c>
    </row>
    <row r="1497" spans="1:14" x14ac:dyDescent="0.3">
      <c r="A1497" t="s">
        <v>179</v>
      </c>
      <c r="B1497" t="s">
        <v>180</v>
      </c>
      <c r="C1497">
        <v>30</v>
      </c>
      <c r="E1497" t="s">
        <v>93</v>
      </c>
      <c r="G1497">
        <v>4</v>
      </c>
      <c r="H1497">
        <v>4</v>
      </c>
      <c r="I1497" t="s">
        <v>61</v>
      </c>
      <c r="J1497">
        <v>3000000</v>
      </c>
      <c r="K1497">
        <v>12000000</v>
      </c>
      <c r="L1497" t="s">
        <v>180</v>
      </c>
      <c r="M1497" t="s">
        <v>7</v>
      </c>
      <c r="N1497" t="b">
        <v>0</v>
      </c>
    </row>
    <row r="1498" spans="1:14" x14ac:dyDescent="0.3">
      <c r="A1498" t="s">
        <v>179</v>
      </c>
      <c r="B1498" t="s">
        <v>180</v>
      </c>
      <c r="C1498">
        <v>31</v>
      </c>
      <c r="D1498" t="s">
        <v>94</v>
      </c>
      <c r="E1498" t="s">
        <v>95</v>
      </c>
      <c r="G1498">
        <v>2</v>
      </c>
      <c r="H1498">
        <v>2</v>
      </c>
      <c r="I1498" t="s">
        <v>61</v>
      </c>
      <c r="J1498">
        <v>1300000</v>
      </c>
      <c r="K1498">
        <v>2600000</v>
      </c>
      <c r="L1498" t="s">
        <v>180</v>
      </c>
      <c r="M1498" t="s">
        <v>7</v>
      </c>
      <c r="N1498" t="b">
        <v>0</v>
      </c>
    </row>
    <row r="1499" spans="1:14" x14ac:dyDescent="0.3">
      <c r="A1499" t="s">
        <v>179</v>
      </c>
      <c r="B1499" t="s">
        <v>180</v>
      </c>
      <c r="C1499">
        <v>32</v>
      </c>
      <c r="D1499" t="s">
        <v>94</v>
      </c>
      <c r="E1499" t="s">
        <v>96</v>
      </c>
      <c r="G1499">
        <v>8</v>
      </c>
      <c r="H1499">
        <v>21.623999999999999</v>
      </c>
      <c r="I1499" t="s">
        <v>97</v>
      </c>
      <c r="J1499">
        <v>460000</v>
      </c>
      <c r="K1499">
        <v>9947040</v>
      </c>
      <c r="L1499" t="s">
        <v>180</v>
      </c>
      <c r="M1499" t="s">
        <v>7</v>
      </c>
      <c r="N1499" t="b">
        <v>0</v>
      </c>
    </row>
    <row r="1500" spans="1:14" x14ac:dyDescent="0.3">
      <c r="A1500" t="s">
        <v>179</v>
      </c>
      <c r="B1500" t="s">
        <v>180</v>
      </c>
      <c r="C1500">
        <v>33</v>
      </c>
      <c r="D1500" t="s">
        <v>98</v>
      </c>
      <c r="E1500" t="s">
        <v>99</v>
      </c>
      <c r="F1500">
        <v>50</v>
      </c>
      <c r="G1500">
        <v>16</v>
      </c>
      <c r="H1500">
        <v>1.6</v>
      </c>
      <c r="I1500" t="s">
        <v>100</v>
      </c>
      <c r="J1500">
        <v>17526080</v>
      </c>
      <c r="K1500">
        <v>28041728</v>
      </c>
      <c r="L1500" t="s">
        <v>180</v>
      </c>
      <c r="M1500" t="s">
        <v>7</v>
      </c>
      <c r="N1500" t="b">
        <v>0</v>
      </c>
    </row>
    <row r="1501" spans="1:14" x14ac:dyDescent="0.3">
      <c r="A1501" t="s">
        <v>179</v>
      </c>
      <c r="B1501" t="s">
        <v>180</v>
      </c>
      <c r="C1501">
        <v>28</v>
      </c>
      <c r="E1501" t="s">
        <v>101</v>
      </c>
      <c r="H1501">
        <v>10</v>
      </c>
      <c r="I1501" t="s">
        <v>102</v>
      </c>
      <c r="J1501">
        <v>13000000</v>
      </c>
      <c r="K1501">
        <v>130000000</v>
      </c>
      <c r="L1501" t="s">
        <v>180</v>
      </c>
      <c r="M1501" t="s">
        <v>7</v>
      </c>
      <c r="N1501" t="b">
        <v>0</v>
      </c>
    </row>
    <row r="1502" spans="1:14" x14ac:dyDescent="0.3">
      <c r="A1502" t="s">
        <v>179</v>
      </c>
      <c r="B1502" t="s">
        <v>8</v>
      </c>
      <c r="C1502">
        <v>1</v>
      </c>
      <c r="D1502" t="s">
        <v>44</v>
      </c>
      <c r="E1502" t="s">
        <v>45</v>
      </c>
      <c r="F1502">
        <v>0.76800000000000002</v>
      </c>
      <c r="G1502">
        <v>2</v>
      </c>
      <c r="H1502">
        <v>2.1503999999999999</v>
      </c>
      <c r="I1502" t="s">
        <v>46</v>
      </c>
      <c r="J1502">
        <v>8500000</v>
      </c>
      <c r="K1502">
        <v>18278400</v>
      </c>
      <c r="L1502" t="s">
        <v>8</v>
      </c>
      <c r="M1502" t="s">
        <v>7</v>
      </c>
      <c r="N1502" t="b">
        <v>0</v>
      </c>
    </row>
    <row r="1503" spans="1:14" x14ac:dyDescent="0.3">
      <c r="A1503" t="s">
        <v>179</v>
      </c>
      <c r="B1503" t="s">
        <v>8</v>
      </c>
      <c r="C1503">
        <v>2</v>
      </c>
      <c r="E1503" t="s">
        <v>47</v>
      </c>
      <c r="F1503">
        <v>0.76800000000000002</v>
      </c>
      <c r="G1503">
        <v>1</v>
      </c>
      <c r="H1503">
        <v>1.0751999999999999</v>
      </c>
      <c r="I1503" t="s">
        <v>46</v>
      </c>
      <c r="J1503">
        <v>8500000</v>
      </c>
      <c r="K1503">
        <v>9139200</v>
      </c>
      <c r="L1503" t="s">
        <v>8</v>
      </c>
      <c r="M1503" t="s">
        <v>7</v>
      </c>
      <c r="N1503" t="b">
        <v>0</v>
      </c>
    </row>
    <row r="1504" spans="1:14" x14ac:dyDescent="0.3">
      <c r="A1504" t="s">
        <v>179</v>
      </c>
      <c r="B1504" t="s">
        <v>8</v>
      </c>
      <c r="C1504">
        <v>3</v>
      </c>
      <c r="E1504" t="s">
        <v>181</v>
      </c>
      <c r="F1504">
        <v>0.70299999999999996</v>
      </c>
      <c r="G1504">
        <v>4</v>
      </c>
      <c r="H1504">
        <v>9.2795999999999985</v>
      </c>
      <c r="I1504" t="s">
        <v>46</v>
      </c>
      <c r="J1504">
        <v>8500000</v>
      </c>
      <c r="K1504">
        <v>78876599.999999985</v>
      </c>
      <c r="L1504" t="s">
        <v>8</v>
      </c>
      <c r="M1504" t="s">
        <v>7</v>
      </c>
      <c r="N1504" t="b">
        <v>0</v>
      </c>
    </row>
    <row r="1505" spans="1:14" x14ac:dyDescent="0.3">
      <c r="A1505" t="s">
        <v>179</v>
      </c>
      <c r="B1505" t="s">
        <v>8</v>
      </c>
      <c r="C1505">
        <v>4</v>
      </c>
      <c r="E1505" t="s">
        <v>49</v>
      </c>
      <c r="F1505">
        <v>120</v>
      </c>
      <c r="G1505">
        <v>4</v>
      </c>
      <c r="H1505">
        <v>0.48</v>
      </c>
      <c r="I1505" t="s">
        <v>46</v>
      </c>
      <c r="J1505">
        <v>8500000</v>
      </c>
      <c r="K1505">
        <v>4080000</v>
      </c>
      <c r="L1505" t="s">
        <v>8</v>
      </c>
      <c r="M1505" t="s">
        <v>7</v>
      </c>
      <c r="N1505" t="b">
        <v>0</v>
      </c>
    </row>
    <row r="1506" spans="1:14" x14ac:dyDescent="0.3">
      <c r="A1506" t="s">
        <v>179</v>
      </c>
      <c r="B1506" t="s">
        <v>8</v>
      </c>
      <c r="C1506">
        <v>5</v>
      </c>
      <c r="E1506" t="s">
        <v>50</v>
      </c>
      <c r="F1506">
        <v>180</v>
      </c>
      <c r="G1506">
        <v>4</v>
      </c>
      <c r="H1506">
        <v>3.12012</v>
      </c>
      <c r="I1506" t="s">
        <v>46</v>
      </c>
      <c r="J1506">
        <v>8500000</v>
      </c>
      <c r="K1506">
        <v>26521020</v>
      </c>
      <c r="L1506" t="s">
        <v>8</v>
      </c>
      <c r="M1506" t="s">
        <v>7</v>
      </c>
      <c r="N1506" t="b">
        <v>0</v>
      </c>
    </row>
    <row r="1507" spans="1:14" x14ac:dyDescent="0.3">
      <c r="A1507" t="s">
        <v>179</v>
      </c>
      <c r="B1507" t="s">
        <v>8</v>
      </c>
      <c r="C1507">
        <v>6</v>
      </c>
      <c r="E1507" t="s">
        <v>51</v>
      </c>
      <c r="F1507">
        <v>0.96299999999999997</v>
      </c>
      <c r="G1507">
        <v>8</v>
      </c>
      <c r="H1507">
        <v>28.705103999999999</v>
      </c>
      <c r="I1507" t="s">
        <v>46</v>
      </c>
      <c r="J1507">
        <v>8500000</v>
      </c>
      <c r="K1507">
        <v>243993384.00000003</v>
      </c>
      <c r="L1507" t="s">
        <v>8</v>
      </c>
      <c r="M1507" t="s">
        <v>7</v>
      </c>
      <c r="N1507" t="b">
        <v>0</v>
      </c>
    </row>
    <row r="1508" spans="1:14" x14ac:dyDescent="0.3">
      <c r="A1508" t="s">
        <v>179</v>
      </c>
      <c r="B1508" t="s">
        <v>8</v>
      </c>
      <c r="C1508">
        <v>7</v>
      </c>
      <c r="D1508" t="s">
        <v>52</v>
      </c>
      <c r="E1508" t="s">
        <v>53</v>
      </c>
      <c r="F1508">
        <v>0.13</v>
      </c>
      <c r="G1508">
        <v>3.790368</v>
      </c>
      <c r="H1508">
        <v>3.790368</v>
      </c>
      <c r="I1508" t="s">
        <v>54</v>
      </c>
      <c r="J1508">
        <v>4275000</v>
      </c>
      <c r="K1508">
        <v>16203823.199999999</v>
      </c>
      <c r="L1508" t="s">
        <v>8</v>
      </c>
      <c r="M1508" t="s">
        <v>7</v>
      </c>
      <c r="N1508" t="b">
        <v>0</v>
      </c>
    </row>
    <row r="1509" spans="1:14" x14ac:dyDescent="0.3">
      <c r="A1509" t="s">
        <v>179</v>
      </c>
      <c r="B1509" t="s">
        <v>8</v>
      </c>
      <c r="C1509">
        <v>8</v>
      </c>
      <c r="E1509" t="s">
        <v>55</v>
      </c>
      <c r="F1509">
        <v>0.35</v>
      </c>
      <c r="G1509">
        <v>0</v>
      </c>
      <c r="H1509">
        <v>0</v>
      </c>
      <c r="I1509" t="s">
        <v>46</v>
      </c>
      <c r="J1509">
        <v>35750000</v>
      </c>
      <c r="K1509">
        <v>0</v>
      </c>
      <c r="L1509" t="s">
        <v>8</v>
      </c>
      <c r="M1509" t="s">
        <v>7</v>
      </c>
      <c r="N1509" t="b">
        <v>0</v>
      </c>
    </row>
    <row r="1510" spans="1:14" x14ac:dyDescent="0.3">
      <c r="A1510" t="s">
        <v>179</v>
      </c>
      <c r="B1510" t="s">
        <v>8</v>
      </c>
      <c r="C1510">
        <v>9</v>
      </c>
      <c r="E1510" t="s">
        <v>55</v>
      </c>
      <c r="F1510">
        <v>0.2</v>
      </c>
      <c r="G1510">
        <v>1.895184</v>
      </c>
      <c r="H1510">
        <v>1.895184</v>
      </c>
      <c r="I1510" t="s">
        <v>46</v>
      </c>
      <c r="J1510">
        <v>45760000</v>
      </c>
      <c r="K1510">
        <v>86723619.840000004</v>
      </c>
      <c r="L1510" t="s">
        <v>8</v>
      </c>
      <c r="M1510" t="s">
        <v>7</v>
      </c>
      <c r="N1510" t="b">
        <v>0</v>
      </c>
    </row>
    <row r="1511" spans="1:14" x14ac:dyDescent="0.3">
      <c r="A1511" t="s">
        <v>179</v>
      </c>
      <c r="B1511" t="s">
        <v>8</v>
      </c>
      <c r="C1511">
        <v>10</v>
      </c>
      <c r="D1511" t="s">
        <v>56</v>
      </c>
      <c r="E1511" t="s">
        <v>57</v>
      </c>
      <c r="G1511">
        <v>12.5052</v>
      </c>
      <c r="H1511">
        <v>12.5052</v>
      </c>
      <c r="I1511" t="s">
        <v>61</v>
      </c>
      <c r="J1511">
        <v>1430000</v>
      </c>
      <c r="K1511">
        <v>17882435.999999996</v>
      </c>
      <c r="L1511" t="s">
        <v>8</v>
      </c>
      <c r="M1511" t="s">
        <v>7</v>
      </c>
      <c r="N1511" t="b">
        <v>0</v>
      </c>
    </row>
    <row r="1512" spans="1:14" x14ac:dyDescent="0.3">
      <c r="A1512" t="s">
        <v>179</v>
      </c>
      <c r="B1512" t="s">
        <v>8</v>
      </c>
      <c r="C1512">
        <v>11</v>
      </c>
      <c r="D1512" t="s">
        <v>58</v>
      </c>
      <c r="E1512" t="s">
        <v>59</v>
      </c>
      <c r="G1512">
        <v>16</v>
      </c>
      <c r="H1512">
        <v>16</v>
      </c>
      <c r="I1512" t="s">
        <v>46</v>
      </c>
      <c r="J1512">
        <v>3000000</v>
      </c>
      <c r="K1512">
        <v>48000000</v>
      </c>
      <c r="L1512" t="s">
        <v>8</v>
      </c>
      <c r="M1512" t="s">
        <v>7</v>
      </c>
      <c r="N1512" t="b">
        <v>0</v>
      </c>
    </row>
    <row r="1513" spans="1:14" x14ac:dyDescent="0.3">
      <c r="A1513" t="s">
        <v>179</v>
      </c>
      <c r="B1513" t="s">
        <v>8</v>
      </c>
      <c r="C1513">
        <v>12</v>
      </c>
      <c r="E1513" t="s">
        <v>60</v>
      </c>
      <c r="G1513">
        <v>28.705103999999999</v>
      </c>
      <c r="H1513">
        <v>28.705103999999999</v>
      </c>
      <c r="I1513" t="s">
        <v>61</v>
      </c>
      <c r="J1513">
        <v>3600000</v>
      </c>
      <c r="K1513">
        <v>103338374.40000001</v>
      </c>
      <c r="L1513" t="s">
        <v>8</v>
      </c>
      <c r="M1513" t="s">
        <v>7</v>
      </c>
      <c r="N1513" t="b">
        <v>0</v>
      </c>
    </row>
    <row r="1514" spans="1:14" x14ac:dyDescent="0.3">
      <c r="A1514" t="s">
        <v>179</v>
      </c>
      <c r="B1514" t="s">
        <v>8</v>
      </c>
      <c r="C1514">
        <v>13</v>
      </c>
      <c r="D1514" t="s">
        <v>62</v>
      </c>
      <c r="E1514" t="s">
        <v>63</v>
      </c>
      <c r="G1514">
        <v>7.7039999999999997</v>
      </c>
      <c r="H1514">
        <v>7.7039999999999997</v>
      </c>
      <c r="I1514" t="s">
        <v>61</v>
      </c>
      <c r="J1514">
        <v>3600000</v>
      </c>
      <c r="K1514">
        <v>27734400</v>
      </c>
      <c r="L1514" t="s">
        <v>8</v>
      </c>
      <c r="M1514" t="s">
        <v>7</v>
      </c>
      <c r="N1514" t="b">
        <v>0</v>
      </c>
    </row>
    <row r="1515" spans="1:14" x14ac:dyDescent="0.3">
      <c r="A1515" t="s">
        <v>179</v>
      </c>
      <c r="B1515" t="s">
        <v>8</v>
      </c>
      <c r="C1515">
        <v>14</v>
      </c>
      <c r="E1515" t="s">
        <v>64</v>
      </c>
      <c r="G1515">
        <v>0.4</v>
      </c>
      <c r="H1515">
        <v>0.4</v>
      </c>
      <c r="I1515" t="s">
        <v>61</v>
      </c>
      <c r="J1515">
        <v>5500000</v>
      </c>
      <c r="K1515">
        <v>2200000</v>
      </c>
      <c r="L1515" t="s">
        <v>8</v>
      </c>
      <c r="M1515" t="s">
        <v>7</v>
      </c>
      <c r="N1515" t="b">
        <v>0</v>
      </c>
    </row>
    <row r="1516" spans="1:14" x14ac:dyDescent="0.3">
      <c r="A1516" t="s">
        <v>179</v>
      </c>
      <c r="B1516" t="s">
        <v>8</v>
      </c>
      <c r="C1516">
        <v>15</v>
      </c>
      <c r="D1516" t="s">
        <v>65</v>
      </c>
      <c r="E1516" t="s">
        <v>66</v>
      </c>
      <c r="G1516">
        <v>20</v>
      </c>
      <c r="H1516">
        <v>20</v>
      </c>
      <c r="I1516" t="s">
        <v>61</v>
      </c>
      <c r="J1516">
        <v>200000</v>
      </c>
      <c r="K1516">
        <v>4000000</v>
      </c>
      <c r="L1516" t="s">
        <v>8</v>
      </c>
      <c r="M1516" t="s">
        <v>7</v>
      </c>
      <c r="N1516" t="b">
        <v>0</v>
      </c>
    </row>
    <row r="1517" spans="1:14" x14ac:dyDescent="0.3">
      <c r="A1517" t="s">
        <v>179</v>
      </c>
      <c r="B1517" t="s">
        <v>8</v>
      </c>
      <c r="C1517">
        <v>16</v>
      </c>
      <c r="E1517" t="s">
        <v>68</v>
      </c>
      <c r="G1517">
        <v>8</v>
      </c>
      <c r="H1517">
        <v>8</v>
      </c>
      <c r="I1517" t="s">
        <v>61</v>
      </c>
      <c r="J1517">
        <v>200000</v>
      </c>
      <c r="K1517">
        <v>1600000</v>
      </c>
      <c r="L1517" t="s">
        <v>8</v>
      </c>
      <c r="M1517" t="s">
        <v>7</v>
      </c>
      <c r="N1517" t="b">
        <v>0</v>
      </c>
    </row>
    <row r="1518" spans="1:14" x14ac:dyDescent="0.3">
      <c r="A1518" t="s">
        <v>179</v>
      </c>
      <c r="B1518" t="s">
        <v>8</v>
      </c>
      <c r="C1518">
        <v>17</v>
      </c>
      <c r="E1518" t="s">
        <v>69</v>
      </c>
      <c r="G1518">
        <v>28</v>
      </c>
      <c r="H1518">
        <v>28</v>
      </c>
      <c r="I1518" t="s">
        <v>61</v>
      </c>
      <c r="J1518">
        <v>200000</v>
      </c>
      <c r="K1518">
        <v>5600000</v>
      </c>
      <c r="L1518" t="s">
        <v>8</v>
      </c>
      <c r="M1518" t="s">
        <v>7</v>
      </c>
      <c r="N1518" t="b">
        <v>0</v>
      </c>
    </row>
    <row r="1519" spans="1:14" x14ac:dyDescent="0.3">
      <c r="A1519" t="s">
        <v>179</v>
      </c>
      <c r="B1519" t="s">
        <v>8</v>
      </c>
      <c r="C1519">
        <v>18</v>
      </c>
      <c r="E1519" t="s">
        <v>70</v>
      </c>
      <c r="G1519">
        <v>16</v>
      </c>
      <c r="H1519">
        <v>16</v>
      </c>
      <c r="I1519" t="s">
        <v>61</v>
      </c>
      <c r="J1519">
        <v>400000</v>
      </c>
      <c r="K1519">
        <v>6400000</v>
      </c>
      <c r="L1519" t="s">
        <v>8</v>
      </c>
      <c r="M1519" t="s">
        <v>7</v>
      </c>
      <c r="N1519" t="b">
        <v>0</v>
      </c>
    </row>
    <row r="1520" spans="1:14" x14ac:dyDescent="0.3">
      <c r="A1520" t="s">
        <v>179</v>
      </c>
      <c r="B1520" t="s">
        <v>8</v>
      </c>
      <c r="C1520">
        <v>19</v>
      </c>
      <c r="E1520" t="s">
        <v>71</v>
      </c>
      <c r="G1520">
        <v>16</v>
      </c>
      <c r="H1520">
        <v>16</v>
      </c>
      <c r="I1520" t="s">
        <v>61</v>
      </c>
      <c r="J1520">
        <v>120000</v>
      </c>
      <c r="K1520">
        <v>1920000</v>
      </c>
      <c r="L1520" t="s">
        <v>8</v>
      </c>
      <c r="M1520" t="s">
        <v>7</v>
      </c>
      <c r="N1520" t="b">
        <v>0</v>
      </c>
    </row>
    <row r="1521" spans="1:14" x14ac:dyDescent="0.3">
      <c r="A1521" t="s">
        <v>179</v>
      </c>
      <c r="B1521" t="s">
        <v>8</v>
      </c>
      <c r="C1521">
        <v>20</v>
      </c>
      <c r="E1521" t="s">
        <v>72</v>
      </c>
      <c r="G1521">
        <v>24</v>
      </c>
      <c r="H1521">
        <v>24</v>
      </c>
      <c r="I1521" t="s">
        <v>61</v>
      </c>
      <c r="J1521">
        <v>400000</v>
      </c>
      <c r="K1521">
        <v>9600000</v>
      </c>
      <c r="L1521" t="s">
        <v>8</v>
      </c>
      <c r="M1521" t="s">
        <v>7</v>
      </c>
      <c r="N1521" t="b">
        <v>0</v>
      </c>
    </row>
    <row r="1522" spans="1:14" x14ac:dyDescent="0.3">
      <c r="A1522" t="s">
        <v>179</v>
      </c>
      <c r="B1522" t="s">
        <v>8</v>
      </c>
      <c r="C1522">
        <v>21</v>
      </c>
      <c r="D1522" t="s">
        <v>73</v>
      </c>
      <c r="E1522" t="s">
        <v>74</v>
      </c>
      <c r="F1522">
        <v>132</v>
      </c>
      <c r="G1522">
        <v>16</v>
      </c>
      <c r="H1522">
        <v>13.057228800000001</v>
      </c>
      <c r="I1522" t="s">
        <v>46</v>
      </c>
      <c r="J1522">
        <v>35000000</v>
      </c>
      <c r="K1522">
        <v>457003008</v>
      </c>
      <c r="L1522" t="s">
        <v>8</v>
      </c>
      <c r="M1522" t="s">
        <v>7</v>
      </c>
      <c r="N1522" t="b">
        <v>0</v>
      </c>
    </row>
    <row r="1523" spans="1:14" x14ac:dyDescent="0.3">
      <c r="A1523" t="s">
        <v>179</v>
      </c>
      <c r="B1523" t="s">
        <v>8</v>
      </c>
      <c r="C1523">
        <v>22</v>
      </c>
      <c r="D1523" t="s">
        <v>75</v>
      </c>
      <c r="E1523" t="s">
        <v>76</v>
      </c>
      <c r="F1523" t="s">
        <v>77</v>
      </c>
      <c r="G1523">
        <v>2</v>
      </c>
      <c r="H1523">
        <v>3.2</v>
      </c>
      <c r="I1523" t="s">
        <v>46</v>
      </c>
      <c r="J1523">
        <v>5200000</v>
      </c>
      <c r="K1523">
        <v>16640000</v>
      </c>
      <c r="L1523" t="s">
        <v>8</v>
      </c>
      <c r="M1523" t="s">
        <v>7</v>
      </c>
      <c r="N1523" t="b">
        <v>0</v>
      </c>
    </row>
    <row r="1524" spans="1:14" x14ac:dyDescent="0.3">
      <c r="A1524" t="s">
        <v>179</v>
      </c>
      <c r="B1524" t="s">
        <v>8</v>
      </c>
      <c r="C1524">
        <v>23</v>
      </c>
      <c r="E1524" t="s">
        <v>78</v>
      </c>
      <c r="F1524" t="s">
        <v>79</v>
      </c>
      <c r="G1524">
        <v>2</v>
      </c>
      <c r="H1524">
        <v>1.2</v>
      </c>
      <c r="I1524" t="s">
        <v>46</v>
      </c>
      <c r="J1524">
        <v>5200000</v>
      </c>
      <c r="K1524">
        <v>6240000</v>
      </c>
      <c r="L1524" t="s">
        <v>8</v>
      </c>
      <c r="M1524" t="s">
        <v>7</v>
      </c>
      <c r="N1524" t="b">
        <v>0</v>
      </c>
    </row>
    <row r="1525" spans="1:14" x14ac:dyDescent="0.3">
      <c r="A1525" t="s">
        <v>179</v>
      </c>
      <c r="B1525" t="s">
        <v>8</v>
      </c>
      <c r="C1525">
        <v>24</v>
      </c>
      <c r="D1525" t="s">
        <v>80</v>
      </c>
      <c r="E1525" t="s">
        <v>81</v>
      </c>
      <c r="F1525" t="s">
        <v>82</v>
      </c>
      <c r="G1525">
        <v>2</v>
      </c>
      <c r="H1525">
        <v>1.890155</v>
      </c>
      <c r="I1525" t="s">
        <v>46</v>
      </c>
      <c r="J1525">
        <v>8500000</v>
      </c>
      <c r="K1525">
        <v>16066317.5</v>
      </c>
      <c r="L1525" t="s">
        <v>8</v>
      </c>
      <c r="M1525" t="s">
        <v>7</v>
      </c>
      <c r="N1525" t="b">
        <v>0</v>
      </c>
    </row>
    <row r="1526" spans="1:14" x14ac:dyDescent="0.3">
      <c r="A1526" t="s">
        <v>179</v>
      </c>
      <c r="B1526" t="s">
        <v>8</v>
      </c>
      <c r="C1526">
        <v>25</v>
      </c>
      <c r="D1526" t="s">
        <v>83</v>
      </c>
      <c r="E1526" t="s">
        <v>84</v>
      </c>
      <c r="F1526">
        <v>0.18</v>
      </c>
      <c r="G1526">
        <v>4</v>
      </c>
      <c r="H1526">
        <v>4</v>
      </c>
      <c r="I1526" t="s">
        <v>61</v>
      </c>
      <c r="J1526">
        <v>1300000</v>
      </c>
      <c r="K1526">
        <v>5200000</v>
      </c>
      <c r="L1526" t="s">
        <v>8</v>
      </c>
      <c r="M1526" t="s">
        <v>7</v>
      </c>
      <c r="N1526" t="b">
        <v>0</v>
      </c>
    </row>
    <row r="1527" spans="1:14" x14ac:dyDescent="0.3">
      <c r="A1527" t="s">
        <v>179</v>
      </c>
      <c r="B1527" t="s">
        <v>8</v>
      </c>
      <c r="C1527">
        <v>26</v>
      </c>
      <c r="E1527" t="s">
        <v>86</v>
      </c>
      <c r="F1527">
        <v>0.2</v>
      </c>
      <c r="G1527">
        <v>6</v>
      </c>
      <c r="H1527">
        <v>6</v>
      </c>
      <c r="I1527" t="s">
        <v>61</v>
      </c>
      <c r="J1527">
        <v>1300000</v>
      </c>
      <c r="K1527">
        <v>7800000</v>
      </c>
      <c r="L1527" t="s">
        <v>8</v>
      </c>
      <c r="M1527" t="s">
        <v>7</v>
      </c>
      <c r="N1527" t="b">
        <v>0</v>
      </c>
    </row>
    <row r="1528" spans="1:14" x14ac:dyDescent="0.3">
      <c r="A1528" t="s">
        <v>179</v>
      </c>
      <c r="B1528" t="s">
        <v>8</v>
      </c>
      <c r="C1528">
        <v>27</v>
      </c>
      <c r="D1528" t="s">
        <v>88</v>
      </c>
      <c r="E1528" t="s">
        <v>89</v>
      </c>
      <c r="F1528" t="s">
        <v>90</v>
      </c>
      <c r="G1528">
        <v>2</v>
      </c>
      <c r="H1528">
        <v>2</v>
      </c>
      <c r="I1528" t="s">
        <v>61</v>
      </c>
      <c r="J1528">
        <v>100000</v>
      </c>
      <c r="K1528">
        <v>200000</v>
      </c>
      <c r="L1528" t="s">
        <v>8</v>
      </c>
      <c r="M1528" t="s">
        <v>7</v>
      </c>
      <c r="N1528" t="b">
        <v>0</v>
      </c>
    </row>
    <row r="1529" spans="1:14" x14ac:dyDescent="0.3">
      <c r="A1529" t="s">
        <v>179</v>
      </c>
      <c r="B1529" t="s">
        <v>8</v>
      </c>
      <c r="C1529">
        <v>28</v>
      </c>
      <c r="D1529" t="s">
        <v>65</v>
      </c>
      <c r="E1529" t="s">
        <v>91</v>
      </c>
      <c r="G1529">
        <v>4</v>
      </c>
      <c r="H1529">
        <v>4</v>
      </c>
      <c r="I1529" t="s">
        <v>61</v>
      </c>
      <c r="J1529">
        <v>2400000</v>
      </c>
      <c r="K1529">
        <v>9600000</v>
      </c>
      <c r="L1529" t="s">
        <v>8</v>
      </c>
      <c r="M1529" t="s">
        <v>7</v>
      </c>
      <c r="N1529" t="b">
        <v>0</v>
      </c>
    </row>
    <row r="1530" spans="1:14" x14ac:dyDescent="0.3">
      <c r="A1530" t="s">
        <v>179</v>
      </c>
      <c r="B1530" t="s">
        <v>8</v>
      </c>
      <c r="C1530">
        <v>29</v>
      </c>
      <c r="E1530" t="s">
        <v>92</v>
      </c>
      <c r="G1530">
        <v>4</v>
      </c>
      <c r="H1530">
        <v>4</v>
      </c>
      <c r="I1530" t="s">
        <v>61</v>
      </c>
      <c r="J1530">
        <v>2400000</v>
      </c>
      <c r="K1530">
        <v>9600000</v>
      </c>
      <c r="L1530" t="s">
        <v>8</v>
      </c>
      <c r="M1530" t="s">
        <v>7</v>
      </c>
      <c r="N1530" t="b">
        <v>0</v>
      </c>
    </row>
    <row r="1531" spans="1:14" x14ac:dyDescent="0.3">
      <c r="A1531" t="s">
        <v>179</v>
      </c>
      <c r="B1531" t="s">
        <v>8</v>
      </c>
      <c r="C1531">
        <v>30</v>
      </c>
      <c r="E1531" t="s">
        <v>93</v>
      </c>
      <c r="G1531">
        <v>4</v>
      </c>
      <c r="H1531">
        <v>4</v>
      </c>
      <c r="I1531" t="s">
        <v>61</v>
      </c>
      <c r="J1531">
        <v>3000000</v>
      </c>
      <c r="K1531">
        <v>12000000</v>
      </c>
      <c r="L1531" t="s">
        <v>8</v>
      </c>
      <c r="M1531" t="s">
        <v>7</v>
      </c>
      <c r="N1531" t="b">
        <v>0</v>
      </c>
    </row>
    <row r="1532" spans="1:14" x14ac:dyDescent="0.3">
      <c r="A1532" t="s">
        <v>179</v>
      </c>
      <c r="B1532" t="s">
        <v>8</v>
      </c>
      <c r="C1532">
        <v>31</v>
      </c>
      <c r="D1532" t="s">
        <v>104</v>
      </c>
      <c r="E1532" t="s">
        <v>105</v>
      </c>
      <c r="G1532">
        <v>1</v>
      </c>
      <c r="H1532">
        <v>4</v>
      </c>
      <c r="I1532" t="s">
        <v>61</v>
      </c>
      <c r="J1532">
        <v>30000000</v>
      </c>
      <c r="K1532">
        <v>120000000</v>
      </c>
      <c r="L1532" t="s">
        <v>8</v>
      </c>
      <c r="M1532" t="s">
        <v>7</v>
      </c>
      <c r="N1532" t="b">
        <v>0</v>
      </c>
    </row>
    <row r="1533" spans="1:14" x14ac:dyDescent="0.3">
      <c r="A1533" t="s">
        <v>179</v>
      </c>
      <c r="B1533" t="s">
        <v>8</v>
      </c>
      <c r="C1533">
        <v>32</v>
      </c>
      <c r="E1533" t="s">
        <v>106</v>
      </c>
      <c r="G1533">
        <v>1</v>
      </c>
      <c r="H1533">
        <v>8</v>
      </c>
      <c r="J1533">
        <v>24000000</v>
      </c>
      <c r="K1533">
        <v>192000000</v>
      </c>
      <c r="L1533" t="s">
        <v>8</v>
      </c>
      <c r="M1533" t="s">
        <v>7</v>
      </c>
      <c r="N1533" t="b">
        <v>0</v>
      </c>
    </row>
    <row r="1534" spans="1:14" x14ac:dyDescent="0.3">
      <c r="A1534" t="s">
        <v>179</v>
      </c>
      <c r="B1534" t="s">
        <v>8</v>
      </c>
      <c r="C1534">
        <v>33</v>
      </c>
      <c r="D1534" t="s">
        <v>94</v>
      </c>
      <c r="E1534" t="s">
        <v>95</v>
      </c>
      <c r="G1534">
        <v>2</v>
      </c>
      <c r="H1534">
        <v>2</v>
      </c>
      <c r="I1534" t="s">
        <v>61</v>
      </c>
      <c r="J1534">
        <v>1300000</v>
      </c>
      <c r="K1534">
        <v>2600000</v>
      </c>
      <c r="L1534" t="s">
        <v>8</v>
      </c>
      <c r="M1534" t="s">
        <v>7</v>
      </c>
      <c r="N1534" t="b">
        <v>0</v>
      </c>
    </row>
    <row r="1535" spans="1:14" x14ac:dyDescent="0.3">
      <c r="A1535" t="s">
        <v>179</v>
      </c>
      <c r="B1535" t="s">
        <v>8</v>
      </c>
      <c r="C1535">
        <v>34</v>
      </c>
      <c r="D1535" t="s">
        <v>94</v>
      </c>
      <c r="E1535" t="s">
        <v>96</v>
      </c>
      <c r="G1535">
        <v>8</v>
      </c>
      <c r="H1535">
        <v>5.6239999999999997</v>
      </c>
      <c r="I1535" t="s">
        <v>97</v>
      </c>
      <c r="J1535">
        <v>460000</v>
      </c>
      <c r="K1535">
        <v>2587040</v>
      </c>
      <c r="L1535" t="s">
        <v>8</v>
      </c>
      <c r="M1535" t="s">
        <v>7</v>
      </c>
      <c r="N1535" t="b">
        <v>0</v>
      </c>
    </row>
    <row r="1536" spans="1:14" x14ac:dyDescent="0.3">
      <c r="A1536" t="s">
        <v>179</v>
      </c>
      <c r="B1536" t="s">
        <v>8</v>
      </c>
      <c r="C1536">
        <v>35</v>
      </c>
      <c r="D1536" t="s">
        <v>98</v>
      </c>
      <c r="E1536" t="s">
        <v>99</v>
      </c>
      <c r="F1536">
        <v>50</v>
      </c>
      <c r="G1536">
        <v>16</v>
      </c>
      <c r="H1536">
        <v>1.6</v>
      </c>
      <c r="I1536" t="s">
        <v>100</v>
      </c>
      <c r="J1536">
        <v>17526080</v>
      </c>
      <c r="K1536">
        <v>28041728</v>
      </c>
      <c r="L1536" t="s">
        <v>8</v>
      </c>
      <c r="M1536" t="s">
        <v>7</v>
      </c>
      <c r="N1536" t="b">
        <v>0</v>
      </c>
    </row>
    <row r="1537" spans="1:14" x14ac:dyDescent="0.3">
      <c r="A1537" t="s">
        <v>179</v>
      </c>
      <c r="B1537" t="s">
        <v>8</v>
      </c>
      <c r="C1537">
        <v>28</v>
      </c>
      <c r="E1537" t="s">
        <v>101</v>
      </c>
      <c r="H1537">
        <v>12</v>
      </c>
      <c r="I1537" t="s">
        <v>102</v>
      </c>
      <c r="J1537">
        <v>13000000</v>
      </c>
      <c r="K1537">
        <v>156000000</v>
      </c>
      <c r="L1537" t="s">
        <v>8</v>
      </c>
      <c r="M1537" t="s">
        <v>7</v>
      </c>
      <c r="N1537" t="b">
        <v>0</v>
      </c>
    </row>
    <row r="1538" spans="1:14" x14ac:dyDescent="0.3">
      <c r="A1538" t="s">
        <v>179</v>
      </c>
      <c r="B1538" t="s">
        <v>8</v>
      </c>
      <c r="C1538">
        <v>29</v>
      </c>
      <c r="E1538" t="s">
        <v>107</v>
      </c>
      <c r="H1538">
        <v>0</v>
      </c>
      <c r="I1538" t="s">
        <v>108</v>
      </c>
      <c r="K1538">
        <v>0</v>
      </c>
      <c r="L1538" t="s">
        <v>8</v>
      </c>
      <c r="M1538" t="s">
        <v>7</v>
      </c>
      <c r="N1538" t="b">
        <v>0</v>
      </c>
    </row>
    <row r="1539" spans="1:14" x14ac:dyDescent="0.3">
      <c r="A1539" t="s">
        <v>179</v>
      </c>
      <c r="B1539" t="s">
        <v>9</v>
      </c>
      <c r="C1539">
        <v>1</v>
      </c>
      <c r="D1539" t="s">
        <v>44</v>
      </c>
      <c r="E1539" t="s">
        <v>45</v>
      </c>
      <c r="F1539">
        <v>0.33500000000000002</v>
      </c>
      <c r="G1539">
        <v>2</v>
      </c>
      <c r="H1539">
        <v>0.93799999999999994</v>
      </c>
      <c r="I1539" t="s">
        <v>46</v>
      </c>
      <c r="J1539">
        <v>8500000</v>
      </c>
      <c r="K1539">
        <v>7972999.9999999981</v>
      </c>
      <c r="L1539" t="s">
        <v>9</v>
      </c>
      <c r="M1539" t="s">
        <v>7</v>
      </c>
      <c r="N1539" t="b">
        <v>0</v>
      </c>
    </row>
    <row r="1540" spans="1:14" x14ac:dyDescent="0.3">
      <c r="A1540" t="s">
        <v>179</v>
      </c>
      <c r="B1540" t="s">
        <v>9</v>
      </c>
      <c r="C1540">
        <v>2</v>
      </c>
      <c r="E1540" t="s">
        <v>47</v>
      </c>
      <c r="F1540">
        <v>0.33500000000000002</v>
      </c>
      <c r="G1540">
        <v>1</v>
      </c>
      <c r="H1540">
        <v>0.46899999999999997</v>
      </c>
      <c r="I1540" t="s">
        <v>46</v>
      </c>
      <c r="J1540">
        <v>8500000</v>
      </c>
      <c r="K1540">
        <v>3986499.9999999991</v>
      </c>
      <c r="L1540" t="s">
        <v>9</v>
      </c>
      <c r="M1540" t="s">
        <v>7</v>
      </c>
      <c r="N1540" t="b">
        <v>0</v>
      </c>
    </row>
    <row r="1541" spans="1:14" x14ac:dyDescent="0.3">
      <c r="A1541" t="s">
        <v>179</v>
      </c>
      <c r="B1541" t="s">
        <v>9</v>
      </c>
      <c r="C1541">
        <v>3</v>
      </c>
      <c r="E1541" t="s">
        <v>181</v>
      </c>
      <c r="F1541">
        <v>0.33500000000000002</v>
      </c>
      <c r="G1541">
        <v>4</v>
      </c>
      <c r="H1541">
        <v>4.4219999999999997</v>
      </c>
      <c r="I1541" t="s">
        <v>46</v>
      </c>
      <c r="J1541">
        <v>8500000</v>
      </c>
      <c r="K1541">
        <v>37587000</v>
      </c>
      <c r="L1541" t="s">
        <v>9</v>
      </c>
      <c r="M1541" t="s">
        <v>7</v>
      </c>
      <c r="N1541" t="b">
        <v>0</v>
      </c>
    </row>
    <row r="1542" spans="1:14" x14ac:dyDescent="0.3">
      <c r="A1542" t="s">
        <v>179</v>
      </c>
      <c r="B1542" t="s">
        <v>9</v>
      </c>
      <c r="C1542">
        <v>4</v>
      </c>
      <c r="E1542" t="s">
        <v>49</v>
      </c>
      <c r="F1542">
        <v>120</v>
      </c>
      <c r="G1542">
        <v>4</v>
      </c>
      <c r="H1542">
        <v>0.48</v>
      </c>
      <c r="I1542" t="s">
        <v>46</v>
      </c>
      <c r="J1542">
        <v>8500000</v>
      </c>
      <c r="K1542">
        <v>4080000</v>
      </c>
      <c r="L1542" t="s">
        <v>9</v>
      </c>
      <c r="M1542" t="s">
        <v>7</v>
      </c>
      <c r="N1542" t="b">
        <v>0</v>
      </c>
    </row>
    <row r="1543" spans="1:14" x14ac:dyDescent="0.3">
      <c r="A1543" t="s">
        <v>179</v>
      </c>
      <c r="B1543" t="s">
        <v>9</v>
      </c>
      <c r="C1543">
        <v>5</v>
      </c>
      <c r="E1543" t="s">
        <v>50</v>
      </c>
      <c r="F1543">
        <v>180</v>
      </c>
      <c r="G1543">
        <v>4</v>
      </c>
      <c r="H1543">
        <v>3.12012</v>
      </c>
      <c r="I1543" t="s">
        <v>46</v>
      </c>
      <c r="J1543">
        <v>8500000</v>
      </c>
      <c r="K1543">
        <v>26521020</v>
      </c>
      <c r="L1543" t="s">
        <v>9</v>
      </c>
      <c r="M1543" t="s">
        <v>7</v>
      </c>
      <c r="N1543" t="b">
        <v>0</v>
      </c>
    </row>
    <row r="1544" spans="1:14" x14ac:dyDescent="0.3">
      <c r="A1544" t="s">
        <v>179</v>
      </c>
      <c r="B1544" t="s">
        <v>9</v>
      </c>
      <c r="C1544">
        <v>6</v>
      </c>
      <c r="E1544" t="s">
        <v>51</v>
      </c>
      <c r="F1544">
        <v>0.55800000000000005</v>
      </c>
      <c r="G1544">
        <v>8</v>
      </c>
      <c r="H1544">
        <v>16.632864000000001</v>
      </c>
      <c r="I1544" t="s">
        <v>46</v>
      </c>
      <c r="J1544">
        <v>8500000</v>
      </c>
      <c r="K1544">
        <v>141379344</v>
      </c>
      <c r="L1544" t="s">
        <v>9</v>
      </c>
      <c r="M1544" t="s">
        <v>7</v>
      </c>
      <c r="N1544" t="b">
        <v>0</v>
      </c>
    </row>
    <row r="1545" spans="1:14" x14ac:dyDescent="0.3">
      <c r="A1545" t="s">
        <v>179</v>
      </c>
      <c r="B1545" t="s">
        <v>9</v>
      </c>
      <c r="C1545">
        <v>7</v>
      </c>
      <c r="D1545" t="s">
        <v>52</v>
      </c>
      <c r="E1545" t="s">
        <v>53</v>
      </c>
      <c r="F1545">
        <v>0.13</v>
      </c>
      <c r="G1545">
        <v>2.196288</v>
      </c>
      <c r="H1545">
        <v>2.196288</v>
      </c>
      <c r="I1545" t="s">
        <v>54</v>
      </c>
      <c r="J1545">
        <v>4275000</v>
      </c>
      <c r="K1545">
        <v>9389131.1999999993</v>
      </c>
      <c r="L1545" t="s">
        <v>9</v>
      </c>
      <c r="M1545" t="s">
        <v>7</v>
      </c>
      <c r="N1545" t="b">
        <v>0</v>
      </c>
    </row>
    <row r="1546" spans="1:14" x14ac:dyDescent="0.3">
      <c r="A1546" t="s">
        <v>179</v>
      </c>
      <c r="B1546" t="s">
        <v>9</v>
      </c>
      <c r="C1546">
        <v>8</v>
      </c>
      <c r="E1546" t="s">
        <v>55</v>
      </c>
      <c r="F1546">
        <v>0.35</v>
      </c>
      <c r="G1546">
        <v>0</v>
      </c>
      <c r="H1546">
        <v>0</v>
      </c>
      <c r="I1546" t="s">
        <v>46</v>
      </c>
      <c r="J1546">
        <v>35750000</v>
      </c>
      <c r="K1546">
        <v>0</v>
      </c>
      <c r="L1546" t="s">
        <v>9</v>
      </c>
      <c r="M1546" t="s">
        <v>7</v>
      </c>
      <c r="N1546" t="b">
        <v>0</v>
      </c>
    </row>
    <row r="1547" spans="1:14" x14ac:dyDescent="0.3">
      <c r="A1547" t="s">
        <v>179</v>
      </c>
      <c r="B1547" t="s">
        <v>9</v>
      </c>
      <c r="C1547">
        <v>9</v>
      </c>
      <c r="E1547" t="s">
        <v>55</v>
      </c>
      <c r="F1547">
        <v>0.2</v>
      </c>
      <c r="G1547">
        <v>1.098144</v>
      </c>
      <c r="H1547">
        <v>1.098144</v>
      </c>
      <c r="I1547" t="s">
        <v>46</v>
      </c>
      <c r="J1547">
        <v>45760000</v>
      </c>
      <c r="K1547">
        <v>50251069.439999998</v>
      </c>
      <c r="L1547" t="s">
        <v>9</v>
      </c>
      <c r="M1547" t="s">
        <v>7</v>
      </c>
      <c r="N1547" t="b">
        <v>0</v>
      </c>
    </row>
    <row r="1548" spans="1:14" x14ac:dyDescent="0.3">
      <c r="A1548" t="s">
        <v>179</v>
      </c>
      <c r="B1548" t="s">
        <v>9</v>
      </c>
      <c r="C1548">
        <v>10</v>
      </c>
      <c r="D1548" t="s">
        <v>56</v>
      </c>
      <c r="E1548" t="s">
        <v>57</v>
      </c>
      <c r="G1548">
        <v>5.8289999999999997</v>
      </c>
      <c r="H1548">
        <v>5.8289999999999997</v>
      </c>
      <c r="I1548" t="s">
        <v>61</v>
      </c>
      <c r="J1548">
        <v>1430000</v>
      </c>
      <c r="K1548">
        <v>8335470</v>
      </c>
      <c r="L1548" t="s">
        <v>9</v>
      </c>
      <c r="M1548" t="s">
        <v>7</v>
      </c>
      <c r="N1548" t="b">
        <v>0</v>
      </c>
    </row>
    <row r="1549" spans="1:14" x14ac:dyDescent="0.3">
      <c r="A1549" t="s">
        <v>179</v>
      </c>
      <c r="B1549" t="s">
        <v>9</v>
      </c>
      <c r="C1549">
        <v>11</v>
      </c>
      <c r="D1549" t="s">
        <v>58</v>
      </c>
      <c r="E1549" t="s">
        <v>59</v>
      </c>
      <c r="G1549">
        <v>16</v>
      </c>
      <c r="H1549">
        <v>16</v>
      </c>
      <c r="I1549" t="s">
        <v>46</v>
      </c>
      <c r="J1549">
        <v>3000000</v>
      </c>
      <c r="K1549">
        <v>48000000</v>
      </c>
      <c r="L1549" t="s">
        <v>9</v>
      </c>
      <c r="M1549" t="s">
        <v>7</v>
      </c>
      <c r="N1549" t="b">
        <v>0</v>
      </c>
    </row>
    <row r="1550" spans="1:14" x14ac:dyDescent="0.3">
      <c r="A1550" t="s">
        <v>179</v>
      </c>
      <c r="B1550" t="s">
        <v>9</v>
      </c>
      <c r="C1550">
        <v>12</v>
      </c>
      <c r="E1550" t="s">
        <v>60</v>
      </c>
      <c r="G1550">
        <v>16.632864000000001</v>
      </c>
      <c r="H1550">
        <v>16.632864000000001</v>
      </c>
      <c r="I1550" t="s">
        <v>61</v>
      </c>
      <c r="J1550">
        <v>3600000</v>
      </c>
      <c r="K1550">
        <v>59878310.400000006</v>
      </c>
      <c r="L1550" t="s">
        <v>9</v>
      </c>
      <c r="M1550" t="s">
        <v>7</v>
      </c>
      <c r="N1550" t="b">
        <v>0</v>
      </c>
    </row>
    <row r="1551" spans="1:14" x14ac:dyDescent="0.3">
      <c r="A1551" t="s">
        <v>179</v>
      </c>
      <c r="B1551" t="s">
        <v>9</v>
      </c>
      <c r="C1551">
        <v>13</v>
      </c>
      <c r="D1551" t="s">
        <v>62</v>
      </c>
      <c r="E1551" t="s">
        <v>63</v>
      </c>
      <c r="G1551">
        <v>4.4640000000000004</v>
      </c>
      <c r="H1551">
        <v>4.4640000000000004</v>
      </c>
      <c r="I1551" t="s">
        <v>61</v>
      </c>
      <c r="J1551">
        <v>3600000</v>
      </c>
      <c r="K1551">
        <v>16070400.000000002</v>
      </c>
      <c r="L1551" t="s">
        <v>9</v>
      </c>
      <c r="M1551" t="s">
        <v>7</v>
      </c>
      <c r="N1551" t="b">
        <v>0</v>
      </c>
    </row>
    <row r="1552" spans="1:14" x14ac:dyDescent="0.3">
      <c r="A1552" t="s">
        <v>179</v>
      </c>
      <c r="B1552" t="s">
        <v>9</v>
      </c>
      <c r="C1552">
        <v>14</v>
      </c>
      <c r="E1552" t="s">
        <v>64</v>
      </c>
      <c r="G1552">
        <v>0.4</v>
      </c>
      <c r="H1552">
        <v>0.4</v>
      </c>
      <c r="I1552" t="s">
        <v>61</v>
      </c>
      <c r="J1552">
        <v>5500000</v>
      </c>
      <c r="K1552">
        <v>2200000</v>
      </c>
      <c r="L1552" t="s">
        <v>9</v>
      </c>
      <c r="M1552" t="s">
        <v>7</v>
      </c>
      <c r="N1552" t="b">
        <v>0</v>
      </c>
    </row>
    <row r="1553" spans="1:14" x14ac:dyDescent="0.3">
      <c r="A1553" t="s">
        <v>179</v>
      </c>
      <c r="B1553" t="s">
        <v>9</v>
      </c>
      <c r="C1553">
        <v>15</v>
      </c>
      <c r="D1553" t="s">
        <v>65</v>
      </c>
      <c r="E1553" t="s">
        <v>66</v>
      </c>
      <c r="G1553">
        <v>20</v>
      </c>
      <c r="H1553">
        <v>20</v>
      </c>
      <c r="I1553" t="s">
        <v>61</v>
      </c>
      <c r="J1553">
        <v>200000</v>
      </c>
      <c r="K1553">
        <v>4000000</v>
      </c>
      <c r="L1553" t="s">
        <v>9</v>
      </c>
      <c r="M1553" t="s">
        <v>7</v>
      </c>
      <c r="N1553" t="b">
        <v>0</v>
      </c>
    </row>
    <row r="1554" spans="1:14" x14ac:dyDescent="0.3">
      <c r="A1554" t="s">
        <v>179</v>
      </c>
      <c r="B1554" t="s">
        <v>9</v>
      </c>
      <c r="C1554">
        <v>16</v>
      </c>
      <c r="E1554" t="s">
        <v>68</v>
      </c>
      <c r="G1554">
        <v>8</v>
      </c>
      <c r="H1554">
        <v>8</v>
      </c>
      <c r="I1554" t="s">
        <v>61</v>
      </c>
      <c r="J1554">
        <v>200000</v>
      </c>
      <c r="K1554">
        <v>1600000</v>
      </c>
      <c r="L1554" t="s">
        <v>9</v>
      </c>
      <c r="M1554" t="s">
        <v>7</v>
      </c>
      <c r="N1554" t="b">
        <v>0</v>
      </c>
    </row>
    <row r="1555" spans="1:14" x14ac:dyDescent="0.3">
      <c r="A1555" t="s">
        <v>179</v>
      </c>
      <c r="B1555" t="s">
        <v>9</v>
      </c>
      <c r="C1555">
        <v>17</v>
      </c>
      <c r="E1555" t="s">
        <v>69</v>
      </c>
      <c r="G1555">
        <v>16</v>
      </c>
      <c r="H1555">
        <v>16</v>
      </c>
      <c r="I1555" t="s">
        <v>61</v>
      </c>
      <c r="J1555">
        <v>200000</v>
      </c>
      <c r="K1555">
        <v>3200000</v>
      </c>
      <c r="L1555" t="s">
        <v>9</v>
      </c>
      <c r="M1555" t="s">
        <v>7</v>
      </c>
      <c r="N1555" t="b">
        <v>0</v>
      </c>
    </row>
    <row r="1556" spans="1:14" x14ac:dyDescent="0.3">
      <c r="A1556" t="s">
        <v>179</v>
      </c>
      <c r="B1556" t="s">
        <v>9</v>
      </c>
      <c r="C1556">
        <v>18</v>
      </c>
      <c r="E1556" t="s">
        <v>70</v>
      </c>
      <c r="G1556">
        <v>16</v>
      </c>
      <c r="H1556">
        <v>16</v>
      </c>
      <c r="I1556" t="s">
        <v>61</v>
      </c>
      <c r="J1556">
        <v>400000</v>
      </c>
      <c r="K1556">
        <v>6400000</v>
      </c>
      <c r="L1556" t="s">
        <v>9</v>
      </c>
      <c r="M1556" t="s">
        <v>7</v>
      </c>
      <c r="N1556" t="b">
        <v>0</v>
      </c>
    </row>
    <row r="1557" spans="1:14" x14ac:dyDescent="0.3">
      <c r="A1557" t="s">
        <v>179</v>
      </c>
      <c r="B1557" t="s">
        <v>9</v>
      </c>
      <c r="C1557">
        <v>19</v>
      </c>
      <c r="E1557" t="s">
        <v>71</v>
      </c>
      <c r="G1557">
        <v>16</v>
      </c>
      <c r="H1557">
        <v>16</v>
      </c>
      <c r="I1557" t="s">
        <v>61</v>
      </c>
      <c r="J1557">
        <v>120000</v>
      </c>
      <c r="K1557">
        <v>1920000</v>
      </c>
      <c r="L1557" t="s">
        <v>9</v>
      </c>
      <c r="M1557" t="s">
        <v>7</v>
      </c>
      <c r="N1557" t="b">
        <v>0</v>
      </c>
    </row>
    <row r="1558" spans="1:14" x14ac:dyDescent="0.3">
      <c r="A1558" t="s">
        <v>179</v>
      </c>
      <c r="B1558" t="s">
        <v>9</v>
      </c>
      <c r="C1558">
        <v>20</v>
      </c>
      <c r="E1558" t="s">
        <v>72</v>
      </c>
      <c r="G1558">
        <v>24</v>
      </c>
      <c r="H1558">
        <v>24</v>
      </c>
      <c r="I1558" t="s">
        <v>61</v>
      </c>
      <c r="J1558">
        <v>400000</v>
      </c>
      <c r="K1558">
        <v>9600000</v>
      </c>
      <c r="L1558" t="s">
        <v>9</v>
      </c>
      <c r="M1558" t="s">
        <v>7</v>
      </c>
      <c r="N1558" t="b">
        <v>0</v>
      </c>
    </row>
    <row r="1559" spans="1:14" x14ac:dyDescent="0.3">
      <c r="A1559" t="s">
        <v>179</v>
      </c>
      <c r="B1559" t="s">
        <v>9</v>
      </c>
      <c r="C1559">
        <v>21</v>
      </c>
      <c r="D1559" t="s">
        <v>73</v>
      </c>
      <c r="E1559" t="s">
        <v>74</v>
      </c>
      <c r="F1559">
        <v>132</v>
      </c>
      <c r="G1559">
        <v>16</v>
      </c>
      <c r="H1559">
        <v>13.057228800000001</v>
      </c>
      <c r="I1559" t="s">
        <v>46</v>
      </c>
      <c r="J1559">
        <v>35000000</v>
      </c>
      <c r="K1559">
        <v>457003008</v>
      </c>
      <c r="L1559" t="s">
        <v>9</v>
      </c>
      <c r="M1559" t="s">
        <v>7</v>
      </c>
      <c r="N1559" t="b">
        <v>0</v>
      </c>
    </row>
    <row r="1560" spans="1:14" x14ac:dyDescent="0.3">
      <c r="A1560" t="s">
        <v>179</v>
      </c>
      <c r="B1560" t="s">
        <v>9</v>
      </c>
      <c r="C1560">
        <v>22</v>
      </c>
      <c r="D1560" t="s">
        <v>75</v>
      </c>
      <c r="E1560" t="s">
        <v>76</v>
      </c>
      <c r="F1560" t="s">
        <v>77</v>
      </c>
      <c r="G1560">
        <v>2</v>
      </c>
      <c r="H1560">
        <v>3.2</v>
      </c>
      <c r="I1560" t="s">
        <v>46</v>
      </c>
      <c r="J1560">
        <v>5200000</v>
      </c>
      <c r="K1560">
        <v>16640000</v>
      </c>
      <c r="L1560" t="s">
        <v>9</v>
      </c>
      <c r="M1560" t="s">
        <v>7</v>
      </c>
      <c r="N1560" t="b">
        <v>0</v>
      </c>
    </row>
    <row r="1561" spans="1:14" x14ac:dyDescent="0.3">
      <c r="A1561" t="s">
        <v>179</v>
      </c>
      <c r="B1561" t="s">
        <v>9</v>
      </c>
      <c r="C1561">
        <v>23</v>
      </c>
      <c r="E1561" t="s">
        <v>78</v>
      </c>
      <c r="F1561" t="s">
        <v>79</v>
      </c>
      <c r="G1561">
        <v>2</v>
      </c>
      <c r="H1561">
        <v>1.2</v>
      </c>
      <c r="I1561" t="s">
        <v>46</v>
      </c>
      <c r="J1561">
        <v>5200000</v>
      </c>
      <c r="K1561">
        <v>6240000</v>
      </c>
      <c r="L1561" t="s">
        <v>9</v>
      </c>
      <c r="M1561" t="s">
        <v>7</v>
      </c>
      <c r="N1561" t="b">
        <v>0</v>
      </c>
    </row>
    <row r="1562" spans="1:14" x14ac:dyDescent="0.3">
      <c r="A1562" t="s">
        <v>179</v>
      </c>
      <c r="B1562" t="s">
        <v>9</v>
      </c>
      <c r="C1562">
        <v>24</v>
      </c>
      <c r="D1562" t="s">
        <v>80</v>
      </c>
      <c r="E1562" t="s">
        <v>81</v>
      </c>
      <c r="F1562" t="s">
        <v>82</v>
      </c>
      <c r="G1562">
        <v>2</v>
      </c>
      <c r="H1562">
        <v>1.890155</v>
      </c>
      <c r="I1562" t="s">
        <v>46</v>
      </c>
      <c r="J1562">
        <v>8500000</v>
      </c>
      <c r="K1562">
        <v>16066317.5</v>
      </c>
      <c r="L1562" t="s">
        <v>9</v>
      </c>
      <c r="M1562" t="s">
        <v>7</v>
      </c>
      <c r="N1562" t="b">
        <v>0</v>
      </c>
    </row>
    <row r="1563" spans="1:14" x14ac:dyDescent="0.3">
      <c r="A1563" t="s">
        <v>179</v>
      </c>
      <c r="B1563" t="s">
        <v>9</v>
      </c>
      <c r="C1563">
        <v>25</v>
      </c>
      <c r="D1563" t="s">
        <v>83</v>
      </c>
      <c r="E1563" t="s">
        <v>84</v>
      </c>
      <c r="F1563">
        <v>0.18</v>
      </c>
      <c r="G1563">
        <v>4</v>
      </c>
      <c r="H1563">
        <v>4</v>
      </c>
      <c r="I1563" t="s">
        <v>61</v>
      </c>
      <c r="J1563">
        <v>1300000</v>
      </c>
      <c r="K1563">
        <v>5200000</v>
      </c>
      <c r="L1563" t="s">
        <v>9</v>
      </c>
      <c r="M1563" t="s">
        <v>7</v>
      </c>
      <c r="N1563" t="b">
        <v>0</v>
      </c>
    </row>
    <row r="1564" spans="1:14" x14ac:dyDescent="0.3">
      <c r="A1564" t="s">
        <v>179</v>
      </c>
      <c r="B1564" t="s">
        <v>9</v>
      </c>
      <c r="C1564">
        <v>26</v>
      </c>
      <c r="E1564" t="s">
        <v>86</v>
      </c>
      <c r="F1564">
        <v>0.2</v>
      </c>
      <c r="G1564">
        <v>6</v>
      </c>
      <c r="H1564">
        <v>6</v>
      </c>
      <c r="I1564" t="s">
        <v>61</v>
      </c>
      <c r="J1564">
        <v>1300000</v>
      </c>
      <c r="K1564">
        <v>7800000</v>
      </c>
      <c r="L1564" t="s">
        <v>9</v>
      </c>
      <c r="M1564" t="s">
        <v>7</v>
      </c>
      <c r="N1564" t="b">
        <v>0</v>
      </c>
    </row>
    <row r="1565" spans="1:14" x14ac:dyDescent="0.3">
      <c r="A1565" t="s">
        <v>179</v>
      </c>
      <c r="B1565" t="s">
        <v>9</v>
      </c>
      <c r="C1565">
        <v>27</v>
      </c>
      <c r="D1565" t="s">
        <v>88</v>
      </c>
      <c r="E1565" t="s">
        <v>89</v>
      </c>
      <c r="F1565" t="s">
        <v>90</v>
      </c>
      <c r="G1565">
        <v>2</v>
      </c>
      <c r="H1565">
        <v>2</v>
      </c>
      <c r="I1565" t="s">
        <v>61</v>
      </c>
      <c r="J1565">
        <v>100000</v>
      </c>
      <c r="K1565">
        <v>200000</v>
      </c>
      <c r="L1565" t="s">
        <v>9</v>
      </c>
      <c r="M1565" t="s">
        <v>7</v>
      </c>
      <c r="N1565" t="b">
        <v>0</v>
      </c>
    </row>
    <row r="1566" spans="1:14" x14ac:dyDescent="0.3">
      <c r="A1566" t="s">
        <v>179</v>
      </c>
      <c r="B1566" t="s">
        <v>9</v>
      </c>
      <c r="C1566">
        <v>28</v>
      </c>
      <c r="D1566" t="s">
        <v>65</v>
      </c>
      <c r="E1566" t="s">
        <v>91</v>
      </c>
      <c r="G1566">
        <v>4</v>
      </c>
      <c r="H1566">
        <v>4</v>
      </c>
      <c r="I1566" t="s">
        <v>61</v>
      </c>
      <c r="J1566">
        <v>2400000</v>
      </c>
      <c r="K1566">
        <v>9600000</v>
      </c>
      <c r="L1566" t="s">
        <v>9</v>
      </c>
      <c r="M1566" t="s">
        <v>7</v>
      </c>
      <c r="N1566" t="b">
        <v>0</v>
      </c>
    </row>
    <row r="1567" spans="1:14" x14ac:dyDescent="0.3">
      <c r="A1567" t="s">
        <v>179</v>
      </c>
      <c r="B1567" t="s">
        <v>9</v>
      </c>
      <c r="C1567">
        <v>29</v>
      </c>
      <c r="E1567" t="s">
        <v>92</v>
      </c>
      <c r="G1567">
        <v>4</v>
      </c>
      <c r="H1567">
        <v>4</v>
      </c>
      <c r="I1567" t="s">
        <v>61</v>
      </c>
      <c r="J1567">
        <v>2400000</v>
      </c>
      <c r="K1567">
        <v>9600000</v>
      </c>
      <c r="L1567" t="s">
        <v>9</v>
      </c>
      <c r="M1567" t="s">
        <v>7</v>
      </c>
      <c r="N1567" t="b">
        <v>0</v>
      </c>
    </row>
    <row r="1568" spans="1:14" x14ac:dyDescent="0.3">
      <c r="A1568" t="s">
        <v>179</v>
      </c>
      <c r="B1568" t="s">
        <v>9</v>
      </c>
      <c r="C1568">
        <v>30</v>
      </c>
      <c r="E1568" t="s">
        <v>93</v>
      </c>
      <c r="G1568">
        <v>4</v>
      </c>
      <c r="H1568">
        <v>4</v>
      </c>
      <c r="I1568" t="s">
        <v>61</v>
      </c>
      <c r="J1568">
        <v>3000000</v>
      </c>
      <c r="K1568">
        <v>12000000</v>
      </c>
      <c r="L1568" t="s">
        <v>9</v>
      </c>
      <c r="M1568" t="s">
        <v>7</v>
      </c>
      <c r="N1568" t="b">
        <v>0</v>
      </c>
    </row>
    <row r="1569" spans="1:14" x14ac:dyDescent="0.3">
      <c r="A1569" t="s">
        <v>179</v>
      </c>
      <c r="B1569" t="s">
        <v>9</v>
      </c>
      <c r="C1569">
        <v>31</v>
      </c>
      <c r="D1569" t="s">
        <v>104</v>
      </c>
      <c r="E1569" t="s">
        <v>105</v>
      </c>
      <c r="G1569">
        <v>1</v>
      </c>
      <c r="H1569">
        <v>4</v>
      </c>
      <c r="I1569" t="s">
        <v>61</v>
      </c>
      <c r="J1569">
        <v>30000000</v>
      </c>
      <c r="K1569">
        <v>120000000</v>
      </c>
      <c r="L1569" t="s">
        <v>9</v>
      </c>
      <c r="M1569" t="s">
        <v>7</v>
      </c>
      <c r="N1569" t="b">
        <v>0</v>
      </c>
    </row>
    <row r="1570" spans="1:14" x14ac:dyDescent="0.3">
      <c r="A1570" t="s">
        <v>179</v>
      </c>
      <c r="B1570" t="s">
        <v>9</v>
      </c>
      <c r="C1570">
        <v>32</v>
      </c>
      <c r="E1570" t="s">
        <v>106</v>
      </c>
      <c r="G1570">
        <v>1</v>
      </c>
      <c r="H1570">
        <v>0</v>
      </c>
      <c r="I1570" t="s">
        <v>61</v>
      </c>
      <c r="J1570">
        <v>24000000</v>
      </c>
      <c r="K1570">
        <v>0</v>
      </c>
      <c r="L1570" t="s">
        <v>9</v>
      </c>
      <c r="M1570" t="s">
        <v>7</v>
      </c>
      <c r="N1570" t="b">
        <v>0</v>
      </c>
    </row>
    <row r="1571" spans="1:14" x14ac:dyDescent="0.3">
      <c r="A1571" t="s">
        <v>179</v>
      </c>
      <c r="B1571" t="s">
        <v>9</v>
      </c>
      <c r="C1571">
        <v>33</v>
      </c>
      <c r="D1571" t="s">
        <v>94</v>
      </c>
      <c r="E1571" t="s">
        <v>95</v>
      </c>
      <c r="G1571">
        <v>2</v>
      </c>
      <c r="H1571">
        <v>2</v>
      </c>
      <c r="I1571" t="s">
        <v>61</v>
      </c>
      <c r="J1571">
        <v>1300000</v>
      </c>
      <c r="K1571">
        <v>2600000</v>
      </c>
      <c r="L1571" t="s">
        <v>9</v>
      </c>
      <c r="M1571" t="s">
        <v>7</v>
      </c>
      <c r="N1571" t="b">
        <v>0</v>
      </c>
    </row>
    <row r="1572" spans="1:14" x14ac:dyDescent="0.3">
      <c r="A1572" t="s">
        <v>179</v>
      </c>
      <c r="B1572" t="s">
        <v>9</v>
      </c>
      <c r="C1572">
        <v>34</v>
      </c>
      <c r="D1572" t="s">
        <v>94</v>
      </c>
      <c r="E1572" t="s">
        <v>96</v>
      </c>
      <c r="G1572">
        <v>8</v>
      </c>
      <c r="H1572">
        <v>2.68</v>
      </c>
      <c r="I1572" t="s">
        <v>97</v>
      </c>
      <c r="J1572">
        <v>460000</v>
      </c>
      <c r="K1572">
        <v>1232800</v>
      </c>
      <c r="L1572" t="s">
        <v>9</v>
      </c>
      <c r="M1572" t="s">
        <v>7</v>
      </c>
      <c r="N1572" t="b">
        <v>0</v>
      </c>
    </row>
    <row r="1573" spans="1:14" x14ac:dyDescent="0.3">
      <c r="A1573" t="s">
        <v>179</v>
      </c>
      <c r="B1573" t="s">
        <v>9</v>
      </c>
      <c r="C1573">
        <v>35</v>
      </c>
      <c r="D1573" t="s">
        <v>98</v>
      </c>
      <c r="E1573" t="s">
        <v>99</v>
      </c>
      <c r="F1573">
        <v>50</v>
      </c>
      <c r="G1573">
        <v>16</v>
      </c>
      <c r="H1573">
        <v>1.6</v>
      </c>
      <c r="I1573" t="s">
        <v>100</v>
      </c>
      <c r="J1573">
        <v>17526080</v>
      </c>
      <c r="K1573">
        <v>28041728</v>
      </c>
      <c r="L1573" t="s">
        <v>9</v>
      </c>
      <c r="M1573" t="s">
        <v>7</v>
      </c>
      <c r="N1573" t="b">
        <v>0</v>
      </c>
    </row>
    <row r="1574" spans="1:14" x14ac:dyDescent="0.3">
      <c r="A1574" t="s">
        <v>179</v>
      </c>
      <c r="B1574" t="s">
        <v>9</v>
      </c>
      <c r="C1574">
        <v>28</v>
      </c>
      <c r="E1574" t="s">
        <v>101</v>
      </c>
      <c r="H1574">
        <v>10</v>
      </c>
      <c r="I1574" t="s">
        <v>102</v>
      </c>
      <c r="J1574">
        <v>13000000</v>
      </c>
      <c r="K1574">
        <v>130000000</v>
      </c>
      <c r="L1574" t="s">
        <v>9</v>
      </c>
      <c r="M1574" t="s">
        <v>7</v>
      </c>
      <c r="N1574" t="b">
        <v>0</v>
      </c>
    </row>
    <row r="1575" spans="1:14" x14ac:dyDescent="0.3">
      <c r="A1575" t="s">
        <v>179</v>
      </c>
      <c r="B1575" t="s">
        <v>9</v>
      </c>
      <c r="C1575">
        <v>29</v>
      </c>
      <c r="E1575" t="s">
        <v>107</v>
      </c>
      <c r="H1575">
        <v>0</v>
      </c>
      <c r="I1575" t="s">
        <v>108</v>
      </c>
      <c r="K1575">
        <v>0</v>
      </c>
      <c r="L1575" t="s">
        <v>9</v>
      </c>
      <c r="M1575" t="s">
        <v>7</v>
      </c>
      <c r="N1575" t="b">
        <v>0</v>
      </c>
    </row>
    <row r="1576" spans="1:14" x14ac:dyDescent="0.3">
      <c r="A1576" t="s">
        <v>179</v>
      </c>
      <c r="B1576" t="s">
        <v>10</v>
      </c>
      <c r="C1576">
        <v>1</v>
      </c>
      <c r="D1576" t="s">
        <v>44</v>
      </c>
      <c r="E1576" t="s">
        <v>45</v>
      </c>
      <c r="F1576">
        <v>168</v>
      </c>
      <c r="G1576">
        <v>2</v>
      </c>
      <c r="H1576">
        <v>0.47039999999999998</v>
      </c>
      <c r="I1576" t="s">
        <v>46</v>
      </c>
      <c r="J1576">
        <v>8500000</v>
      </c>
      <c r="K1576">
        <v>3998400</v>
      </c>
      <c r="L1576" t="s">
        <v>10</v>
      </c>
      <c r="M1576" t="s">
        <v>7</v>
      </c>
      <c r="N1576" t="b">
        <v>0</v>
      </c>
    </row>
    <row r="1577" spans="1:14" x14ac:dyDescent="0.3">
      <c r="A1577" t="s">
        <v>179</v>
      </c>
      <c r="B1577" t="s">
        <v>10</v>
      </c>
      <c r="C1577">
        <v>2</v>
      </c>
      <c r="E1577" t="s">
        <v>47</v>
      </c>
      <c r="F1577">
        <v>168</v>
      </c>
      <c r="G1577">
        <v>1</v>
      </c>
      <c r="H1577">
        <v>0.23519999999999999</v>
      </c>
      <c r="I1577" t="s">
        <v>46</v>
      </c>
      <c r="J1577">
        <v>8500000</v>
      </c>
      <c r="K1577">
        <v>1999200</v>
      </c>
      <c r="L1577" t="s">
        <v>10</v>
      </c>
      <c r="M1577" t="s">
        <v>7</v>
      </c>
      <c r="N1577" t="b">
        <v>0</v>
      </c>
    </row>
    <row r="1578" spans="1:14" x14ac:dyDescent="0.3">
      <c r="A1578" t="s">
        <v>179</v>
      </c>
      <c r="B1578" t="s">
        <v>10</v>
      </c>
      <c r="C1578">
        <v>3</v>
      </c>
      <c r="E1578" t="s">
        <v>181</v>
      </c>
      <c r="F1578">
        <v>168</v>
      </c>
      <c r="G1578">
        <v>4</v>
      </c>
      <c r="H1578">
        <v>2.2176</v>
      </c>
      <c r="I1578" t="s">
        <v>46</v>
      </c>
      <c r="J1578">
        <v>8500000</v>
      </c>
      <c r="K1578">
        <v>18849600</v>
      </c>
      <c r="L1578" t="s">
        <v>10</v>
      </c>
      <c r="M1578" t="s">
        <v>7</v>
      </c>
      <c r="N1578" t="b">
        <v>0</v>
      </c>
    </row>
    <row r="1579" spans="1:14" x14ac:dyDescent="0.3">
      <c r="A1579" t="s">
        <v>179</v>
      </c>
      <c r="B1579" t="s">
        <v>10</v>
      </c>
      <c r="C1579">
        <v>4</v>
      </c>
      <c r="E1579" t="s">
        <v>49</v>
      </c>
      <c r="F1579">
        <v>120</v>
      </c>
      <c r="G1579">
        <v>4</v>
      </c>
      <c r="H1579">
        <v>0.48</v>
      </c>
      <c r="I1579" t="s">
        <v>46</v>
      </c>
      <c r="J1579">
        <v>8500000</v>
      </c>
      <c r="K1579">
        <v>4080000</v>
      </c>
      <c r="L1579" t="s">
        <v>10</v>
      </c>
      <c r="M1579" t="s">
        <v>7</v>
      </c>
      <c r="N1579" t="b">
        <v>0</v>
      </c>
    </row>
    <row r="1580" spans="1:14" x14ac:dyDescent="0.3">
      <c r="A1580" t="s">
        <v>179</v>
      </c>
      <c r="B1580" t="s">
        <v>10</v>
      </c>
      <c r="C1580">
        <v>5</v>
      </c>
      <c r="E1580" t="s">
        <v>50</v>
      </c>
      <c r="F1580">
        <v>180</v>
      </c>
      <c r="G1580">
        <v>2</v>
      </c>
      <c r="H1580">
        <v>1.56006</v>
      </c>
      <c r="I1580" t="s">
        <v>46</v>
      </c>
      <c r="J1580">
        <v>8500000</v>
      </c>
      <c r="K1580">
        <v>13260510</v>
      </c>
      <c r="L1580" t="s">
        <v>10</v>
      </c>
      <c r="M1580" t="s">
        <v>7</v>
      </c>
      <c r="N1580" t="b">
        <v>0</v>
      </c>
    </row>
    <row r="1581" spans="1:14" x14ac:dyDescent="0.3">
      <c r="A1581" t="s">
        <v>179</v>
      </c>
      <c r="B1581" t="s">
        <v>10</v>
      </c>
      <c r="C1581">
        <v>6</v>
      </c>
      <c r="E1581" t="s">
        <v>51</v>
      </c>
      <c r="F1581">
        <v>0.58799999999999997</v>
      </c>
      <c r="G1581">
        <v>8</v>
      </c>
      <c r="H1581">
        <v>17.527104000000001</v>
      </c>
      <c r="I1581" t="s">
        <v>46</v>
      </c>
      <c r="J1581">
        <v>8500000</v>
      </c>
      <c r="K1581">
        <v>148980384</v>
      </c>
      <c r="L1581" t="s">
        <v>10</v>
      </c>
      <c r="M1581" t="s">
        <v>7</v>
      </c>
      <c r="N1581" t="b">
        <v>0</v>
      </c>
    </row>
    <row r="1582" spans="1:14" x14ac:dyDescent="0.3">
      <c r="A1582" t="s">
        <v>179</v>
      </c>
      <c r="B1582" t="s">
        <v>10</v>
      </c>
      <c r="C1582">
        <v>7</v>
      </c>
      <c r="D1582" t="s">
        <v>52</v>
      </c>
      <c r="E1582" t="s">
        <v>53</v>
      </c>
      <c r="F1582">
        <v>0.13</v>
      </c>
      <c r="G1582">
        <v>2.314368</v>
      </c>
      <c r="H1582">
        <v>2.314368</v>
      </c>
      <c r="I1582" t="s">
        <v>54</v>
      </c>
      <c r="J1582">
        <v>4275000</v>
      </c>
      <c r="K1582">
        <v>9893923.1999999993</v>
      </c>
      <c r="L1582" t="s">
        <v>10</v>
      </c>
      <c r="M1582" t="s">
        <v>7</v>
      </c>
      <c r="N1582" t="b">
        <v>0</v>
      </c>
    </row>
    <row r="1583" spans="1:14" x14ac:dyDescent="0.3">
      <c r="A1583" t="s">
        <v>179</v>
      </c>
      <c r="B1583" t="s">
        <v>10</v>
      </c>
      <c r="C1583">
        <v>8</v>
      </c>
      <c r="E1583" t="s">
        <v>55</v>
      </c>
      <c r="F1583">
        <v>0.35</v>
      </c>
      <c r="G1583">
        <v>0</v>
      </c>
      <c r="H1583">
        <v>0</v>
      </c>
      <c r="I1583" t="s">
        <v>46</v>
      </c>
      <c r="J1583">
        <v>35750000</v>
      </c>
      <c r="K1583">
        <v>0</v>
      </c>
      <c r="L1583" t="s">
        <v>10</v>
      </c>
      <c r="M1583" t="s">
        <v>7</v>
      </c>
      <c r="N1583" t="b">
        <v>0</v>
      </c>
    </row>
    <row r="1584" spans="1:14" x14ac:dyDescent="0.3">
      <c r="A1584" t="s">
        <v>179</v>
      </c>
      <c r="B1584" t="s">
        <v>10</v>
      </c>
      <c r="C1584">
        <v>9</v>
      </c>
      <c r="E1584" t="s">
        <v>55</v>
      </c>
      <c r="F1584">
        <v>0.2</v>
      </c>
      <c r="G1584">
        <v>1.157184</v>
      </c>
      <c r="H1584">
        <v>1.157184</v>
      </c>
      <c r="I1584" t="s">
        <v>46</v>
      </c>
      <c r="J1584">
        <v>45760000</v>
      </c>
      <c r="K1584">
        <v>52952739.840000004</v>
      </c>
      <c r="L1584" t="s">
        <v>10</v>
      </c>
      <c r="M1584" t="s">
        <v>7</v>
      </c>
      <c r="N1584" t="b">
        <v>0</v>
      </c>
    </row>
    <row r="1585" spans="1:14" x14ac:dyDescent="0.3">
      <c r="A1585" t="s">
        <v>179</v>
      </c>
      <c r="B1585" t="s">
        <v>10</v>
      </c>
      <c r="C1585">
        <v>10</v>
      </c>
      <c r="D1585" t="s">
        <v>56</v>
      </c>
      <c r="E1585" t="s">
        <v>57</v>
      </c>
      <c r="G1585">
        <v>2.9232</v>
      </c>
      <c r="H1585">
        <v>2.9232</v>
      </c>
      <c r="I1585" t="s">
        <v>46</v>
      </c>
      <c r="J1585">
        <v>1430000</v>
      </c>
      <c r="K1585">
        <v>4180176</v>
      </c>
      <c r="L1585" t="s">
        <v>10</v>
      </c>
      <c r="M1585" t="s">
        <v>7</v>
      </c>
      <c r="N1585" t="b">
        <v>0</v>
      </c>
    </row>
    <row r="1586" spans="1:14" x14ac:dyDescent="0.3">
      <c r="A1586" t="s">
        <v>179</v>
      </c>
      <c r="B1586" t="s">
        <v>10</v>
      </c>
      <c r="C1586">
        <v>11</v>
      </c>
      <c r="D1586" t="s">
        <v>58</v>
      </c>
      <c r="E1586" t="s">
        <v>59</v>
      </c>
      <c r="G1586">
        <v>16</v>
      </c>
      <c r="H1586">
        <v>16</v>
      </c>
      <c r="I1586" t="s">
        <v>46</v>
      </c>
      <c r="J1586">
        <v>3000000</v>
      </c>
      <c r="K1586">
        <v>48000000</v>
      </c>
      <c r="L1586" t="s">
        <v>10</v>
      </c>
      <c r="M1586" t="s">
        <v>7</v>
      </c>
      <c r="N1586" t="b">
        <v>0</v>
      </c>
    </row>
    <row r="1587" spans="1:14" x14ac:dyDescent="0.3">
      <c r="A1587" t="s">
        <v>179</v>
      </c>
      <c r="B1587" t="s">
        <v>10</v>
      </c>
      <c r="C1587">
        <v>12</v>
      </c>
      <c r="E1587" t="s">
        <v>60</v>
      </c>
      <c r="G1587">
        <v>17.527104000000001</v>
      </c>
      <c r="H1587">
        <v>17.527104000000001</v>
      </c>
      <c r="I1587" t="s">
        <v>61</v>
      </c>
      <c r="J1587">
        <v>3600000</v>
      </c>
      <c r="K1587">
        <v>63097574.400000006</v>
      </c>
      <c r="L1587" t="s">
        <v>10</v>
      </c>
      <c r="M1587" t="s">
        <v>7</v>
      </c>
      <c r="N1587" t="b">
        <v>0</v>
      </c>
    </row>
    <row r="1588" spans="1:14" x14ac:dyDescent="0.3">
      <c r="A1588" t="s">
        <v>179</v>
      </c>
      <c r="B1588" t="s">
        <v>10</v>
      </c>
      <c r="C1588">
        <v>13</v>
      </c>
      <c r="D1588" t="s">
        <v>62</v>
      </c>
      <c r="E1588" t="s">
        <v>63</v>
      </c>
      <c r="G1588">
        <v>4.7039999999999997</v>
      </c>
      <c r="H1588">
        <v>4.7039999999999997</v>
      </c>
      <c r="I1588" t="s">
        <v>61</v>
      </c>
      <c r="J1588">
        <v>3600000</v>
      </c>
      <c r="K1588">
        <v>16934400</v>
      </c>
      <c r="L1588" t="s">
        <v>10</v>
      </c>
      <c r="M1588" t="s">
        <v>7</v>
      </c>
      <c r="N1588" t="b">
        <v>0</v>
      </c>
    </row>
    <row r="1589" spans="1:14" x14ac:dyDescent="0.3">
      <c r="A1589" t="s">
        <v>179</v>
      </c>
      <c r="B1589" t="s">
        <v>10</v>
      </c>
      <c r="C1589">
        <v>14</v>
      </c>
      <c r="E1589" t="s">
        <v>64</v>
      </c>
      <c r="G1589">
        <v>0.4</v>
      </c>
      <c r="H1589">
        <v>0.4</v>
      </c>
      <c r="I1589" t="s">
        <v>61</v>
      </c>
      <c r="J1589">
        <v>5500000</v>
      </c>
      <c r="K1589">
        <v>2200000</v>
      </c>
      <c r="L1589" t="s">
        <v>10</v>
      </c>
      <c r="M1589" t="s">
        <v>7</v>
      </c>
      <c r="N1589" t="b">
        <v>0</v>
      </c>
    </row>
    <row r="1590" spans="1:14" x14ac:dyDescent="0.3">
      <c r="A1590" t="s">
        <v>179</v>
      </c>
      <c r="B1590" t="s">
        <v>10</v>
      </c>
      <c r="C1590">
        <v>15</v>
      </c>
      <c r="D1590" t="s">
        <v>65</v>
      </c>
      <c r="E1590" t="s">
        <v>66</v>
      </c>
      <c r="G1590" t="s">
        <v>67</v>
      </c>
      <c r="H1590">
        <v>8</v>
      </c>
      <c r="I1590" t="s">
        <v>61</v>
      </c>
      <c r="J1590">
        <v>200000</v>
      </c>
      <c r="K1590">
        <v>1600000</v>
      </c>
      <c r="L1590" t="s">
        <v>10</v>
      </c>
      <c r="M1590" t="s">
        <v>7</v>
      </c>
      <c r="N1590" t="b">
        <v>0</v>
      </c>
    </row>
    <row r="1591" spans="1:14" x14ac:dyDescent="0.3">
      <c r="A1591" t="s">
        <v>179</v>
      </c>
      <c r="B1591" t="s">
        <v>10</v>
      </c>
      <c r="C1591">
        <v>16</v>
      </c>
      <c r="E1591" t="s">
        <v>68</v>
      </c>
      <c r="G1591">
        <v>8</v>
      </c>
      <c r="H1591">
        <v>8</v>
      </c>
      <c r="I1591" t="s">
        <v>61</v>
      </c>
      <c r="J1591">
        <v>200000</v>
      </c>
      <c r="K1591">
        <v>1600000</v>
      </c>
      <c r="L1591" t="s">
        <v>10</v>
      </c>
      <c r="M1591" t="s">
        <v>7</v>
      </c>
      <c r="N1591" t="b">
        <v>0</v>
      </c>
    </row>
    <row r="1592" spans="1:14" x14ac:dyDescent="0.3">
      <c r="A1592" t="s">
        <v>179</v>
      </c>
      <c r="B1592" t="s">
        <v>10</v>
      </c>
      <c r="C1592">
        <v>17</v>
      </c>
      <c r="E1592" t="s">
        <v>69</v>
      </c>
      <c r="G1592">
        <v>88</v>
      </c>
      <c r="H1592">
        <v>16</v>
      </c>
      <c r="I1592" t="s">
        <v>61</v>
      </c>
      <c r="J1592">
        <v>200000</v>
      </c>
      <c r="K1592">
        <v>3200000</v>
      </c>
      <c r="L1592" t="s">
        <v>10</v>
      </c>
      <c r="M1592" t="s">
        <v>7</v>
      </c>
      <c r="N1592" t="b">
        <v>0</v>
      </c>
    </row>
    <row r="1593" spans="1:14" x14ac:dyDescent="0.3">
      <c r="A1593" t="s">
        <v>179</v>
      </c>
      <c r="B1593" t="s">
        <v>10</v>
      </c>
      <c r="C1593">
        <v>18</v>
      </c>
      <c r="E1593" t="s">
        <v>70</v>
      </c>
      <c r="G1593">
        <v>16</v>
      </c>
      <c r="H1593">
        <v>16</v>
      </c>
      <c r="I1593" t="s">
        <v>61</v>
      </c>
      <c r="J1593">
        <v>400000</v>
      </c>
      <c r="K1593">
        <v>6400000</v>
      </c>
      <c r="L1593" t="s">
        <v>10</v>
      </c>
      <c r="M1593" t="s">
        <v>7</v>
      </c>
      <c r="N1593" t="b">
        <v>0</v>
      </c>
    </row>
    <row r="1594" spans="1:14" x14ac:dyDescent="0.3">
      <c r="A1594" t="s">
        <v>179</v>
      </c>
      <c r="B1594" t="s">
        <v>10</v>
      </c>
      <c r="C1594">
        <v>19</v>
      </c>
      <c r="E1594" t="s">
        <v>71</v>
      </c>
      <c r="G1594">
        <v>16</v>
      </c>
      <c r="H1594">
        <v>16</v>
      </c>
      <c r="I1594" t="s">
        <v>61</v>
      </c>
      <c r="J1594">
        <v>120000</v>
      </c>
      <c r="K1594">
        <v>1920000</v>
      </c>
      <c r="L1594" t="s">
        <v>10</v>
      </c>
      <c r="M1594" t="s">
        <v>7</v>
      </c>
      <c r="N1594" t="b">
        <v>0</v>
      </c>
    </row>
    <row r="1595" spans="1:14" x14ac:dyDescent="0.3">
      <c r="A1595" t="s">
        <v>179</v>
      </c>
      <c r="B1595" t="s">
        <v>10</v>
      </c>
      <c r="C1595">
        <v>20</v>
      </c>
      <c r="E1595" t="s">
        <v>72</v>
      </c>
      <c r="G1595">
        <v>24</v>
      </c>
      <c r="H1595">
        <v>24</v>
      </c>
      <c r="I1595" t="s">
        <v>61</v>
      </c>
      <c r="J1595">
        <v>400000</v>
      </c>
      <c r="K1595">
        <v>9600000</v>
      </c>
      <c r="L1595" t="s">
        <v>10</v>
      </c>
      <c r="M1595" t="s">
        <v>7</v>
      </c>
      <c r="N1595" t="b">
        <v>0</v>
      </c>
    </row>
    <row r="1596" spans="1:14" x14ac:dyDescent="0.3">
      <c r="A1596" t="s">
        <v>179</v>
      </c>
      <c r="B1596" t="s">
        <v>10</v>
      </c>
      <c r="C1596">
        <v>21</v>
      </c>
      <c r="D1596" t="s">
        <v>73</v>
      </c>
      <c r="E1596" t="s">
        <v>74</v>
      </c>
      <c r="F1596">
        <v>132</v>
      </c>
      <c r="G1596">
        <v>16</v>
      </c>
      <c r="H1596">
        <v>13.057228800000001</v>
      </c>
      <c r="I1596" t="s">
        <v>46</v>
      </c>
      <c r="J1596">
        <v>35000000</v>
      </c>
      <c r="K1596">
        <v>457003008</v>
      </c>
      <c r="L1596" t="s">
        <v>10</v>
      </c>
      <c r="M1596" t="s">
        <v>7</v>
      </c>
      <c r="N1596" t="b">
        <v>0</v>
      </c>
    </row>
    <row r="1597" spans="1:14" x14ac:dyDescent="0.3">
      <c r="A1597" t="s">
        <v>179</v>
      </c>
      <c r="B1597" t="s">
        <v>10</v>
      </c>
      <c r="C1597">
        <v>22</v>
      </c>
      <c r="D1597" t="s">
        <v>75</v>
      </c>
      <c r="E1597" t="s">
        <v>76</v>
      </c>
      <c r="F1597" t="s">
        <v>77</v>
      </c>
      <c r="G1597">
        <v>2</v>
      </c>
      <c r="H1597">
        <v>3.2</v>
      </c>
      <c r="I1597" t="s">
        <v>46</v>
      </c>
      <c r="J1597">
        <v>5200000</v>
      </c>
      <c r="K1597">
        <v>16640000</v>
      </c>
      <c r="L1597" t="s">
        <v>10</v>
      </c>
      <c r="M1597" t="s">
        <v>7</v>
      </c>
      <c r="N1597" t="b">
        <v>0</v>
      </c>
    </row>
    <row r="1598" spans="1:14" x14ac:dyDescent="0.3">
      <c r="A1598" t="s">
        <v>179</v>
      </c>
      <c r="B1598" t="s">
        <v>10</v>
      </c>
      <c r="C1598">
        <v>23</v>
      </c>
      <c r="E1598" t="s">
        <v>78</v>
      </c>
      <c r="F1598" t="s">
        <v>79</v>
      </c>
      <c r="G1598">
        <v>2</v>
      </c>
      <c r="H1598">
        <v>1.2</v>
      </c>
      <c r="I1598" t="s">
        <v>46</v>
      </c>
      <c r="J1598">
        <v>5200000</v>
      </c>
      <c r="K1598">
        <v>6240000</v>
      </c>
      <c r="L1598" t="s">
        <v>10</v>
      </c>
      <c r="M1598" t="s">
        <v>7</v>
      </c>
      <c r="N1598" t="b">
        <v>0</v>
      </c>
    </row>
    <row r="1599" spans="1:14" x14ac:dyDescent="0.3">
      <c r="A1599" t="s">
        <v>179</v>
      </c>
      <c r="B1599" t="s">
        <v>10</v>
      </c>
      <c r="C1599">
        <v>24</v>
      </c>
      <c r="D1599" t="s">
        <v>80</v>
      </c>
      <c r="E1599" t="s">
        <v>81</v>
      </c>
      <c r="F1599" t="s">
        <v>82</v>
      </c>
      <c r="G1599">
        <v>2</v>
      </c>
      <c r="H1599">
        <v>1.890155</v>
      </c>
      <c r="I1599" t="s">
        <v>46</v>
      </c>
      <c r="J1599">
        <v>8500000</v>
      </c>
      <c r="K1599">
        <v>16066317.5</v>
      </c>
      <c r="L1599" t="s">
        <v>10</v>
      </c>
      <c r="M1599" t="s">
        <v>7</v>
      </c>
      <c r="N1599" t="b">
        <v>0</v>
      </c>
    </row>
    <row r="1600" spans="1:14" x14ac:dyDescent="0.3">
      <c r="A1600" t="s">
        <v>179</v>
      </c>
      <c r="B1600" t="s">
        <v>10</v>
      </c>
      <c r="C1600">
        <v>25</v>
      </c>
      <c r="D1600" t="s">
        <v>83</v>
      </c>
      <c r="E1600" t="s">
        <v>84</v>
      </c>
      <c r="F1600">
        <v>0.18</v>
      </c>
      <c r="G1600">
        <v>4</v>
      </c>
      <c r="H1600">
        <v>4</v>
      </c>
      <c r="I1600" t="s">
        <v>61</v>
      </c>
      <c r="J1600">
        <v>1300000</v>
      </c>
      <c r="K1600">
        <v>5200000</v>
      </c>
      <c r="L1600" t="s">
        <v>10</v>
      </c>
      <c r="M1600" t="s">
        <v>7</v>
      </c>
      <c r="N1600" t="b">
        <v>0</v>
      </c>
    </row>
    <row r="1601" spans="1:14" x14ac:dyDescent="0.3">
      <c r="A1601" t="s">
        <v>179</v>
      </c>
      <c r="B1601" t="s">
        <v>10</v>
      </c>
      <c r="C1601">
        <v>26</v>
      </c>
      <c r="E1601" t="s">
        <v>86</v>
      </c>
      <c r="F1601">
        <v>0.2</v>
      </c>
      <c r="G1601">
        <v>6</v>
      </c>
      <c r="H1601">
        <v>6</v>
      </c>
      <c r="I1601" t="s">
        <v>61</v>
      </c>
      <c r="J1601">
        <v>1300000</v>
      </c>
      <c r="K1601">
        <v>7800000</v>
      </c>
      <c r="L1601" t="s">
        <v>10</v>
      </c>
      <c r="M1601" t="s">
        <v>7</v>
      </c>
      <c r="N1601" t="b">
        <v>0</v>
      </c>
    </row>
    <row r="1602" spans="1:14" x14ac:dyDescent="0.3">
      <c r="A1602" t="s">
        <v>179</v>
      </c>
      <c r="B1602" t="s">
        <v>10</v>
      </c>
      <c r="C1602">
        <v>27</v>
      </c>
      <c r="D1602" t="s">
        <v>88</v>
      </c>
      <c r="E1602" t="s">
        <v>89</v>
      </c>
      <c r="F1602" t="s">
        <v>90</v>
      </c>
      <c r="G1602">
        <v>2</v>
      </c>
      <c r="H1602">
        <v>2</v>
      </c>
      <c r="I1602" t="s">
        <v>61</v>
      </c>
      <c r="J1602">
        <v>100000</v>
      </c>
      <c r="K1602">
        <v>200000</v>
      </c>
      <c r="L1602" t="s">
        <v>10</v>
      </c>
      <c r="M1602" t="s">
        <v>7</v>
      </c>
      <c r="N1602" t="b">
        <v>0</v>
      </c>
    </row>
    <row r="1603" spans="1:14" x14ac:dyDescent="0.3">
      <c r="A1603" t="s">
        <v>179</v>
      </c>
      <c r="B1603" t="s">
        <v>10</v>
      </c>
      <c r="C1603">
        <v>28</v>
      </c>
      <c r="D1603" t="s">
        <v>65</v>
      </c>
      <c r="E1603" t="s">
        <v>91</v>
      </c>
      <c r="G1603">
        <v>4</v>
      </c>
      <c r="H1603">
        <v>4</v>
      </c>
      <c r="I1603" t="s">
        <v>61</v>
      </c>
      <c r="J1603">
        <v>2400000</v>
      </c>
      <c r="K1603">
        <v>9600000</v>
      </c>
      <c r="L1603" t="s">
        <v>10</v>
      </c>
      <c r="M1603" t="s">
        <v>7</v>
      </c>
      <c r="N1603" t="b">
        <v>0</v>
      </c>
    </row>
    <row r="1604" spans="1:14" x14ac:dyDescent="0.3">
      <c r="A1604" t="s">
        <v>179</v>
      </c>
      <c r="B1604" t="s">
        <v>10</v>
      </c>
      <c r="C1604">
        <v>29</v>
      </c>
      <c r="E1604" t="s">
        <v>92</v>
      </c>
      <c r="G1604">
        <v>4</v>
      </c>
      <c r="H1604">
        <v>4</v>
      </c>
      <c r="I1604" t="s">
        <v>61</v>
      </c>
      <c r="J1604">
        <v>2400000</v>
      </c>
      <c r="K1604">
        <v>9600000</v>
      </c>
      <c r="L1604" t="s">
        <v>10</v>
      </c>
      <c r="M1604" t="s">
        <v>7</v>
      </c>
      <c r="N1604" t="b">
        <v>0</v>
      </c>
    </row>
    <row r="1605" spans="1:14" x14ac:dyDescent="0.3">
      <c r="A1605" t="s">
        <v>179</v>
      </c>
      <c r="B1605" t="s">
        <v>10</v>
      </c>
      <c r="C1605">
        <v>30</v>
      </c>
      <c r="E1605" t="s">
        <v>93</v>
      </c>
      <c r="G1605">
        <v>4</v>
      </c>
      <c r="H1605">
        <v>4</v>
      </c>
      <c r="I1605" t="s">
        <v>61</v>
      </c>
      <c r="J1605">
        <v>3000000</v>
      </c>
      <c r="K1605">
        <v>12000000</v>
      </c>
      <c r="L1605" t="s">
        <v>10</v>
      </c>
      <c r="M1605" t="s">
        <v>7</v>
      </c>
      <c r="N1605" t="b">
        <v>0</v>
      </c>
    </row>
    <row r="1606" spans="1:14" x14ac:dyDescent="0.3">
      <c r="A1606" t="s">
        <v>179</v>
      </c>
      <c r="B1606" t="s">
        <v>10</v>
      </c>
      <c r="C1606">
        <v>31</v>
      </c>
      <c r="D1606" t="s">
        <v>94</v>
      </c>
      <c r="E1606" t="s">
        <v>95</v>
      </c>
      <c r="G1606">
        <v>2</v>
      </c>
      <c r="H1606">
        <v>2</v>
      </c>
      <c r="I1606" t="s">
        <v>61</v>
      </c>
      <c r="J1606">
        <v>1300000</v>
      </c>
      <c r="K1606">
        <v>2600000</v>
      </c>
      <c r="L1606" t="s">
        <v>10</v>
      </c>
      <c r="M1606" t="s">
        <v>7</v>
      </c>
      <c r="N1606" t="b">
        <v>0</v>
      </c>
    </row>
    <row r="1607" spans="1:14" x14ac:dyDescent="0.3">
      <c r="A1607" t="s">
        <v>179</v>
      </c>
      <c r="B1607" t="s">
        <v>10</v>
      </c>
      <c r="C1607">
        <v>32</v>
      </c>
      <c r="D1607" t="s">
        <v>94</v>
      </c>
      <c r="E1607" t="s">
        <v>96</v>
      </c>
      <c r="G1607">
        <v>8</v>
      </c>
      <c r="H1607">
        <v>1.3440000000000001</v>
      </c>
      <c r="I1607" t="s">
        <v>97</v>
      </c>
      <c r="J1607">
        <v>460000</v>
      </c>
      <c r="K1607">
        <v>618240</v>
      </c>
      <c r="L1607" t="s">
        <v>10</v>
      </c>
      <c r="M1607" t="s">
        <v>7</v>
      </c>
      <c r="N1607" t="b">
        <v>0</v>
      </c>
    </row>
    <row r="1608" spans="1:14" x14ac:dyDescent="0.3">
      <c r="A1608" t="s">
        <v>179</v>
      </c>
      <c r="B1608" t="s">
        <v>10</v>
      </c>
      <c r="C1608">
        <v>33</v>
      </c>
      <c r="D1608" t="s">
        <v>98</v>
      </c>
      <c r="E1608" t="s">
        <v>99</v>
      </c>
      <c r="F1608">
        <v>50</v>
      </c>
      <c r="G1608">
        <v>8</v>
      </c>
      <c r="H1608">
        <v>0.8</v>
      </c>
      <c r="I1608" t="s">
        <v>100</v>
      </c>
      <c r="J1608">
        <v>17526080</v>
      </c>
      <c r="K1608">
        <v>14020864</v>
      </c>
      <c r="L1608" t="s">
        <v>10</v>
      </c>
      <c r="M1608" t="s">
        <v>7</v>
      </c>
      <c r="N1608" t="b">
        <v>0</v>
      </c>
    </row>
    <row r="1609" spans="1:14" x14ac:dyDescent="0.3">
      <c r="A1609" t="s">
        <v>179</v>
      </c>
      <c r="B1609" t="s">
        <v>10</v>
      </c>
      <c r="C1609">
        <v>28</v>
      </c>
      <c r="E1609" t="s">
        <v>101</v>
      </c>
      <c r="H1609">
        <v>8</v>
      </c>
      <c r="I1609" t="s">
        <v>102</v>
      </c>
      <c r="J1609">
        <v>13000000</v>
      </c>
      <c r="K1609">
        <v>104000000</v>
      </c>
      <c r="L1609" t="s">
        <v>10</v>
      </c>
      <c r="M1609" t="s">
        <v>7</v>
      </c>
      <c r="N1609" t="b">
        <v>0</v>
      </c>
    </row>
    <row r="1610" spans="1:14" x14ac:dyDescent="0.3">
      <c r="A1610" t="s">
        <v>179</v>
      </c>
      <c r="B1610" t="s">
        <v>10</v>
      </c>
      <c r="C1610">
        <v>29</v>
      </c>
      <c r="E1610" t="s">
        <v>107</v>
      </c>
      <c r="H1610">
        <v>0</v>
      </c>
      <c r="I1610" t="s">
        <v>108</v>
      </c>
      <c r="K1610">
        <v>0</v>
      </c>
      <c r="L1610" t="s">
        <v>10</v>
      </c>
      <c r="M1610" t="s">
        <v>7</v>
      </c>
      <c r="N1610" t="b">
        <v>0</v>
      </c>
    </row>
    <row r="1611" spans="1:14" x14ac:dyDescent="0.3">
      <c r="A1611" t="s">
        <v>179</v>
      </c>
      <c r="B1611" t="s">
        <v>11</v>
      </c>
      <c r="C1611">
        <v>1</v>
      </c>
      <c r="D1611" t="s">
        <v>75</v>
      </c>
      <c r="E1611" t="s">
        <v>109</v>
      </c>
      <c r="G1611">
        <v>1</v>
      </c>
      <c r="H1611">
        <v>9</v>
      </c>
      <c r="I1611" t="s">
        <v>46</v>
      </c>
      <c r="J1611">
        <v>5200000</v>
      </c>
      <c r="K1611">
        <v>46800000</v>
      </c>
      <c r="L1611" t="s">
        <v>11</v>
      </c>
      <c r="M1611" t="s">
        <v>7</v>
      </c>
      <c r="N1611" t="b">
        <v>0</v>
      </c>
    </row>
    <row r="1612" spans="1:14" x14ac:dyDescent="0.3">
      <c r="A1612" t="s">
        <v>179</v>
      </c>
      <c r="B1612" t="s">
        <v>11</v>
      </c>
      <c r="C1612">
        <v>4</v>
      </c>
      <c r="D1612" t="s">
        <v>110</v>
      </c>
      <c r="E1612" t="s">
        <v>111</v>
      </c>
      <c r="G1612">
        <v>4</v>
      </c>
      <c r="H1612">
        <v>0.5</v>
      </c>
      <c r="I1612" t="s">
        <v>46</v>
      </c>
      <c r="J1612">
        <v>22000000</v>
      </c>
      <c r="K1612">
        <v>11000000</v>
      </c>
      <c r="L1612" t="s">
        <v>11</v>
      </c>
      <c r="M1612" t="s">
        <v>7</v>
      </c>
      <c r="N1612" t="b">
        <v>0</v>
      </c>
    </row>
    <row r="1613" spans="1:14" x14ac:dyDescent="0.3">
      <c r="A1613" t="s">
        <v>179</v>
      </c>
      <c r="B1613" t="s">
        <v>11</v>
      </c>
      <c r="C1613">
        <v>5</v>
      </c>
      <c r="E1613" t="s">
        <v>112</v>
      </c>
      <c r="G1613">
        <v>20</v>
      </c>
      <c r="H1613">
        <v>20</v>
      </c>
      <c r="I1613" t="s">
        <v>61</v>
      </c>
      <c r="J1613">
        <v>26000</v>
      </c>
      <c r="K1613">
        <v>520000</v>
      </c>
      <c r="L1613" t="s">
        <v>11</v>
      </c>
      <c r="M1613" t="s">
        <v>7</v>
      </c>
      <c r="N1613" t="b">
        <v>0</v>
      </c>
    </row>
    <row r="1614" spans="1:14" x14ac:dyDescent="0.3">
      <c r="A1614" t="s">
        <v>179</v>
      </c>
      <c r="B1614" t="s">
        <v>11</v>
      </c>
      <c r="C1614">
        <v>6</v>
      </c>
      <c r="E1614" t="s">
        <v>113</v>
      </c>
      <c r="G1614">
        <v>6</v>
      </c>
      <c r="H1614">
        <v>6</v>
      </c>
      <c r="I1614" t="s">
        <v>61</v>
      </c>
      <c r="J1614">
        <v>195000</v>
      </c>
      <c r="K1614">
        <v>1170000</v>
      </c>
      <c r="L1614" t="s">
        <v>11</v>
      </c>
      <c r="M1614" t="s">
        <v>7</v>
      </c>
      <c r="N1614" t="b">
        <v>0</v>
      </c>
    </row>
    <row r="1615" spans="1:14" x14ac:dyDescent="0.3">
      <c r="A1615" t="s">
        <v>179</v>
      </c>
      <c r="B1615" t="s">
        <v>11</v>
      </c>
      <c r="C1615">
        <v>7</v>
      </c>
      <c r="E1615" t="s">
        <v>114</v>
      </c>
      <c r="G1615">
        <v>20</v>
      </c>
      <c r="H1615">
        <v>20</v>
      </c>
      <c r="I1615" t="s">
        <v>61</v>
      </c>
      <c r="J1615">
        <v>13000</v>
      </c>
      <c r="K1615">
        <v>260000</v>
      </c>
      <c r="L1615" t="s">
        <v>11</v>
      </c>
      <c r="M1615" t="s">
        <v>7</v>
      </c>
      <c r="N1615" t="b">
        <v>0</v>
      </c>
    </row>
    <row r="1616" spans="1:14" x14ac:dyDescent="0.3">
      <c r="A1616" t="s">
        <v>179</v>
      </c>
      <c r="B1616" t="s">
        <v>11</v>
      </c>
      <c r="C1616">
        <v>8</v>
      </c>
      <c r="E1616" t="s">
        <v>115</v>
      </c>
      <c r="G1616">
        <v>20</v>
      </c>
      <c r="H1616">
        <v>20</v>
      </c>
      <c r="I1616" t="s">
        <v>61</v>
      </c>
      <c r="J1616">
        <v>75000</v>
      </c>
      <c r="K1616">
        <v>1500000</v>
      </c>
      <c r="L1616" t="s">
        <v>11</v>
      </c>
      <c r="M1616" t="s">
        <v>7</v>
      </c>
      <c r="N1616" t="b">
        <v>0</v>
      </c>
    </row>
    <row r="1617" spans="1:14" x14ac:dyDescent="0.3">
      <c r="A1617" t="s">
        <v>179</v>
      </c>
      <c r="B1617" t="s">
        <v>11</v>
      </c>
      <c r="C1617">
        <v>9</v>
      </c>
      <c r="E1617" t="s">
        <v>116</v>
      </c>
      <c r="G1617">
        <v>1</v>
      </c>
      <c r="H1617">
        <v>1</v>
      </c>
      <c r="I1617" t="s">
        <v>61</v>
      </c>
      <c r="J1617">
        <v>11250000</v>
      </c>
      <c r="K1617">
        <v>11250000</v>
      </c>
      <c r="L1617" t="s">
        <v>11</v>
      </c>
      <c r="M1617" t="s">
        <v>7</v>
      </c>
      <c r="N1617" t="b">
        <v>0</v>
      </c>
    </row>
    <row r="1618" spans="1:14" x14ac:dyDescent="0.3">
      <c r="A1618" t="s">
        <v>179</v>
      </c>
      <c r="B1618" t="s">
        <v>11</v>
      </c>
      <c r="C1618">
        <v>10</v>
      </c>
      <c r="E1618" t="s">
        <v>117</v>
      </c>
      <c r="G1618">
        <v>1</v>
      </c>
      <c r="H1618">
        <v>1</v>
      </c>
      <c r="I1618" t="s">
        <v>61</v>
      </c>
      <c r="J1618">
        <v>7500000</v>
      </c>
      <c r="K1618">
        <v>7500000</v>
      </c>
      <c r="L1618" t="s">
        <v>11</v>
      </c>
      <c r="M1618" t="s">
        <v>7</v>
      </c>
      <c r="N1618" t="b">
        <v>0</v>
      </c>
    </row>
    <row r="1619" spans="1:14" x14ac:dyDescent="0.3">
      <c r="A1619" t="s">
        <v>179</v>
      </c>
      <c r="B1619" t="s">
        <v>11</v>
      </c>
      <c r="C1619">
        <v>11</v>
      </c>
      <c r="E1619" t="s">
        <v>118</v>
      </c>
      <c r="G1619">
        <v>2</v>
      </c>
      <c r="H1619">
        <v>2</v>
      </c>
      <c r="I1619" t="s">
        <v>61</v>
      </c>
      <c r="J1619">
        <v>150000</v>
      </c>
      <c r="K1619">
        <v>300000</v>
      </c>
      <c r="L1619" t="s">
        <v>11</v>
      </c>
      <c r="M1619" t="s">
        <v>7</v>
      </c>
      <c r="N1619" t="b">
        <v>0</v>
      </c>
    </row>
    <row r="1620" spans="1:14" x14ac:dyDescent="0.3">
      <c r="A1620" t="s">
        <v>179</v>
      </c>
      <c r="B1620" t="s">
        <v>11</v>
      </c>
      <c r="C1620">
        <v>12</v>
      </c>
      <c r="E1620" t="s">
        <v>119</v>
      </c>
      <c r="G1620">
        <v>2</v>
      </c>
      <c r="H1620">
        <v>2</v>
      </c>
      <c r="I1620" t="s">
        <v>61</v>
      </c>
      <c r="J1620">
        <v>100000</v>
      </c>
      <c r="K1620">
        <v>200000</v>
      </c>
      <c r="L1620" t="s">
        <v>11</v>
      </c>
      <c r="M1620" t="s">
        <v>7</v>
      </c>
      <c r="N1620" t="b">
        <v>0</v>
      </c>
    </row>
    <row r="1621" spans="1:14" x14ac:dyDescent="0.3">
      <c r="A1621" t="s">
        <v>179</v>
      </c>
      <c r="B1621" t="s">
        <v>11</v>
      </c>
      <c r="C1621">
        <v>13</v>
      </c>
      <c r="E1621" t="s">
        <v>120</v>
      </c>
      <c r="G1621">
        <v>4</v>
      </c>
      <c r="H1621">
        <v>4</v>
      </c>
      <c r="I1621" t="s">
        <v>61</v>
      </c>
      <c r="J1621">
        <v>50000</v>
      </c>
      <c r="K1621">
        <v>200000</v>
      </c>
      <c r="L1621" t="s">
        <v>11</v>
      </c>
      <c r="M1621" t="s">
        <v>7</v>
      </c>
      <c r="N1621" t="b">
        <v>0</v>
      </c>
    </row>
    <row r="1622" spans="1:14" x14ac:dyDescent="0.3">
      <c r="A1622" t="s">
        <v>179</v>
      </c>
      <c r="B1622" t="s">
        <v>11</v>
      </c>
      <c r="C1622">
        <v>14</v>
      </c>
      <c r="E1622" t="s">
        <v>121</v>
      </c>
      <c r="G1622">
        <v>2</v>
      </c>
      <c r="H1622">
        <v>2</v>
      </c>
      <c r="I1622" t="s">
        <v>61</v>
      </c>
      <c r="J1622">
        <v>100000</v>
      </c>
      <c r="K1622">
        <v>200000</v>
      </c>
      <c r="L1622" t="s">
        <v>11</v>
      </c>
      <c r="M1622" t="s">
        <v>7</v>
      </c>
      <c r="N1622" t="b">
        <v>0</v>
      </c>
    </row>
    <row r="1623" spans="1:14" x14ac:dyDescent="0.3">
      <c r="A1623" t="s">
        <v>179</v>
      </c>
      <c r="B1623" t="s">
        <v>11</v>
      </c>
      <c r="C1623">
        <v>15</v>
      </c>
      <c r="E1623" t="s">
        <v>122</v>
      </c>
      <c r="G1623">
        <v>1</v>
      </c>
      <c r="H1623">
        <v>0.1</v>
      </c>
      <c r="I1623" t="s">
        <v>46</v>
      </c>
      <c r="J1623">
        <v>4200000</v>
      </c>
      <c r="K1623">
        <v>420000</v>
      </c>
      <c r="L1623" t="s">
        <v>11</v>
      </c>
      <c r="M1623" t="s">
        <v>7</v>
      </c>
      <c r="N1623" t="b">
        <v>0</v>
      </c>
    </row>
    <row r="1624" spans="1:14" x14ac:dyDescent="0.3">
      <c r="A1624" t="s">
        <v>179</v>
      </c>
      <c r="B1624" t="s">
        <v>11</v>
      </c>
      <c r="C1624">
        <v>16</v>
      </c>
      <c r="E1624" t="s">
        <v>123</v>
      </c>
      <c r="G1624">
        <v>1</v>
      </c>
      <c r="H1624">
        <v>0.3</v>
      </c>
      <c r="I1624" t="s">
        <v>97</v>
      </c>
      <c r="K1624">
        <v>0</v>
      </c>
      <c r="L1624" t="s">
        <v>11</v>
      </c>
      <c r="M1624" t="s">
        <v>7</v>
      </c>
      <c r="N1624" t="b">
        <v>0</v>
      </c>
    </row>
    <row r="1625" spans="1:14" x14ac:dyDescent="0.3">
      <c r="A1625" t="s">
        <v>179</v>
      </c>
      <c r="B1625" t="s">
        <v>11</v>
      </c>
      <c r="C1625">
        <v>17</v>
      </c>
      <c r="E1625" t="s">
        <v>124</v>
      </c>
      <c r="G1625">
        <v>1</v>
      </c>
      <c r="H1625">
        <v>0.15</v>
      </c>
      <c r="I1625" t="s">
        <v>97</v>
      </c>
      <c r="K1625">
        <v>0</v>
      </c>
      <c r="L1625" t="s">
        <v>11</v>
      </c>
      <c r="M1625" t="s">
        <v>7</v>
      </c>
      <c r="N1625" t="b">
        <v>0</v>
      </c>
    </row>
    <row r="1626" spans="1:14" x14ac:dyDescent="0.3">
      <c r="A1626" t="s">
        <v>179</v>
      </c>
      <c r="B1626" t="s">
        <v>11</v>
      </c>
      <c r="C1626">
        <v>18</v>
      </c>
      <c r="E1626" t="s">
        <v>125</v>
      </c>
      <c r="G1626">
        <v>1</v>
      </c>
      <c r="I1626" t="s">
        <v>61</v>
      </c>
      <c r="K1626">
        <v>0</v>
      </c>
      <c r="L1626" t="s">
        <v>11</v>
      </c>
      <c r="M1626" t="s">
        <v>7</v>
      </c>
      <c r="N1626" t="b">
        <v>0</v>
      </c>
    </row>
    <row r="1627" spans="1:14" x14ac:dyDescent="0.3">
      <c r="A1627" t="s">
        <v>179</v>
      </c>
      <c r="B1627" t="s">
        <v>11</v>
      </c>
      <c r="C1627">
        <v>19</v>
      </c>
      <c r="E1627" t="s">
        <v>126</v>
      </c>
      <c r="G1627">
        <v>1</v>
      </c>
      <c r="I1627" t="s">
        <v>61</v>
      </c>
      <c r="K1627">
        <v>0</v>
      </c>
      <c r="L1627" t="s">
        <v>11</v>
      </c>
      <c r="M1627" t="s">
        <v>7</v>
      </c>
      <c r="N1627" t="b">
        <v>0</v>
      </c>
    </row>
    <row r="1628" spans="1:14" x14ac:dyDescent="0.3">
      <c r="A1628" t="s">
        <v>179</v>
      </c>
      <c r="B1628" t="s">
        <v>11</v>
      </c>
      <c r="C1628">
        <v>20</v>
      </c>
      <c r="E1628" t="s">
        <v>127</v>
      </c>
      <c r="G1628">
        <v>1</v>
      </c>
      <c r="I1628" t="s">
        <v>61</v>
      </c>
      <c r="K1628">
        <v>0</v>
      </c>
      <c r="L1628" t="s">
        <v>11</v>
      </c>
      <c r="M1628" t="s">
        <v>7</v>
      </c>
      <c r="N1628" t="b">
        <v>0</v>
      </c>
    </row>
    <row r="1629" spans="1:14" x14ac:dyDescent="0.3">
      <c r="A1629" t="s">
        <v>179</v>
      </c>
      <c r="B1629" t="s">
        <v>11</v>
      </c>
      <c r="C1629">
        <v>21</v>
      </c>
      <c r="E1629" t="s">
        <v>128</v>
      </c>
      <c r="G1629">
        <v>1</v>
      </c>
      <c r="H1629">
        <v>1</v>
      </c>
      <c r="I1629" t="s">
        <v>61</v>
      </c>
      <c r="J1629">
        <v>74000000</v>
      </c>
      <c r="K1629">
        <v>74000000</v>
      </c>
      <c r="L1629" t="s">
        <v>11</v>
      </c>
      <c r="M1629" t="s">
        <v>7</v>
      </c>
      <c r="N1629" t="b">
        <v>0</v>
      </c>
    </row>
    <row r="1630" spans="1:14" x14ac:dyDescent="0.3">
      <c r="A1630" t="s">
        <v>179</v>
      </c>
      <c r="B1630" t="s">
        <v>11</v>
      </c>
      <c r="C1630">
        <v>7</v>
      </c>
      <c r="E1630" t="s">
        <v>101</v>
      </c>
      <c r="H1630">
        <v>5</v>
      </c>
      <c r="I1630" t="s">
        <v>102</v>
      </c>
      <c r="J1630">
        <v>13000000</v>
      </c>
      <c r="K1630">
        <v>65000000</v>
      </c>
      <c r="L1630" t="s">
        <v>11</v>
      </c>
      <c r="M1630" t="s">
        <v>7</v>
      </c>
      <c r="N1630" t="b">
        <v>0</v>
      </c>
    </row>
    <row r="1631" spans="1:14" x14ac:dyDescent="0.3">
      <c r="A1631" t="s">
        <v>179</v>
      </c>
      <c r="B1631" t="s">
        <v>11</v>
      </c>
      <c r="C1631">
        <v>8</v>
      </c>
      <c r="E1631" t="s">
        <v>107</v>
      </c>
      <c r="H1631">
        <v>0</v>
      </c>
      <c r="I1631" t="s">
        <v>108</v>
      </c>
      <c r="K1631">
        <v>0</v>
      </c>
      <c r="L1631" t="s">
        <v>11</v>
      </c>
      <c r="M1631" t="s">
        <v>7</v>
      </c>
      <c r="N1631" t="b">
        <v>0</v>
      </c>
    </row>
    <row r="1632" spans="1:14" x14ac:dyDescent="0.3">
      <c r="A1632" t="s">
        <v>179</v>
      </c>
      <c r="B1632" t="s">
        <v>12</v>
      </c>
      <c r="C1632">
        <v>1</v>
      </c>
      <c r="D1632" t="s">
        <v>129</v>
      </c>
      <c r="E1632" t="s">
        <v>130</v>
      </c>
      <c r="G1632">
        <v>1</v>
      </c>
      <c r="H1632">
        <v>7</v>
      </c>
      <c r="I1632" t="s">
        <v>131</v>
      </c>
      <c r="J1632">
        <v>41400000</v>
      </c>
      <c r="K1632">
        <v>289800000</v>
      </c>
      <c r="L1632" t="s">
        <v>12</v>
      </c>
      <c r="M1632" t="s">
        <v>7</v>
      </c>
      <c r="N1632" t="b">
        <v>0</v>
      </c>
    </row>
    <row r="1633" spans="1:14" x14ac:dyDescent="0.3">
      <c r="A1633" t="s">
        <v>179</v>
      </c>
      <c r="B1633" t="s">
        <v>12</v>
      </c>
      <c r="D1633" t="s">
        <v>58</v>
      </c>
      <c r="E1633" t="s">
        <v>60</v>
      </c>
      <c r="G1633">
        <v>0</v>
      </c>
      <c r="H1633">
        <v>24</v>
      </c>
      <c r="I1633" t="s">
        <v>46</v>
      </c>
      <c r="J1633">
        <v>3600000</v>
      </c>
      <c r="K1633">
        <v>86400000</v>
      </c>
      <c r="L1633" t="s">
        <v>12</v>
      </c>
      <c r="M1633" t="s">
        <v>7</v>
      </c>
      <c r="N1633" t="b">
        <v>0</v>
      </c>
    </row>
    <row r="1634" spans="1:14" x14ac:dyDescent="0.3">
      <c r="A1634" t="s">
        <v>179</v>
      </c>
      <c r="B1634" t="s">
        <v>12</v>
      </c>
      <c r="C1634">
        <v>3</v>
      </c>
      <c r="E1634" t="s">
        <v>132</v>
      </c>
      <c r="G1634">
        <v>16</v>
      </c>
      <c r="I1634" t="s">
        <v>61</v>
      </c>
      <c r="J1634">
        <v>50000</v>
      </c>
      <c r="K1634">
        <v>800000</v>
      </c>
      <c r="L1634" t="s">
        <v>12</v>
      </c>
      <c r="M1634" t="s">
        <v>7</v>
      </c>
      <c r="N1634" t="b">
        <v>0</v>
      </c>
    </row>
    <row r="1635" spans="1:14" x14ac:dyDescent="0.3">
      <c r="A1635" t="s">
        <v>179</v>
      </c>
      <c r="B1635" t="s">
        <v>12</v>
      </c>
      <c r="C1635">
        <v>4</v>
      </c>
      <c r="E1635" t="s">
        <v>133</v>
      </c>
      <c r="G1635">
        <v>16</v>
      </c>
      <c r="I1635" t="s">
        <v>61</v>
      </c>
      <c r="J1635">
        <v>15000</v>
      </c>
      <c r="K1635">
        <v>240000</v>
      </c>
      <c r="L1635" t="s">
        <v>12</v>
      </c>
      <c r="M1635" t="s">
        <v>7</v>
      </c>
      <c r="N1635" t="b">
        <v>0</v>
      </c>
    </row>
    <row r="1636" spans="1:14" x14ac:dyDescent="0.3">
      <c r="A1636" t="s">
        <v>179</v>
      </c>
      <c r="B1636" t="s">
        <v>12</v>
      </c>
      <c r="C1636">
        <v>5</v>
      </c>
      <c r="E1636" t="s">
        <v>134</v>
      </c>
      <c r="G1636">
        <v>32</v>
      </c>
      <c r="I1636" t="s">
        <v>61</v>
      </c>
      <c r="J1636">
        <v>5000</v>
      </c>
      <c r="K1636">
        <v>160000</v>
      </c>
      <c r="L1636" t="s">
        <v>12</v>
      </c>
      <c r="M1636" t="s">
        <v>7</v>
      </c>
      <c r="N1636" t="b">
        <v>0</v>
      </c>
    </row>
    <row r="1637" spans="1:14" x14ac:dyDescent="0.3">
      <c r="A1637" t="s">
        <v>179</v>
      </c>
      <c r="B1637" t="s">
        <v>12</v>
      </c>
      <c r="C1637">
        <v>6</v>
      </c>
      <c r="E1637" t="s">
        <v>135</v>
      </c>
      <c r="G1637">
        <v>16</v>
      </c>
      <c r="I1637" t="s">
        <v>61</v>
      </c>
      <c r="J1637">
        <v>5000</v>
      </c>
      <c r="K1637">
        <v>80000</v>
      </c>
      <c r="L1637" t="s">
        <v>12</v>
      </c>
      <c r="M1637" t="s">
        <v>7</v>
      </c>
      <c r="N1637" t="b">
        <v>0</v>
      </c>
    </row>
    <row r="1638" spans="1:14" x14ac:dyDescent="0.3">
      <c r="A1638" t="s">
        <v>179</v>
      </c>
      <c r="B1638" t="s">
        <v>12</v>
      </c>
      <c r="C1638">
        <v>7</v>
      </c>
      <c r="E1638" t="s">
        <v>101</v>
      </c>
      <c r="H1638">
        <v>1</v>
      </c>
      <c r="I1638" t="s">
        <v>102</v>
      </c>
      <c r="J1638">
        <v>13000000</v>
      </c>
      <c r="K1638">
        <v>13000000</v>
      </c>
      <c r="L1638" t="s">
        <v>12</v>
      </c>
      <c r="M1638" t="s">
        <v>7</v>
      </c>
      <c r="N1638" t="b">
        <v>0</v>
      </c>
    </row>
    <row r="1639" spans="1:14" x14ac:dyDescent="0.3">
      <c r="A1639" t="s">
        <v>179</v>
      </c>
      <c r="B1639" t="s">
        <v>12</v>
      </c>
      <c r="C1639">
        <v>8</v>
      </c>
      <c r="E1639" t="s">
        <v>107</v>
      </c>
      <c r="H1639">
        <v>0</v>
      </c>
      <c r="I1639" t="s">
        <v>108</v>
      </c>
      <c r="K1639">
        <v>0</v>
      </c>
      <c r="L1639" t="s">
        <v>12</v>
      </c>
      <c r="M1639" t="s">
        <v>7</v>
      </c>
      <c r="N1639" t="b">
        <v>0</v>
      </c>
    </row>
    <row r="1640" spans="1:14" x14ac:dyDescent="0.3">
      <c r="A1640" t="s">
        <v>179</v>
      </c>
      <c r="B1640" t="s">
        <v>13</v>
      </c>
      <c r="C1640">
        <v>1</v>
      </c>
      <c r="D1640" t="s">
        <v>73</v>
      </c>
      <c r="E1640" t="s">
        <v>136</v>
      </c>
      <c r="G1640">
        <v>1</v>
      </c>
      <c r="H1640">
        <v>24</v>
      </c>
      <c r="I1640" t="s">
        <v>46</v>
      </c>
      <c r="J1640">
        <v>8500000</v>
      </c>
      <c r="K1640">
        <v>204000000</v>
      </c>
      <c r="L1640" t="s">
        <v>13</v>
      </c>
      <c r="M1640" t="s">
        <v>7</v>
      </c>
      <c r="N1640" t="b">
        <v>0</v>
      </c>
    </row>
    <row r="1641" spans="1:14" x14ac:dyDescent="0.3">
      <c r="A1641" t="s">
        <v>179</v>
      </c>
      <c r="B1641" t="s">
        <v>13</v>
      </c>
      <c r="D1641" t="s">
        <v>58</v>
      </c>
      <c r="E1641" t="s">
        <v>60</v>
      </c>
      <c r="G1641">
        <v>0</v>
      </c>
      <c r="H1641">
        <v>24</v>
      </c>
      <c r="I1641" t="s">
        <v>46</v>
      </c>
      <c r="J1641">
        <v>3600000</v>
      </c>
      <c r="K1641">
        <v>86400000</v>
      </c>
      <c r="L1641" t="s">
        <v>13</v>
      </c>
      <c r="M1641" t="s">
        <v>7</v>
      </c>
      <c r="N1641" t="b">
        <v>0</v>
      </c>
    </row>
    <row r="1642" spans="1:14" x14ac:dyDescent="0.3">
      <c r="A1642" t="s">
        <v>179</v>
      </c>
      <c r="B1642" t="s">
        <v>13</v>
      </c>
      <c r="C1642">
        <v>3</v>
      </c>
      <c r="E1642" t="s">
        <v>132</v>
      </c>
      <c r="G1642">
        <v>4</v>
      </c>
      <c r="I1642" t="s">
        <v>61</v>
      </c>
      <c r="J1642">
        <v>50000</v>
      </c>
      <c r="K1642">
        <v>200000</v>
      </c>
      <c r="L1642" t="s">
        <v>13</v>
      </c>
      <c r="M1642" t="s">
        <v>7</v>
      </c>
      <c r="N1642" t="b">
        <v>0</v>
      </c>
    </row>
    <row r="1643" spans="1:14" x14ac:dyDescent="0.3">
      <c r="A1643" t="s">
        <v>179</v>
      </c>
      <c r="B1643" t="s">
        <v>13</v>
      </c>
      <c r="C1643">
        <v>4</v>
      </c>
      <c r="E1643" t="s">
        <v>133</v>
      </c>
      <c r="G1643">
        <v>4</v>
      </c>
      <c r="I1643" t="s">
        <v>61</v>
      </c>
      <c r="J1643">
        <v>15000</v>
      </c>
      <c r="K1643">
        <v>60000</v>
      </c>
      <c r="L1643" t="s">
        <v>13</v>
      </c>
      <c r="M1643" t="s">
        <v>7</v>
      </c>
      <c r="N1643" t="b">
        <v>0</v>
      </c>
    </row>
    <row r="1644" spans="1:14" x14ac:dyDescent="0.3">
      <c r="A1644" t="s">
        <v>179</v>
      </c>
      <c r="B1644" t="s">
        <v>13</v>
      </c>
      <c r="C1644">
        <v>5</v>
      </c>
      <c r="E1644" t="s">
        <v>134</v>
      </c>
      <c r="G1644">
        <v>8</v>
      </c>
      <c r="I1644" t="s">
        <v>61</v>
      </c>
      <c r="J1644">
        <v>5000</v>
      </c>
      <c r="K1644">
        <v>40000</v>
      </c>
      <c r="L1644" t="s">
        <v>13</v>
      </c>
      <c r="M1644" t="s">
        <v>7</v>
      </c>
      <c r="N1644" t="b">
        <v>0</v>
      </c>
    </row>
    <row r="1645" spans="1:14" x14ac:dyDescent="0.3">
      <c r="A1645" t="s">
        <v>179</v>
      </c>
      <c r="B1645" t="s">
        <v>13</v>
      </c>
      <c r="C1645">
        <v>6</v>
      </c>
      <c r="E1645" t="s">
        <v>135</v>
      </c>
      <c r="G1645">
        <v>4</v>
      </c>
      <c r="I1645" t="s">
        <v>61</v>
      </c>
      <c r="J1645">
        <v>5000</v>
      </c>
      <c r="K1645">
        <v>20000</v>
      </c>
      <c r="L1645" t="s">
        <v>13</v>
      </c>
      <c r="M1645" t="s">
        <v>7</v>
      </c>
      <c r="N1645" t="b">
        <v>0</v>
      </c>
    </row>
    <row r="1646" spans="1:14" x14ac:dyDescent="0.3">
      <c r="A1646" t="s">
        <v>179</v>
      </c>
      <c r="B1646" t="s">
        <v>13</v>
      </c>
      <c r="C1646">
        <v>7</v>
      </c>
      <c r="E1646" t="s">
        <v>101</v>
      </c>
      <c r="H1646">
        <v>5</v>
      </c>
      <c r="I1646" t="s">
        <v>102</v>
      </c>
      <c r="J1646">
        <v>13000000</v>
      </c>
      <c r="K1646">
        <v>65000000</v>
      </c>
      <c r="L1646" t="s">
        <v>13</v>
      </c>
      <c r="M1646" t="s">
        <v>7</v>
      </c>
      <c r="N1646" t="b">
        <v>0</v>
      </c>
    </row>
    <row r="1647" spans="1:14" x14ac:dyDescent="0.3">
      <c r="A1647" t="s">
        <v>179</v>
      </c>
      <c r="B1647" t="s">
        <v>13</v>
      </c>
      <c r="C1647">
        <v>8</v>
      </c>
      <c r="E1647" t="s">
        <v>107</v>
      </c>
      <c r="H1647">
        <v>0</v>
      </c>
      <c r="I1647" t="s">
        <v>108</v>
      </c>
      <c r="K1647">
        <v>0</v>
      </c>
      <c r="L1647" t="s">
        <v>13</v>
      </c>
      <c r="M1647" t="s">
        <v>7</v>
      </c>
      <c r="N1647" t="b">
        <v>0</v>
      </c>
    </row>
    <row r="1648" spans="1:14" x14ac:dyDescent="0.3">
      <c r="A1648" t="s">
        <v>179</v>
      </c>
      <c r="B1648" t="s">
        <v>14</v>
      </c>
      <c r="C1648">
        <v>1</v>
      </c>
      <c r="D1648" t="s">
        <v>73</v>
      </c>
      <c r="E1648" t="s">
        <v>137</v>
      </c>
      <c r="G1648">
        <v>1</v>
      </c>
      <c r="H1648">
        <v>24</v>
      </c>
      <c r="I1648" t="s">
        <v>46</v>
      </c>
      <c r="J1648">
        <v>8500000</v>
      </c>
      <c r="K1648">
        <v>204000000</v>
      </c>
      <c r="L1648" t="s">
        <v>14</v>
      </c>
      <c r="M1648" t="s">
        <v>7</v>
      </c>
      <c r="N1648" t="b">
        <v>0</v>
      </c>
    </row>
    <row r="1649" spans="1:14" x14ac:dyDescent="0.3">
      <c r="A1649" t="s">
        <v>179</v>
      </c>
      <c r="B1649" t="s">
        <v>14</v>
      </c>
      <c r="D1649" t="s">
        <v>58</v>
      </c>
      <c r="E1649" t="s">
        <v>60</v>
      </c>
      <c r="G1649">
        <v>0</v>
      </c>
      <c r="H1649">
        <v>24</v>
      </c>
      <c r="I1649" t="s">
        <v>46</v>
      </c>
      <c r="J1649">
        <v>3600000</v>
      </c>
      <c r="K1649">
        <v>86400000</v>
      </c>
      <c r="L1649" t="s">
        <v>14</v>
      </c>
      <c r="M1649" t="s">
        <v>7</v>
      </c>
      <c r="N1649" t="b">
        <v>0</v>
      </c>
    </row>
    <row r="1650" spans="1:14" x14ac:dyDescent="0.3">
      <c r="A1650" t="s">
        <v>179</v>
      </c>
      <c r="B1650" t="s">
        <v>14</v>
      </c>
      <c r="C1650">
        <v>3</v>
      </c>
      <c r="E1650" t="s">
        <v>132</v>
      </c>
      <c r="G1650">
        <v>16</v>
      </c>
      <c r="I1650" t="s">
        <v>61</v>
      </c>
      <c r="J1650">
        <v>50000</v>
      </c>
      <c r="K1650">
        <v>800000</v>
      </c>
      <c r="L1650" t="s">
        <v>14</v>
      </c>
      <c r="M1650" t="s">
        <v>7</v>
      </c>
      <c r="N1650" t="b">
        <v>0</v>
      </c>
    </row>
    <row r="1651" spans="1:14" x14ac:dyDescent="0.3">
      <c r="A1651" t="s">
        <v>179</v>
      </c>
      <c r="B1651" t="s">
        <v>14</v>
      </c>
      <c r="C1651">
        <v>4</v>
      </c>
      <c r="E1651" t="s">
        <v>133</v>
      </c>
      <c r="G1651">
        <v>16</v>
      </c>
      <c r="I1651" t="s">
        <v>61</v>
      </c>
      <c r="J1651">
        <v>15000</v>
      </c>
      <c r="K1651">
        <v>240000</v>
      </c>
      <c r="L1651" t="s">
        <v>14</v>
      </c>
      <c r="M1651" t="s">
        <v>7</v>
      </c>
      <c r="N1651" t="b">
        <v>0</v>
      </c>
    </row>
    <row r="1652" spans="1:14" x14ac:dyDescent="0.3">
      <c r="A1652" t="s">
        <v>179</v>
      </c>
      <c r="B1652" t="s">
        <v>14</v>
      </c>
      <c r="C1652">
        <v>5</v>
      </c>
      <c r="E1652" t="s">
        <v>134</v>
      </c>
      <c r="G1652">
        <v>32</v>
      </c>
      <c r="I1652" t="s">
        <v>61</v>
      </c>
      <c r="J1652">
        <v>5000</v>
      </c>
      <c r="K1652">
        <v>160000</v>
      </c>
      <c r="L1652" t="s">
        <v>14</v>
      </c>
      <c r="M1652" t="s">
        <v>7</v>
      </c>
      <c r="N1652" t="b">
        <v>0</v>
      </c>
    </row>
    <row r="1653" spans="1:14" x14ac:dyDescent="0.3">
      <c r="A1653" t="s">
        <v>179</v>
      </c>
      <c r="B1653" t="s">
        <v>14</v>
      </c>
      <c r="C1653">
        <v>6</v>
      </c>
      <c r="E1653" t="s">
        <v>135</v>
      </c>
      <c r="G1653">
        <v>16</v>
      </c>
      <c r="I1653" t="s">
        <v>61</v>
      </c>
      <c r="J1653">
        <v>5000</v>
      </c>
      <c r="K1653">
        <v>80000</v>
      </c>
      <c r="L1653" t="s">
        <v>14</v>
      </c>
      <c r="M1653" t="s">
        <v>7</v>
      </c>
      <c r="N1653" t="b">
        <v>0</v>
      </c>
    </row>
    <row r="1654" spans="1:14" x14ac:dyDescent="0.3">
      <c r="A1654" t="s">
        <v>179</v>
      </c>
      <c r="B1654" t="s">
        <v>14</v>
      </c>
      <c r="C1654">
        <v>7</v>
      </c>
      <c r="E1654" t="s">
        <v>101</v>
      </c>
      <c r="H1654">
        <v>5</v>
      </c>
      <c r="I1654" t="s">
        <v>102</v>
      </c>
      <c r="J1654">
        <v>13000000</v>
      </c>
      <c r="K1654">
        <v>65000000</v>
      </c>
      <c r="L1654" t="s">
        <v>14</v>
      </c>
      <c r="M1654" t="s">
        <v>7</v>
      </c>
      <c r="N1654" t="b">
        <v>0</v>
      </c>
    </row>
    <row r="1655" spans="1:14" x14ac:dyDescent="0.3">
      <c r="A1655" t="s">
        <v>179</v>
      </c>
      <c r="B1655" t="s">
        <v>14</v>
      </c>
      <c r="C1655">
        <v>8</v>
      </c>
      <c r="E1655" t="s">
        <v>107</v>
      </c>
      <c r="H1655">
        <v>0</v>
      </c>
      <c r="I1655" t="s">
        <v>108</v>
      </c>
      <c r="K1655">
        <v>0</v>
      </c>
      <c r="L1655" t="s">
        <v>14</v>
      </c>
      <c r="M1655" t="s">
        <v>7</v>
      </c>
      <c r="N1655" t="b">
        <v>0</v>
      </c>
    </row>
    <row r="1656" spans="1:14" x14ac:dyDescent="0.3">
      <c r="A1656" t="s">
        <v>179</v>
      </c>
      <c r="B1656" t="s">
        <v>15</v>
      </c>
      <c r="C1656">
        <v>1</v>
      </c>
      <c r="D1656" t="s">
        <v>75</v>
      </c>
      <c r="E1656" t="s">
        <v>138</v>
      </c>
      <c r="G1656">
        <v>1</v>
      </c>
      <c r="H1656">
        <v>25</v>
      </c>
      <c r="I1656" t="s">
        <v>46</v>
      </c>
      <c r="J1656">
        <v>5200000</v>
      </c>
      <c r="K1656">
        <v>130000000</v>
      </c>
      <c r="L1656" t="s">
        <v>15</v>
      </c>
      <c r="M1656" t="s">
        <v>7</v>
      </c>
      <c r="N1656" t="b">
        <v>0</v>
      </c>
    </row>
    <row r="1657" spans="1:14" x14ac:dyDescent="0.3">
      <c r="A1657" t="s">
        <v>179</v>
      </c>
      <c r="B1657" t="s">
        <v>15</v>
      </c>
      <c r="D1657" t="s">
        <v>75</v>
      </c>
      <c r="E1657" t="s">
        <v>139</v>
      </c>
      <c r="G1657">
        <v>1</v>
      </c>
      <c r="I1657" t="s">
        <v>46</v>
      </c>
      <c r="K1657">
        <v>0</v>
      </c>
      <c r="L1657" t="s">
        <v>15</v>
      </c>
      <c r="M1657" t="s">
        <v>7</v>
      </c>
      <c r="N1657" t="b">
        <v>0</v>
      </c>
    </row>
    <row r="1658" spans="1:14" x14ac:dyDescent="0.3">
      <c r="A1658" t="s">
        <v>179</v>
      </c>
      <c r="B1658" t="s">
        <v>15</v>
      </c>
      <c r="C1658">
        <v>3</v>
      </c>
      <c r="E1658" t="s">
        <v>140</v>
      </c>
      <c r="G1658">
        <v>32</v>
      </c>
      <c r="I1658" t="s">
        <v>61</v>
      </c>
      <c r="J1658">
        <v>10000</v>
      </c>
      <c r="K1658">
        <v>320000</v>
      </c>
      <c r="L1658" t="s">
        <v>15</v>
      </c>
      <c r="M1658" t="s">
        <v>7</v>
      </c>
      <c r="N1658" t="b">
        <v>0</v>
      </c>
    </row>
    <row r="1659" spans="1:14" x14ac:dyDescent="0.3">
      <c r="A1659" t="s">
        <v>179</v>
      </c>
      <c r="B1659" t="s">
        <v>15</v>
      </c>
      <c r="C1659">
        <v>4</v>
      </c>
      <c r="E1659" t="s">
        <v>69</v>
      </c>
      <c r="G1659">
        <v>32</v>
      </c>
      <c r="I1659" t="s">
        <v>61</v>
      </c>
      <c r="J1659">
        <v>60000</v>
      </c>
      <c r="K1659">
        <v>1920000</v>
      </c>
      <c r="L1659" t="s">
        <v>15</v>
      </c>
      <c r="M1659" t="s">
        <v>7</v>
      </c>
      <c r="N1659" t="b">
        <v>0</v>
      </c>
    </row>
    <row r="1660" spans="1:14" x14ac:dyDescent="0.3">
      <c r="A1660" t="s">
        <v>179</v>
      </c>
      <c r="B1660" t="s">
        <v>15</v>
      </c>
      <c r="C1660">
        <v>5</v>
      </c>
      <c r="E1660" t="s">
        <v>141</v>
      </c>
      <c r="G1660">
        <v>32</v>
      </c>
      <c r="I1660" t="s">
        <v>61</v>
      </c>
      <c r="J1660">
        <v>60000</v>
      </c>
      <c r="K1660">
        <v>1920000</v>
      </c>
      <c r="L1660" t="s">
        <v>15</v>
      </c>
      <c r="M1660" t="s">
        <v>7</v>
      </c>
      <c r="N1660" t="b">
        <v>0</v>
      </c>
    </row>
    <row r="1661" spans="1:14" x14ac:dyDescent="0.3">
      <c r="A1661" t="s">
        <v>179</v>
      </c>
      <c r="B1661" t="s">
        <v>15</v>
      </c>
      <c r="C1661">
        <v>6</v>
      </c>
      <c r="E1661" t="s">
        <v>140</v>
      </c>
      <c r="G1661">
        <v>12</v>
      </c>
      <c r="I1661" t="s">
        <v>61</v>
      </c>
      <c r="J1661">
        <v>10000</v>
      </c>
      <c r="K1661">
        <v>120000</v>
      </c>
      <c r="L1661" t="s">
        <v>15</v>
      </c>
      <c r="M1661" t="s">
        <v>7</v>
      </c>
      <c r="N1661" t="b">
        <v>0</v>
      </c>
    </row>
    <row r="1662" spans="1:14" x14ac:dyDescent="0.3">
      <c r="A1662" t="s">
        <v>179</v>
      </c>
      <c r="B1662" t="s">
        <v>15</v>
      </c>
      <c r="C1662">
        <v>7</v>
      </c>
      <c r="E1662" t="s">
        <v>142</v>
      </c>
      <c r="G1662">
        <v>12</v>
      </c>
      <c r="I1662" t="s">
        <v>61</v>
      </c>
      <c r="J1662">
        <v>10000</v>
      </c>
      <c r="K1662">
        <v>120000</v>
      </c>
      <c r="L1662" t="s">
        <v>15</v>
      </c>
      <c r="M1662" t="s">
        <v>7</v>
      </c>
      <c r="N1662" t="b">
        <v>0</v>
      </c>
    </row>
    <row r="1663" spans="1:14" x14ac:dyDescent="0.3">
      <c r="A1663" t="s">
        <v>179</v>
      </c>
      <c r="B1663" t="s">
        <v>15</v>
      </c>
      <c r="C1663">
        <v>8</v>
      </c>
      <c r="E1663" t="s">
        <v>114</v>
      </c>
      <c r="G1663">
        <v>12</v>
      </c>
      <c r="I1663" t="s">
        <v>61</v>
      </c>
      <c r="J1663">
        <v>60000</v>
      </c>
      <c r="K1663">
        <v>720000</v>
      </c>
      <c r="L1663" t="s">
        <v>15</v>
      </c>
      <c r="M1663" t="s">
        <v>7</v>
      </c>
      <c r="N1663" t="b">
        <v>0</v>
      </c>
    </row>
    <row r="1664" spans="1:14" x14ac:dyDescent="0.3">
      <c r="A1664" t="s">
        <v>179</v>
      </c>
      <c r="B1664" t="s">
        <v>15</v>
      </c>
      <c r="C1664">
        <v>9</v>
      </c>
      <c r="E1664" t="s">
        <v>143</v>
      </c>
      <c r="G1664">
        <v>32</v>
      </c>
      <c r="I1664" t="s">
        <v>61</v>
      </c>
      <c r="J1664">
        <v>10000</v>
      </c>
      <c r="K1664">
        <v>320000</v>
      </c>
      <c r="L1664" t="s">
        <v>15</v>
      </c>
      <c r="M1664" t="s">
        <v>7</v>
      </c>
      <c r="N1664" t="b">
        <v>0</v>
      </c>
    </row>
    <row r="1665" spans="1:14" x14ac:dyDescent="0.3">
      <c r="A1665" t="s">
        <v>179</v>
      </c>
      <c r="B1665" t="s">
        <v>15</v>
      </c>
      <c r="C1665">
        <v>10</v>
      </c>
      <c r="E1665" t="s">
        <v>57</v>
      </c>
      <c r="G1665">
        <v>25</v>
      </c>
      <c r="I1665" t="s">
        <v>46</v>
      </c>
      <c r="J1665">
        <v>1430000</v>
      </c>
      <c r="K1665">
        <v>35750000</v>
      </c>
      <c r="L1665" t="s">
        <v>15</v>
      </c>
      <c r="M1665" t="s">
        <v>7</v>
      </c>
      <c r="N1665" t="b">
        <v>0</v>
      </c>
    </row>
    <row r="1666" spans="1:14" x14ac:dyDescent="0.3">
      <c r="A1666" t="s">
        <v>179</v>
      </c>
      <c r="B1666" t="s">
        <v>15</v>
      </c>
      <c r="E1666" t="s">
        <v>96</v>
      </c>
      <c r="G1666">
        <v>1</v>
      </c>
      <c r="H1666">
        <v>6</v>
      </c>
      <c r="I1666" t="s">
        <v>97</v>
      </c>
      <c r="J1666">
        <v>460000</v>
      </c>
      <c r="K1666">
        <v>2760000</v>
      </c>
      <c r="L1666" t="s">
        <v>15</v>
      </c>
      <c r="M1666" t="s">
        <v>7</v>
      </c>
      <c r="N1666" t="b">
        <v>0</v>
      </c>
    </row>
    <row r="1667" spans="1:14" x14ac:dyDescent="0.3">
      <c r="A1667" t="s">
        <v>179</v>
      </c>
      <c r="B1667" t="s">
        <v>15</v>
      </c>
      <c r="C1667">
        <v>11</v>
      </c>
      <c r="E1667" t="s">
        <v>101</v>
      </c>
      <c r="H1667">
        <v>5</v>
      </c>
      <c r="I1667" t="s">
        <v>102</v>
      </c>
      <c r="J1667">
        <v>13000000</v>
      </c>
      <c r="K1667">
        <v>65000000</v>
      </c>
      <c r="L1667" t="s">
        <v>15</v>
      </c>
      <c r="M1667" t="s">
        <v>7</v>
      </c>
      <c r="N1667" t="b">
        <v>0</v>
      </c>
    </row>
    <row r="1668" spans="1:14" x14ac:dyDescent="0.3">
      <c r="A1668" t="s">
        <v>179</v>
      </c>
      <c r="B1668" t="s">
        <v>15</v>
      </c>
      <c r="C1668">
        <v>12</v>
      </c>
      <c r="E1668" t="s">
        <v>107</v>
      </c>
      <c r="H1668">
        <v>0</v>
      </c>
      <c r="I1668" t="s">
        <v>108</v>
      </c>
      <c r="K1668">
        <v>0</v>
      </c>
      <c r="L1668" t="s">
        <v>15</v>
      </c>
      <c r="M1668" t="s">
        <v>7</v>
      </c>
      <c r="N1668" t="b">
        <v>0</v>
      </c>
    </row>
    <row r="1669" spans="1:14" x14ac:dyDescent="0.3">
      <c r="A1669" t="s">
        <v>179</v>
      </c>
      <c r="B1669" t="s">
        <v>16</v>
      </c>
      <c r="C1669">
        <v>1</v>
      </c>
      <c r="D1669" t="s">
        <v>144</v>
      </c>
      <c r="E1669" t="s">
        <v>145</v>
      </c>
      <c r="F1669" t="s">
        <v>146</v>
      </c>
      <c r="G1669">
        <v>2</v>
      </c>
      <c r="H1669">
        <v>2.8296000000000001</v>
      </c>
      <c r="I1669" t="s">
        <v>46</v>
      </c>
      <c r="J1669">
        <v>800000</v>
      </c>
      <c r="K1669">
        <v>2263680</v>
      </c>
      <c r="L1669" t="s">
        <v>16</v>
      </c>
      <c r="M1669" t="s">
        <v>7</v>
      </c>
      <c r="N1669" t="b">
        <v>0</v>
      </c>
    </row>
    <row r="1670" spans="1:14" x14ac:dyDescent="0.3">
      <c r="A1670" t="s">
        <v>179</v>
      </c>
      <c r="B1670" t="s">
        <v>16</v>
      </c>
      <c r="E1670" t="s">
        <v>147</v>
      </c>
      <c r="F1670" t="s">
        <v>148</v>
      </c>
      <c r="G1670">
        <v>2</v>
      </c>
      <c r="H1670">
        <v>0.94320000000000004</v>
      </c>
      <c r="I1670" t="s">
        <v>46</v>
      </c>
      <c r="J1670">
        <v>800000</v>
      </c>
      <c r="K1670">
        <v>754560</v>
      </c>
      <c r="L1670" t="s">
        <v>16</v>
      </c>
      <c r="M1670" t="s">
        <v>7</v>
      </c>
      <c r="N1670" t="b">
        <v>0</v>
      </c>
    </row>
    <row r="1671" spans="1:14" x14ac:dyDescent="0.3">
      <c r="A1671" t="s">
        <v>179</v>
      </c>
      <c r="B1671" t="s">
        <v>16</v>
      </c>
      <c r="E1671" t="s">
        <v>149</v>
      </c>
      <c r="G1671">
        <v>2</v>
      </c>
      <c r="I1671" t="s">
        <v>61</v>
      </c>
      <c r="J1671">
        <v>5000000</v>
      </c>
      <c r="K1671">
        <v>10000000</v>
      </c>
      <c r="L1671" t="s">
        <v>16</v>
      </c>
      <c r="M1671" t="s">
        <v>7</v>
      </c>
      <c r="N1671" t="b">
        <v>0</v>
      </c>
    </row>
    <row r="1672" spans="1:14" x14ac:dyDescent="0.3">
      <c r="A1672" t="s">
        <v>179</v>
      </c>
      <c r="B1672" t="s">
        <v>16</v>
      </c>
      <c r="C1672">
        <v>2</v>
      </c>
      <c r="E1672" t="s">
        <v>150</v>
      </c>
      <c r="F1672">
        <v>260</v>
      </c>
      <c r="G1672">
        <v>2</v>
      </c>
      <c r="H1672">
        <v>0.52</v>
      </c>
      <c r="I1672" t="s">
        <v>151</v>
      </c>
      <c r="J1672">
        <v>2000000</v>
      </c>
      <c r="K1672">
        <v>1040000</v>
      </c>
      <c r="L1672" t="s">
        <v>16</v>
      </c>
      <c r="M1672" t="s">
        <v>7</v>
      </c>
      <c r="N1672" t="b">
        <v>0</v>
      </c>
    </row>
    <row r="1673" spans="1:14" x14ac:dyDescent="0.3">
      <c r="A1673" t="s">
        <v>179</v>
      </c>
      <c r="B1673" t="s">
        <v>16</v>
      </c>
      <c r="E1673" t="s">
        <v>152</v>
      </c>
      <c r="G1673">
        <v>10</v>
      </c>
      <c r="I1673" t="s">
        <v>61</v>
      </c>
      <c r="J1673">
        <v>200000</v>
      </c>
      <c r="K1673">
        <v>2000000</v>
      </c>
      <c r="L1673" t="s">
        <v>16</v>
      </c>
      <c r="M1673" t="s">
        <v>7</v>
      </c>
      <c r="N1673" t="b">
        <v>0</v>
      </c>
    </row>
    <row r="1674" spans="1:14" x14ac:dyDescent="0.3">
      <c r="A1674" t="s">
        <v>179</v>
      </c>
      <c r="B1674" t="s">
        <v>16</v>
      </c>
      <c r="C1674">
        <v>7</v>
      </c>
      <c r="E1674" t="s">
        <v>153</v>
      </c>
      <c r="G1674">
        <v>4</v>
      </c>
      <c r="H1674">
        <v>4</v>
      </c>
      <c r="I1674" t="s">
        <v>61</v>
      </c>
      <c r="J1674">
        <v>300000</v>
      </c>
      <c r="K1674">
        <v>1200000</v>
      </c>
      <c r="L1674" t="s">
        <v>16</v>
      </c>
      <c r="M1674" t="s">
        <v>7</v>
      </c>
      <c r="N1674" t="b">
        <v>0</v>
      </c>
    </row>
    <row r="1675" spans="1:14" x14ac:dyDescent="0.3">
      <c r="A1675" t="s">
        <v>179</v>
      </c>
      <c r="B1675" t="s">
        <v>16</v>
      </c>
      <c r="C1675">
        <v>8</v>
      </c>
      <c r="E1675" t="s">
        <v>134</v>
      </c>
      <c r="G1675">
        <v>10</v>
      </c>
      <c r="H1675">
        <v>10</v>
      </c>
      <c r="I1675" t="s">
        <v>61</v>
      </c>
      <c r="J1675">
        <v>30000</v>
      </c>
      <c r="K1675">
        <v>300000</v>
      </c>
      <c r="L1675" t="s">
        <v>16</v>
      </c>
      <c r="M1675" t="s">
        <v>7</v>
      </c>
      <c r="N1675" t="b">
        <v>0</v>
      </c>
    </row>
    <row r="1676" spans="1:14" x14ac:dyDescent="0.3">
      <c r="A1676" t="s">
        <v>179</v>
      </c>
      <c r="B1676" t="s">
        <v>16</v>
      </c>
      <c r="C1676">
        <v>9</v>
      </c>
      <c r="E1676" t="s">
        <v>154</v>
      </c>
      <c r="G1676">
        <v>4</v>
      </c>
      <c r="H1676">
        <v>4</v>
      </c>
      <c r="I1676" t="s">
        <v>61</v>
      </c>
      <c r="J1676">
        <v>30000</v>
      </c>
      <c r="K1676">
        <v>120000</v>
      </c>
      <c r="L1676" t="s">
        <v>16</v>
      </c>
      <c r="M1676" t="s">
        <v>7</v>
      </c>
      <c r="N1676" t="b">
        <v>0</v>
      </c>
    </row>
    <row r="1677" spans="1:14" x14ac:dyDescent="0.3">
      <c r="A1677" t="s">
        <v>179</v>
      </c>
      <c r="B1677" t="s">
        <v>16</v>
      </c>
      <c r="C1677">
        <v>12</v>
      </c>
      <c r="E1677" t="s">
        <v>120</v>
      </c>
      <c r="G1677">
        <v>4</v>
      </c>
      <c r="H1677">
        <v>4</v>
      </c>
      <c r="I1677" t="s">
        <v>61</v>
      </c>
      <c r="J1677">
        <v>30000</v>
      </c>
      <c r="K1677">
        <v>120000</v>
      </c>
      <c r="L1677" t="s">
        <v>16</v>
      </c>
      <c r="M1677" t="s">
        <v>7</v>
      </c>
      <c r="N1677" t="b">
        <v>0</v>
      </c>
    </row>
    <row r="1678" spans="1:14" x14ac:dyDescent="0.3">
      <c r="A1678" t="s">
        <v>179</v>
      </c>
      <c r="B1678" t="s">
        <v>16</v>
      </c>
      <c r="C1678">
        <v>13</v>
      </c>
      <c r="E1678" t="s">
        <v>101</v>
      </c>
      <c r="H1678">
        <v>1</v>
      </c>
      <c r="I1678" t="s">
        <v>102</v>
      </c>
      <c r="J1678">
        <v>13000000</v>
      </c>
      <c r="K1678">
        <v>13000000</v>
      </c>
      <c r="L1678" t="s">
        <v>16</v>
      </c>
      <c r="M1678" t="s">
        <v>7</v>
      </c>
      <c r="N1678" t="b">
        <v>0</v>
      </c>
    </row>
    <row r="1679" spans="1:14" x14ac:dyDescent="0.3">
      <c r="A1679" t="s">
        <v>179</v>
      </c>
      <c r="B1679" t="s">
        <v>16</v>
      </c>
      <c r="C1679">
        <v>14</v>
      </c>
      <c r="E1679" t="s">
        <v>107</v>
      </c>
      <c r="H1679">
        <v>0</v>
      </c>
      <c r="I1679" t="s">
        <v>108</v>
      </c>
      <c r="K1679">
        <v>0</v>
      </c>
      <c r="L1679" t="s">
        <v>16</v>
      </c>
      <c r="M1679" t="s">
        <v>7</v>
      </c>
      <c r="N1679" t="b">
        <v>0</v>
      </c>
    </row>
    <row r="1680" spans="1:14" x14ac:dyDescent="0.3">
      <c r="A1680" t="s">
        <v>179</v>
      </c>
      <c r="B1680" t="s">
        <v>16</v>
      </c>
      <c r="E1680" t="s">
        <v>155</v>
      </c>
      <c r="F1680">
        <v>300</v>
      </c>
      <c r="G1680">
        <v>200</v>
      </c>
      <c r="H1680">
        <v>3</v>
      </c>
      <c r="I1680">
        <v>7.86</v>
      </c>
      <c r="K1680">
        <v>1.4148000000000001</v>
      </c>
      <c r="L1680" t="s">
        <v>16</v>
      </c>
      <c r="M1680" t="s">
        <v>7</v>
      </c>
      <c r="N1680" t="b">
        <v>0</v>
      </c>
    </row>
    <row r="1681" spans="1:14" x14ac:dyDescent="0.3">
      <c r="A1681" t="s">
        <v>179</v>
      </c>
      <c r="B1681" t="s">
        <v>16</v>
      </c>
      <c r="E1681" t="s">
        <v>156</v>
      </c>
      <c r="F1681">
        <v>200</v>
      </c>
      <c r="G1681">
        <v>100</v>
      </c>
      <c r="H1681">
        <v>3</v>
      </c>
      <c r="I1681">
        <v>7.86</v>
      </c>
      <c r="K1681">
        <v>0.47160000000000002</v>
      </c>
      <c r="L1681" t="s">
        <v>16</v>
      </c>
      <c r="M1681" t="s">
        <v>7</v>
      </c>
      <c r="N1681" t="b">
        <v>0</v>
      </c>
    </row>
    <row r="1682" spans="1:14" x14ac:dyDescent="0.3">
      <c r="A1682" t="s">
        <v>179</v>
      </c>
      <c r="B1682" t="s">
        <v>17</v>
      </c>
      <c r="C1682">
        <v>1</v>
      </c>
      <c r="D1682" t="s">
        <v>75</v>
      </c>
      <c r="E1682" t="s">
        <v>157</v>
      </c>
      <c r="G1682">
        <v>1</v>
      </c>
      <c r="H1682">
        <v>1.6485000000000001</v>
      </c>
      <c r="I1682" t="s">
        <v>46</v>
      </c>
      <c r="J1682">
        <v>700000</v>
      </c>
      <c r="K1682">
        <v>1153950</v>
      </c>
      <c r="L1682" t="s">
        <v>17</v>
      </c>
      <c r="M1682" t="s">
        <v>7</v>
      </c>
      <c r="N1682" t="b">
        <v>0</v>
      </c>
    </row>
    <row r="1683" spans="1:14" x14ac:dyDescent="0.3">
      <c r="A1683" t="s">
        <v>179</v>
      </c>
      <c r="B1683" t="s">
        <v>17</v>
      </c>
      <c r="C1683">
        <v>2</v>
      </c>
      <c r="D1683" t="s">
        <v>75</v>
      </c>
      <c r="E1683" t="s">
        <v>158</v>
      </c>
      <c r="G1683">
        <v>2</v>
      </c>
      <c r="I1683" t="s">
        <v>151</v>
      </c>
      <c r="J1683">
        <v>1200000</v>
      </c>
      <c r="K1683">
        <v>2400000</v>
      </c>
      <c r="L1683" t="s">
        <v>17</v>
      </c>
      <c r="M1683" t="s">
        <v>7</v>
      </c>
      <c r="N1683" t="b">
        <v>0</v>
      </c>
    </row>
    <row r="1684" spans="1:14" x14ac:dyDescent="0.3">
      <c r="A1684" t="s">
        <v>179</v>
      </c>
      <c r="B1684" t="s">
        <v>17</v>
      </c>
      <c r="C1684">
        <v>3</v>
      </c>
      <c r="E1684" t="s">
        <v>159</v>
      </c>
      <c r="G1684">
        <v>2</v>
      </c>
      <c r="I1684" t="s">
        <v>61</v>
      </c>
      <c r="J1684">
        <v>100000</v>
      </c>
      <c r="K1684">
        <v>200000</v>
      </c>
      <c r="L1684" t="s">
        <v>17</v>
      </c>
      <c r="M1684" t="s">
        <v>7</v>
      </c>
      <c r="N1684" t="b">
        <v>0</v>
      </c>
    </row>
    <row r="1685" spans="1:14" x14ac:dyDescent="0.3">
      <c r="A1685" t="s">
        <v>179</v>
      </c>
      <c r="B1685" t="s">
        <v>17</v>
      </c>
      <c r="C1685">
        <v>4</v>
      </c>
      <c r="E1685" t="s">
        <v>133</v>
      </c>
      <c r="G1685">
        <v>6</v>
      </c>
      <c r="I1685" t="s">
        <v>61</v>
      </c>
      <c r="J1685">
        <v>10000</v>
      </c>
      <c r="K1685">
        <v>60000</v>
      </c>
      <c r="L1685" t="s">
        <v>17</v>
      </c>
      <c r="M1685" t="s">
        <v>7</v>
      </c>
      <c r="N1685" t="b">
        <v>0</v>
      </c>
    </row>
    <row r="1686" spans="1:14" x14ac:dyDescent="0.3">
      <c r="A1686" t="s">
        <v>179</v>
      </c>
      <c r="B1686" t="s">
        <v>17</v>
      </c>
      <c r="C1686">
        <v>5</v>
      </c>
      <c r="E1686" t="s">
        <v>134</v>
      </c>
      <c r="G1686">
        <v>6</v>
      </c>
      <c r="I1686" t="s">
        <v>61</v>
      </c>
      <c r="J1686">
        <v>5000</v>
      </c>
      <c r="K1686">
        <v>30000</v>
      </c>
      <c r="L1686" t="s">
        <v>17</v>
      </c>
      <c r="M1686" t="s">
        <v>7</v>
      </c>
      <c r="N1686" t="b">
        <v>0</v>
      </c>
    </row>
    <row r="1687" spans="1:14" x14ac:dyDescent="0.3">
      <c r="A1687" t="s">
        <v>179</v>
      </c>
      <c r="B1687" t="s">
        <v>17</v>
      </c>
      <c r="C1687">
        <v>6</v>
      </c>
      <c r="E1687" t="s">
        <v>160</v>
      </c>
      <c r="G1687">
        <v>2</v>
      </c>
      <c r="I1687" t="s">
        <v>61</v>
      </c>
      <c r="J1687">
        <v>500000</v>
      </c>
      <c r="K1687">
        <v>1000000</v>
      </c>
      <c r="L1687" t="s">
        <v>17</v>
      </c>
      <c r="M1687" t="s">
        <v>7</v>
      </c>
      <c r="N1687" t="b">
        <v>0</v>
      </c>
    </row>
    <row r="1688" spans="1:14" x14ac:dyDescent="0.3">
      <c r="A1688" t="s">
        <v>179</v>
      </c>
      <c r="B1688" t="s">
        <v>17</v>
      </c>
      <c r="C1688">
        <v>7</v>
      </c>
      <c r="E1688" t="s">
        <v>161</v>
      </c>
      <c r="G1688">
        <v>2</v>
      </c>
      <c r="I1688" t="s">
        <v>61</v>
      </c>
      <c r="J1688">
        <v>10000</v>
      </c>
      <c r="K1688">
        <v>20000</v>
      </c>
      <c r="L1688" t="s">
        <v>17</v>
      </c>
      <c r="M1688" t="s">
        <v>7</v>
      </c>
      <c r="N1688" t="b">
        <v>0</v>
      </c>
    </row>
    <row r="1689" spans="1:14" x14ac:dyDescent="0.3">
      <c r="A1689" t="s">
        <v>179</v>
      </c>
      <c r="B1689" t="s">
        <v>17</v>
      </c>
      <c r="C1689">
        <v>8</v>
      </c>
      <c r="E1689" t="s">
        <v>142</v>
      </c>
      <c r="G1689">
        <v>2</v>
      </c>
      <c r="I1689" t="s">
        <v>61</v>
      </c>
      <c r="J1689">
        <v>5000</v>
      </c>
      <c r="K1689">
        <v>10000</v>
      </c>
      <c r="L1689" t="s">
        <v>17</v>
      </c>
      <c r="M1689" t="s">
        <v>7</v>
      </c>
      <c r="N1689" t="b">
        <v>0</v>
      </c>
    </row>
    <row r="1690" spans="1:14" x14ac:dyDescent="0.3">
      <c r="A1690" t="s">
        <v>179</v>
      </c>
      <c r="B1690" t="s">
        <v>17</v>
      </c>
      <c r="C1690">
        <v>9</v>
      </c>
      <c r="E1690" t="s">
        <v>114</v>
      </c>
      <c r="G1690">
        <v>2</v>
      </c>
      <c r="I1690" t="s">
        <v>61</v>
      </c>
      <c r="J1690">
        <v>60000</v>
      </c>
      <c r="K1690">
        <v>120000</v>
      </c>
      <c r="L1690" t="s">
        <v>17</v>
      </c>
      <c r="M1690" t="s">
        <v>7</v>
      </c>
      <c r="N1690" t="b">
        <v>0</v>
      </c>
    </row>
    <row r="1691" spans="1:14" x14ac:dyDescent="0.3">
      <c r="A1691" t="s">
        <v>179</v>
      </c>
      <c r="B1691" t="s">
        <v>17</v>
      </c>
      <c r="C1691">
        <v>10</v>
      </c>
      <c r="E1691" t="s">
        <v>101</v>
      </c>
      <c r="H1691">
        <v>3</v>
      </c>
      <c r="I1691" t="s">
        <v>102</v>
      </c>
      <c r="J1691">
        <v>13000000</v>
      </c>
      <c r="K1691">
        <v>39000000</v>
      </c>
      <c r="L1691" t="s">
        <v>17</v>
      </c>
      <c r="M1691" t="s">
        <v>7</v>
      </c>
      <c r="N1691" t="b">
        <v>0</v>
      </c>
    </row>
    <row r="1692" spans="1:14" x14ac:dyDescent="0.3">
      <c r="A1692" t="s">
        <v>179</v>
      </c>
      <c r="B1692" t="s">
        <v>17</v>
      </c>
      <c r="C1692">
        <v>11</v>
      </c>
      <c r="E1692" t="s">
        <v>107</v>
      </c>
      <c r="H1692">
        <v>0</v>
      </c>
      <c r="I1692" t="s">
        <v>108</v>
      </c>
      <c r="K1692">
        <v>0</v>
      </c>
      <c r="L1692" t="s">
        <v>17</v>
      </c>
      <c r="M1692" t="s">
        <v>7</v>
      </c>
      <c r="N1692" t="b">
        <v>0</v>
      </c>
    </row>
    <row r="1693" spans="1:14" x14ac:dyDescent="0.3">
      <c r="A1693" t="s">
        <v>179</v>
      </c>
      <c r="B1693" t="s">
        <v>18</v>
      </c>
      <c r="C1693">
        <v>1</v>
      </c>
      <c r="D1693" t="s">
        <v>144</v>
      </c>
      <c r="E1693" t="s">
        <v>145</v>
      </c>
      <c r="F1693" t="s">
        <v>162</v>
      </c>
      <c r="G1693">
        <v>1</v>
      </c>
      <c r="H1693">
        <v>0.58950000000000002</v>
      </c>
      <c r="I1693" t="s">
        <v>46</v>
      </c>
      <c r="J1693">
        <v>800000</v>
      </c>
      <c r="K1693">
        <v>471600</v>
      </c>
      <c r="L1693" t="s">
        <v>18</v>
      </c>
      <c r="M1693" t="s">
        <v>7</v>
      </c>
      <c r="N1693" t="b">
        <v>0</v>
      </c>
    </row>
    <row r="1694" spans="1:14" x14ac:dyDescent="0.3">
      <c r="A1694" t="s">
        <v>179</v>
      </c>
      <c r="B1694" t="s">
        <v>18</v>
      </c>
      <c r="C1694">
        <v>2</v>
      </c>
      <c r="D1694" t="s">
        <v>73</v>
      </c>
      <c r="E1694" t="s">
        <v>163</v>
      </c>
      <c r="F1694" t="s">
        <v>164</v>
      </c>
      <c r="G1694">
        <v>2</v>
      </c>
      <c r="H1694">
        <v>1.2631449600000002</v>
      </c>
      <c r="I1694" t="s">
        <v>46</v>
      </c>
      <c r="J1694">
        <v>1500000</v>
      </c>
      <c r="K1694">
        <v>3000000</v>
      </c>
      <c r="L1694" t="s">
        <v>18</v>
      </c>
      <c r="M1694" t="s">
        <v>7</v>
      </c>
      <c r="N1694" t="b">
        <v>0</v>
      </c>
    </row>
    <row r="1695" spans="1:14" x14ac:dyDescent="0.3">
      <c r="A1695" t="s">
        <v>179</v>
      </c>
      <c r="B1695" t="s">
        <v>18</v>
      </c>
      <c r="C1695">
        <v>7</v>
      </c>
      <c r="E1695" t="s">
        <v>66</v>
      </c>
      <c r="G1695">
        <v>2</v>
      </c>
      <c r="H1695">
        <v>2</v>
      </c>
      <c r="I1695" t="s">
        <v>61</v>
      </c>
      <c r="J1695">
        <v>50000</v>
      </c>
      <c r="K1695">
        <v>100000</v>
      </c>
      <c r="L1695" t="s">
        <v>18</v>
      </c>
      <c r="M1695" t="s">
        <v>7</v>
      </c>
      <c r="N1695" t="b">
        <v>0</v>
      </c>
    </row>
    <row r="1696" spans="1:14" x14ac:dyDescent="0.3">
      <c r="A1696" t="s">
        <v>179</v>
      </c>
      <c r="B1696" t="s">
        <v>18</v>
      </c>
      <c r="C1696">
        <v>8</v>
      </c>
      <c r="E1696" t="s">
        <v>141</v>
      </c>
      <c r="G1696">
        <v>4</v>
      </c>
      <c r="H1696">
        <v>4</v>
      </c>
      <c r="I1696" t="s">
        <v>61</v>
      </c>
      <c r="J1696">
        <v>30000</v>
      </c>
      <c r="K1696">
        <v>120000</v>
      </c>
      <c r="L1696" t="s">
        <v>18</v>
      </c>
      <c r="M1696" t="s">
        <v>7</v>
      </c>
      <c r="N1696" t="b">
        <v>0</v>
      </c>
    </row>
    <row r="1697" spans="1:14" x14ac:dyDescent="0.3">
      <c r="A1697" t="s">
        <v>179</v>
      </c>
      <c r="B1697" t="s">
        <v>18</v>
      </c>
      <c r="C1697">
        <v>9</v>
      </c>
      <c r="E1697" t="s">
        <v>165</v>
      </c>
      <c r="G1697">
        <v>1</v>
      </c>
      <c r="H1697">
        <v>1</v>
      </c>
      <c r="I1697" t="s">
        <v>61</v>
      </c>
      <c r="J1697">
        <v>30000</v>
      </c>
      <c r="K1697">
        <v>30000</v>
      </c>
      <c r="L1697" t="s">
        <v>18</v>
      </c>
      <c r="M1697" t="s">
        <v>7</v>
      </c>
      <c r="N1697" t="b">
        <v>0</v>
      </c>
    </row>
    <row r="1698" spans="1:14" x14ac:dyDescent="0.3">
      <c r="A1698" t="s">
        <v>179</v>
      </c>
      <c r="B1698" t="s">
        <v>18</v>
      </c>
      <c r="C1698">
        <v>13</v>
      </c>
      <c r="E1698" t="s">
        <v>101</v>
      </c>
      <c r="H1698">
        <v>1</v>
      </c>
      <c r="I1698" t="s">
        <v>102</v>
      </c>
      <c r="J1698">
        <v>13000000</v>
      </c>
      <c r="K1698">
        <v>13000000</v>
      </c>
      <c r="L1698" t="s">
        <v>18</v>
      </c>
      <c r="M1698" t="s">
        <v>7</v>
      </c>
      <c r="N1698" t="b">
        <v>0</v>
      </c>
    </row>
    <row r="1699" spans="1:14" x14ac:dyDescent="0.3">
      <c r="A1699" t="s">
        <v>179</v>
      </c>
      <c r="B1699" t="s">
        <v>18</v>
      </c>
      <c r="C1699">
        <v>14</v>
      </c>
      <c r="E1699" t="s">
        <v>107</v>
      </c>
      <c r="H1699">
        <v>0</v>
      </c>
      <c r="I1699" t="s">
        <v>108</v>
      </c>
      <c r="K1699">
        <v>0</v>
      </c>
      <c r="L1699" t="s">
        <v>18</v>
      </c>
      <c r="M1699" t="s">
        <v>7</v>
      </c>
      <c r="N1699" t="b">
        <v>0</v>
      </c>
    </row>
    <row r="1700" spans="1:14" x14ac:dyDescent="0.3">
      <c r="A1700" t="s">
        <v>179</v>
      </c>
      <c r="B1700" t="s">
        <v>18</v>
      </c>
      <c r="E1700" t="s">
        <v>155</v>
      </c>
      <c r="F1700">
        <v>300</v>
      </c>
      <c r="G1700">
        <v>100</v>
      </c>
      <c r="H1700">
        <v>2.5</v>
      </c>
      <c r="I1700">
        <v>7.86</v>
      </c>
      <c r="K1700">
        <v>0.58950000000000002</v>
      </c>
      <c r="L1700" t="s">
        <v>18</v>
      </c>
      <c r="M1700" t="s">
        <v>7</v>
      </c>
      <c r="N1700" t="b">
        <v>0</v>
      </c>
    </row>
    <row r="1701" spans="1:14" x14ac:dyDescent="0.3">
      <c r="A1701" t="s">
        <v>31</v>
      </c>
      <c r="B1701" t="s">
        <v>32</v>
      </c>
      <c r="C1701">
        <v>1</v>
      </c>
      <c r="D1701" t="s">
        <v>44</v>
      </c>
      <c r="E1701" t="s">
        <v>45</v>
      </c>
      <c r="F1701">
        <v>2735</v>
      </c>
      <c r="G1701">
        <v>2</v>
      </c>
      <c r="H1701">
        <v>7.6580000000000004</v>
      </c>
      <c r="I1701" t="s">
        <v>46</v>
      </c>
      <c r="J1701">
        <v>8500000</v>
      </c>
      <c r="K1701">
        <v>65092999.999999993</v>
      </c>
      <c r="L1701" t="s">
        <v>32</v>
      </c>
      <c r="M1701" t="s">
        <v>7</v>
      </c>
      <c r="N1701" t="b">
        <v>0</v>
      </c>
    </row>
    <row r="1702" spans="1:14" x14ac:dyDescent="0.3">
      <c r="A1702" t="s">
        <v>31</v>
      </c>
      <c r="B1702" t="s">
        <v>32</v>
      </c>
      <c r="C1702">
        <v>2</v>
      </c>
      <c r="E1702" t="s">
        <v>47</v>
      </c>
      <c r="F1702">
        <v>2735</v>
      </c>
      <c r="G1702">
        <v>0</v>
      </c>
      <c r="H1702">
        <v>0</v>
      </c>
      <c r="I1702" t="s">
        <v>46</v>
      </c>
      <c r="J1702">
        <v>8500000</v>
      </c>
      <c r="K1702">
        <v>0</v>
      </c>
      <c r="L1702" t="s">
        <v>32</v>
      </c>
      <c r="M1702" t="s">
        <v>7</v>
      </c>
      <c r="N1702" t="b">
        <v>0</v>
      </c>
    </row>
    <row r="1703" spans="1:14" x14ac:dyDescent="0.3">
      <c r="A1703" t="s">
        <v>31</v>
      </c>
      <c r="B1703" t="s">
        <v>32</v>
      </c>
      <c r="C1703">
        <v>3</v>
      </c>
      <c r="E1703" t="s">
        <v>175</v>
      </c>
      <c r="F1703">
        <v>2703</v>
      </c>
      <c r="G1703">
        <v>2</v>
      </c>
      <c r="H1703">
        <v>5.9466000000000001</v>
      </c>
      <c r="I1703" t="s">
        <v>46</v>
      </c>
      <c r="J1703">
        <v>8500000</v>
      </c>
      <c r="K1703">
        <v>50546100</v>
      </c>
      <c r="L1703" t="s">
        <v>32</v>
      </c>
      <c r="M1703" t="s">
        <v>7</v>
      </c>
      <c r="N1703" t="b">
        <v>0</v>
      </c>
    </row>
    <row r="1704" spans="1:14" x14ac:dyDescent="0.3">
      <c r="A1704" t="s">
        <v>31</v>
      </c>
      <c r="B1704" t="s">
        <v>32</v>
      </c>
      <c r="C1704">
        <v>4</v>
      </c>
      <c r="E1704" t="s">
        <v>49</v>
      </c>
      <c r="F1704">
        <v>120</v>
      </c>
      <c r="G1704">
        <v>4</v>
      </c>
      <c r="H1704">
        <v>0.48</v>
      </c>
      <c r="I1704" t="s">
        <v>46</v>
      </c>
      <c r="J1704">
        <v>8500000</v>
      </c>
      <c r="K1704">
        <v>4080000</v>
      </c>
      <c r="L1704" t="s">
        <v>32</v>
      </c>
      <c r="M1704" t="s">
        <v>7</v>
      </c>
      <c r="N1704" t="b">
        <v>0</v>
      </c>
    </row>
    <row r="1705" spans="1:14" x14ac:dyDescent="0.3">
      <c r="A1705" t="s">
        <v>31</v>
      </c>
      <c r="B1705" t="s">
        <v>32</v>
      </c>
      <c r="C1705">
        <v>5</v>
      </c>
      <c r="E1705" t="s">
        <v>50</v>
      </c>
      <c r="F1705">
        <v>180</v>
      </c>
      <c r="G1705">
        <v>4</v>
      </c>
      <c r="H1705">
        <v>0.68817600000000001</v>
      </c>
      <c r="I1705" t="s">
        <v>46</v>
      </c>
      <c r="J1705">
        <v>8500000</v>
      </c>
      <c r="K1705">
        <v>5849496</v>
      </c>
      <c r="L1705" t="s">
        <v>32</v>
      </c>
      <c r="M1705" t="s">
        <v>7</v>
      </c>
      <c r="N1705" t="b">
        <v>0</v>
      </c>
    </row>
    <row r="1706" spans="1:14" x14ac:dyDescent="0.3">
      <c r="A1706" t="s">
        <v>31</v>
      </c>
      <c r="B1706" t="s">
        <v>32</v>
      </c>
      <c r="C1706">
        <v>6</v>
      </c>
      <c r="E1706" t="s">
        <v>51</v>
      </c>
      <c r="F1706">
        <v>2970</v>
      </c>
      <c r="G1706">
        <v>4</v>
      </c>
      <c r="H1706">
        <v>10.58508</v>
      </c>
      <c r="I1706" t="s">
        <v>46</v>
      </c>
      <c r="J1706">
        <v>8500000</v>
      </c>
      <c r="K1706">
        <v>89973180.000000015</v>
      </c>
      <c r="L1706" t="s">
        <v>32</v>
      </c>
      <c r="M1706" t="s">
        <v>7</v>
      </c>
      <c r="N1706" t="b">
        <v>0</v>
      </c>
    </row>
    <row r="1707" spans="1:14" x14ac:dyDescent="0.3">
      <c r="A1707" t="s">
        <v>31</v>
      </c>
      <c r="B1707" t="s">
        <v>32</v>
      </c>
      <c r="C1707">
        <v>7</v>
      </c>
      <c r="D1707" t="s">
        <v>52</v>
      </c>
      <c r="E1707" t="s">
        <v>53</v>
      </c>
      <c r="F1707">
        <v>0.13</v>
      </c>
      <c r="G1707">
        <v>1.68696</v>
      </c>
      <c r="H1707">
        <v>1.68696</v>
      </c>
      <c r="I1707" t="s">
        <v>54</v>
      </c>
      <c r="J1707">
        <v>4275000</v>
      </c>
      <c r="K1707">
        <v>7211754</v>
      </c>
      <c r="L1707" t="s">
        <v>32</v>
      </c>
      <c r="M1707" t="s">
        <v>7</v>
      </c>
      <c r="N1707" t="b">
        <v>0</v>
      </c>
    </row>
    <row r="1708" spans="1:14" x14ac:dyDescent="0.3">
      <c r="A1708" t="s">
        <v>31</v>
      </c>
      <c r="B1708" t="s">
        <v>32</v>
      </c>
      <c r="C1708">
        <v>8</v>
      </c>
      <c r="E1708" t="s">
        <v>55</v>
      </c>
      <c r="F1708">
        <v>0.35</v>
      </c>
      <c r="G1708">
        <v>0.74226239999999999</v>
      </c>
      <c r="H1708">
        <v>0.74226239999999999</v>
      </c>
      <c r="I1708" t="s">
        <v>46</v>
      </c>
      <c r="J1708">
        <v>35750000</v>
      </c>
      <c r="K1708">
        <v>26535880.800000001</v>
      </c>
      <c r="L1708" t="s">
        <v>32</v>
      </c>
      <c r="M1708" t="s">
        <v>7</v>
      </c>
      <c r="N1708" t="b">
        <v>0</v>
      </c>
    </row>
    <row r="1709" spans="1:14" x14ac:dyDescent="0.3">
      <c r="A1709" t="s">
        <v>31</v>
      </c>
      <c r="B1709" t="s">
        <v>32</v>
      </c>
      <c r="C1709">
        <v>9</v>
      </c>
      <c r="E1709" t="s">
        <v>55</v>
      </c>
      <c r="F1709">
        <v>0.2</v>
      </c>
      <c r="G1709">
        <v>0</v>
      </c>
      <c r="H1709">
        <v>0</v>
      </c>
      <c r="I1709" t="s">
        <v>46</v>
      </c>
      <c r="J1709">
        <v>45760000</v>
      </c>
      <c r="K1709">
        <v>0</v>
      </c>
      <c r="L1709" t="s">
        <v>32</v>
      </c>
      <c r="M1709" t="s">
        <v>7</v>
      </c>
      <c r="N1709" t="b">
        <v>0</v>
      </c>
    </row>
    <row r="1710" spans="1:14" x14ac:dyDescent="0.3">
      <c r="A1710" t="s">
        <v>31</v>
      </c>
      <c r="B1710" t="s">
        <v>32</v>
      </c>
      <c r="C1710">
        <v>10</v>
      </c>
      <c r="D1710" t="s">
        <v>56</v>
      </c>
      <c r="E1710" t="s">
        <v>57</v>
      </c>
      <c r="G1710">
        <v>13.6046</v>
      </c>
      <c r="H1710">
        <v>13.6046</v>
      </c>
      <c r="I1710" t="s">
        <v>46</v>
      </c>
      <c r="J1710">
        <v>1430000</v>
      </c>
      <c r="K1710">
        <v>19454578</v>
      </c>
      <c r="L1710" t="s">
        <v>32</v>
      </c>
      <c r="M1710" t="s">
        <v>7</v>
      </c>
      <c r="N1710" t="b">
        <v>0</v>
      </c>
    </row>
    <row r="1711" spans="1:14" x14ac:dyDescent="0.3">
      <c r="A1711" t="s">
        <v>31</v>
      </c>
      <c r="B1711" t="s">
        <v>32</v>
      </c>
      <c r="C1711">
        <v>11</v>
      </c>
      <c r="D1711" t="s">
        <v>58</v>
      </c>
      <c r="E1711" t="s">
        <v>59</v>
      </c>
      <c r="G1711">
        <v>8</v>
      </c>
      <c r="H1711">
        <v>8</v>
      </c>
      <c r="I1711" t="s">
        <v>46</v>
      </c>
      <c r="J1711">
        <v>1600000</v>
      </c>
      <c r="K1711">
        <v>12800000</v>
      </c>
      <c r="L1711" t="s">
        <v>32</v>
      </c>
      <c r="M1711" t="s">
        <v>7</v>
      </c>
      <c r="N1711" t="b">
        <v>0</v>
      </c>
    </row>
    <row r="1712" spans="1:14" x14ac:dyDescent="0.3">
      <c r="A1712" t="s">
        <v>31</v>
      </c>
      <c r="B1712" t="s">
        <v>32</v>
      </c>
      <c r="C1712">
        <v>12</v>
      </c>
      <c r="E1712" t="s">
        <v>60</v>
      </c>
      <c r="G1712">
        <v>10.58508</v>
      </c>
      <c r="H1712">
        <v>10.58508</v>
      </c>
      <c r="I1712" t="s">
        <v>61</v>
      </c>
      <c r="J1712">
        <v>3600000</v>
      </c>
      <c r="K1712">
        <v>38106288.000000007</v>
      </c>
      <c r="L1712" t="s">
        <v>32</v>
      </c>
      <c r="M1712" t="s">
        <v>7</v>
      </c>
      <c r="N1712" t="b">
        <v>0</v>
      </c>
    </row>
    <row r="1713" spans="1:14" x14ac:dyDescent="0.3">
      <c r="A1713" t="s">
        <v>31</v>
      </c>
      <c r="B1713" t="s">
        <v>32</v>
      </c>
      <c r="C1713">
        <v>13</v>
      </c>
      <c r="D1713" t="s">
        <v>62</v>
      </c>
      <c r="E1713" t="s">
        <v>63</v>
      </c>
      <c r="G1713">
        <v>11.88</v>
      </c>
      <c r="H1713">
        <v>11.88</v>
      </c>
      <c r="I1713" t="s">
        <v>61</v>
      </c>
      <c r="J1713">
        <v>3600000</v>
      </c>
      <c r="K1713">
        <v>42768000</v>
      </c>
      <c r="L1713" t="s">
        <v>32</v>
      </c>
      <c r="M1713" t="s">
        <v>7</v>
      </c>
      <c r="N1713" t="b">
        <v>0</v>
      </c>
    </row>
    <row r="1714" spans="1:14" x14ac:dyDescent="0.3">
      <c r="A1714" t="s">
        <v>31</v>
      </c>
      <c r="B1714" t="s">
        <v>32</v>
      </c>
      <c r="C1714">
        <v>14</v>
      </c>
      <c r="E1714" t="s">
        <v>64</v>
      </c>
      <c r="G1714">
        <v>0.1</v>
      </c>
      <c r="H1714">
        <v>0.1</v>
      </c>
      <c r="I1714" t="s">
        <v>61</v>
      </c>
      <c r="J1714">
        <v>5500000</v>
      </c>
      <c r="K1714">
        <v>550000</v>
      </c>
      <c r="L1714" t="s">
        <v>32</v>
      </c>
      <c r="M1714" t="s">
        <v>7</v>
      </c>
      <c r="N1714" t="b">
        <v>0</v>
      </c>
    </row>
    <row r="1715" spans="1:14" x14ac:dyDescent="0.3">
      <c r="A1715" t="s">
        <v>31</v>
      </c>
      <c r="B1715" t="s">
        <v>32</v>
      </c>
      <c r="C1715">
        <v>15</v>
      </c>
      <c r="D1715" t="s">
        <v>65</v>
      </c>
      <c r="E1715" t="s">
        <v>66</v>
      </c>
      <c r="G1715" t="s">
        <v>67</v>
      </c>
      <c r="H1715" t="s">
        <v>67</v>
      </c>
      <c r="I1715" t="s">
        <v>61</v>
      </c>
      <c r="J1715">
        <v>200000</v>
      </c>
      <c r="K1715">
        <v>16000000</v>
      </c>
      <c r="L1715" t="s">
        <v>32</v>
      </c>
      <c r="M1715" t="s">
        <v>7</v>
      </c>
      <c r="N1715" t="b">
        <v>0</v>
      </c>
    </row>
    <row r="1716" spans="1:14" x14ac:dyDescent="0.3">
      <c r="A1716" t="s">
        <v>31</v>
      </c>
      <c r="B1716" t="s">
        <v>32</v>
      </c>
      <c r="C1716">
        <v>16</v>
      </c>
      <c r="E1716" t="s">
        <v>68</v>
      </c>
      <c r="G1716">
        <v>8</v>
      </c>
      <c r="H1716">
        <v>8</v>
      </c>
      <c r="I1716" t="s">
        <v>61</v>
      </c>
      <c r="J1716">
        <v>200000</v>
      </c>
      <c r="K1716">
        <v>1600000</v>
      </c>
      <c r="L1716" t="s">
        <v>32</v>
      </c>
      <c r="M1716" t="s">
        <v>7</v>
      </c>
      <c r="N1716" t="b">
        <v>0</v>
      </c>
    </row>
    <row r="1717" spans="1:14" x14ac:dyDescent="0.3">
      <c r="A1717" t="s">
        <v>31</v>
      </c>
      <c r="B1717" t="s">
        <v>32</v>
      </c>
      <c r="C1717">
        <v>17</v>
      </c>
      <c r="E1717" t="s">
        <v>69</v>
      </c>
      <c r="G1717">
        <v>88</v>
      </c>
      <c r="H1717">
        <v>88</v>
      </c>
      <c r="I1717" t="s">
        <v>61</v>
      </c>
      <c r="J1717">
        <v>200000</v>
      </c>
      <c r="K1717">
        <v>17600000</v>
      </c>
      <c r="L1717" t="s">
        <v>32</v>
      </c>
      <c r="M1717" t="s">
        <v>7</v>
      </c>
      <c r="N1717" t="b">
        <v>0</v>
      </c>
    </row>
    <row r="1718" spans="1:14" x14ac:dyDescent="0.3">
      <c r="A1718" t="s">
        <v>31</v>
      </c>
      <c r="B1718" t="s">
        <v>32</v>
      </c>
      <c r="C1718">
        <v>18</v>
      </c>
      <c r="E1718" t="s">
        <v>70</v>
      </c>
      <c r="G1718">
        <v>16</v>
      </c>
      <c r="H1718">
        <v>16</v>
      </c>
      <c r="I1718" t="s">
        <v>61</v>
      </c>
      <c r="J1718">
        <v>400000</v>
      </c>
      <c r="K1718">
        <v>6400000</v>
      </c>
      <c r="L1718" t="s">
        <v>32</v>
      </c>
      <c r="M1718" t="s">
        <v>7</v>
      </c>
      <c r="N1718" t="b">
        <v>0</v>
      </c>
    </row>
    <row r="1719" spans="1:14" x14ac:dyDescent="0.3">
      <c r="A1719" t="s">
        <v>31</v>
      </c>
      <c r="B1719" t="s">
        <v>32</v>
      </c>
      <c r="C1719">
        <v>19</v>
      </c>
      <c r="E1719" t="s">
        <v>71</v>
      </c>
      <c r="G1719">
        <v>16</v>
      </c>
      <c r="H1719">
        <v>16</v>
      </c>
      <c r="I1719" t="s">
        <v>61</v>
      </c>
      <c r="J1719">
        <v>120000</v>
      </c>
      <c r="K1719">
        <v>1920000</v>
      </c>
      <c r="L1719" t="s">
        <v>32</v>
      </c>
      <c r="M1719" t="s">
        <v>7</v>
      </c>
      <c r="N1719" t="b">
        <v>0</v>
      </c>
    </row>
    <row r="1720" spans="1:14" x14ac:dyDescent="0.3">
      <c r="A1720" t="s">
        <v>31</v>
      </c>
      <c r="B1720" t="s">
        <v>32</v>
      </c>
      <c r="C1720">
        <v>20</v>
      </c>
      <c r="E1720" t="s">
        <v>72</v>
      </c>
      <c r="G1720">
        <v>24</v>
      </c>
      <c r="H1720">
        <v>24</v>
      </c>
      <c r="I1720" t="s">
        <v>61</v>
      </c>
      <c r="J1720">
        <v>400000</v>
      </c>
      <c r="K1720">
        <v>9600000</v>
      </c>
      <c r="L1720" t="s">
        <v>32</v>
      </c>
      <c r="M1720" t="s">
        <v>7</v>
      </c>
      <c r="N1720" t="b">
        <v>0</v>
      </c>
    </row>
    <row r="1721" spans="1:14" x14ac:dyDescent="0.3">
      <c r="A1721" t="s">
        <v>31</v>
      </c>
      <c r="B1721" t="s">
        <v>32</v>
      </c>
      <c r="C1721">
        <v>21</v>
      </c>
      <c r="D1721" t="s">
        <v>73</v>
      </c>
      <c r="E1721" t="s">
        <v>74</v>
      </c>
      <c r="F1721">
        <v>132</v>
      </c>
      <c r="G1721">
        <v>8</v>
      </c>
      <c r="H1721">
        <v>1.5611904000000001</v>
      </c>
      <c r="I1721" t="s">
        <v>46</v>
      </c>
      <c r="J1721">
        <v>35000000</v>
      </c>
      <c r="K1721">
        <v>54641664</v>
      </c>
      <c r="L1721" t="s">
        <v>32</v>
      </c>
      <c r="M1721" t="s">
        <v>7</v>
      </c>
      <c r="N1721" t="b">
        <v>0</v>
      </c>
    </row>
    <row r="1722" spans="1:14" x14ac:dyDescent="0.3">
      <c r="A1722" t="s">
        <v>31</v>
      </c>
      <c r="B1722" t="s">
        <v>32</v>
      </c>
      <c r="C1722">
        <v>22</v>
      </c>
      <c r="D1722" t="s">
        <v>75</v>
      </c>
      <c r="E1722" t="s">
        <v>76</v>
      </c>
      <c r="F1722" t="s">
        <v>77</v>
      </c>
      <c r="G1722">
        <v>2</v>
      </c>
      <c r="H1722">
        <v>0.8</v>
      </c>
      <c r="I1722" t="s">
        <v>46</v>
      </c>
      <c r="J1722">
        <v>5200000</v>
      </c>
      <c r="K1722">
        <v>4160000</v>
      </c>
      <c r="L1722" t="s">
        <v>32</v>
      </c>
      <c r="M1722" t="s">
        <v>7</v>
      </c>
      <c r="N1722" t="b">
        <v>0</v>
      </c>
    </row>
    <row r="1723" spans="1:14" x14ac:dyDescent="0.3">
      <c r="A1723" t="s">
        <v>31</v>
      </c>
      <c r="B1723" t="s">
        <v>32</v>
      </c>
      <c r="C1723">
        <v>23</v>
      </c>
      <c r="E1723" t="s">
        <v>78</v>
      </c>
      <c r="F1723" t="s">
        <v>79</v>
      </c>
      <c r="G1723">
        <v>2</v>
      </c>
      <c r="H1723">
        <v>1.2</v>
      </c>
      <c r="I1723" t="s">
        <v>46</v>
      </c>
      <c r="J1723">
        <v>5200000</v>
      </c>
      <c r="K1723">
        <v>6240000</v>
      </c>
      <c r="L1723" t="s">
        <v>32</v>
      </c>
      <c r="M1723" t="s">
        <v>7</v>
      </c>
      <c r="N1723" t="b">
        <v>0</v>
      </c>
    </row>
    <row r="1724" spans="1:14" x14ac:dyDescent="0.3">
      <c r="A1724" t="s">
        <v>31</v>
      </c>
      <c r="B1724" t="s">
        <v>32</v>
      </c>
      <c r="C1724">
        <v>24</v>
      </c>
      <c r="D1724" t="s">
        <v>80</v>
      </c>
      <c r="E1724" t="s">
        <v>81</v>
      </c>
      <c r="F1724" t="s">
        <v>174</v>
      </c>
      <c r="G1724">
        <v>2</v>
      </c>
      <c r="H1724">
        <v>0.41689399999999999</v>
      </c>
      <c r="I1724" t="s">
        <v>46</v>
      </c>
      <c r="J1724">
        <v>8500000</v>
      </c>
      <c r="K1724">
        <v>3543599</v>
      </c>
      <c r="L1724" t="s">
        <v>32</v>
      </c>
      <c r="M1724" t="s">
        <v>7</v>
      </c>
      <c r="N1724" t="b">
        <v>0</v>
      </c>
    </row>
    <row r="1725" spans="1:14" x14ac:dyDescent="0.3">
      <c r="A1725" t="s">
        <v>31</v>
      </c>
      <c r="B1725" t="s">
        <v>32</v>
      </c>
      <c r="C1725">
        <v>25</v>
      </c>
      <c r="D1725" t="s">
        <v>83</v>
      </c>
      <c r="E1725" t="s">
        <v>84</v>
      </c>
      <c r="F1725">
        <v>0.18</v>
      </c>
      <c r="G1725" t="s">
        <v>85</v>
      </c>
      <c r="H1725" t="s">
        <v>85</v>
      </c>
      <c r="I1725" t="s">
        <v>61</v>
      </c>
      <c r="J1725">
        <v>585000</v>
      </c>
      <c r="K1725">
        <v>1170000</v>
      </c>
      <c r="L1725" t="s">
        <v>32</v>
      </c>
      <c r="M1725" t="s">
        <v>7</v>
      </c>
      <c r="N1725" t="b">
        <v>0</v>
      </c>
    </row>
    <row r="1726" spans="1:14" x14ac:dyDescent="0.3">
      <c r="A1726" t="s">
        <v>31</v>
      </c>
      <c r="B1726" t="s">
        <v>32</v>
      </c>
      <c r="C1726">
        <v>26</v>
      </c>
      <c r="E1726" t="s">
        <v>86</v>
      </c>
      <c r="F1726">
        <v>0.2</v>
      </c>
      <c r="G1726" t="s">
        <v>87</v>
      </c>
      <c r="H1726" t="s">
        <v>87</v>
      </c>
      <c r="I1726" t="s">
        <v>61</v>
      </c>
      <c r="J1726">
        <v>585000</v>
      </c>
      <c r="K1726">
        <v>1755000</v>
      </c>
      <c r="L1726" t="s">
        <v>32</v>
      </c>
      <c r="M1726" t="s">
        <v>7</v>
      </c>
      <c r="N1726" t="b">
        <v>0</v>
      </c>
    </row>
    <row r="1727" spans="1:14" x14ac:dyDescent="0.3">
      <c r="A1727" t="s">
        <v>31</v>
      </c>
      <c r="B1727" t="s">
        <v>32</v>
      </c>
      <c r="C1727">
        <v>27</v>
      </c>
      <c r="D1727" t="s">
        <v>88</v>
      </c>
      <c r="E1727" t="s">
        <v>89</v>
      </c>
      <c r="F1727" t="s">
        <v>90</v>
      </c>
      <c r="G1727">
        <v>1</v>
      </c>
      <c r="H1727">
        <v>1</v>
      </c>
      <c r="I1727" t="s">
        <v>61</v>
      </c>
      <c r="J1727">
        <v>100000</v>
      </c>
      <c r="K1727">
        <v>100000</v>
      </c>
      <c r="L1727" t="s">
        <v>32</v>
      </c>
      <c r="M1727" t="s">
        <v>7</v>
      </c>
      <c r="N1727" t="b">
        <v>0</v>
      </c>
    </row>
    <row r="1728" spans="1:14" x14ac:dyDescent="0.3">
      <c r="A1728" t="s">
        <v>31</v>
      </c>
      <c r="B1728" t="s">
        <v>32</v>
      </c>
      <c r="C1728">
        <v>28</v>
      </c>
      <c r="D1728" t="s">
        <v>65</v>
      </c>
      <c r="E1728" t="s">
        <v>91</v>
      </c>
      <c r="G1728">
        <v>2</v>
      </c>
      <c r="H1728">
        <v>2</v>
      </c>
      <c r="I1728" t="s">
        <v>61</v>
      </c>
      <c r="J1728">
        <v>2400000</v>
      </c>
      <c r="K1728">
        <v>4800000</v>
      </c>
      <c r="L1728" t="s">
        <v>32</v>
      </c>
      <c r="M1728" t="s">
        <v>7</v>
      </c>
      <c r="N1728" t="b">
        <v>0</v>
      </c>
    </row>
    <row r="1729" spans="1:14" x14ac:dyDescent="0.3">
      <c r="A1729" t="s">
        <v>31</v>
      </c>
      <c r="B1729" t="s">
        <v>32</v>
      </c>
      <c r="C1729">
        <v>29</v>
      </c>
      <c r="E1729" t="s">
        <v>92</v>
      </c>
      <c r="G1729">
        <v>2</v>
      </c>
      <c r="H1729">
        <v>2</v>
      </c>
      <c r="I1729" t="s">
        <v>61</v>
      </c>
      <c r="J1729">
        <v>2400000</v>
      </c>
      <c r="K1729">
        <v>4800000</v>
      </c>
      <c r="L1729" t="s">
        <v>32</v>
      </c>
      <c r="M1729" t="s">
        <v>7</v>
      </c>
      <c r="N1729" t="b">
        <v>0</v>
      </c>
    </row>
    <row r="1730" spans="1:14" x14ac:dyDescent="0.3">
      <c r="A1730" t="s">
        <v>31</v>
      </c>
      <c r="B1730" t="s">
        <v>32</v>
      </c>
      <c r="C1730">
        <v>30</v>
      </c>
      <c r="E1730" t="s">
        <v>93</v>
      </c>
      <c r="G1730">
        <v>2</v>
      </c>
      <c r="H1730">
        <v>2</v>
      </c>
      <c r="I1730" t="s">
        <v>61</v>
      </c>
      <c r="J1730">
        <v>3000000</v>
      </c>
      <c r="K1730">
        <v>6000000</v>
      </c>
      <c r="L1730" t="s">
        <v>32</v>
      </c>
      <c r="M1730" t="s">
        <v>7</v>
      </c>
      <c r="N1730" t="b">
        <v>0</v>
      </c>
    </row>
    <row r="1731" spans="1:14" x14ac:dyDescent="0.3">
      <c r="A1731" t="s">
        <v>31</v>
      </c>
      <c r="B1731" t="s">
        <v>32</v>
      </c>
      <c r="C1731">
        <v>31</v>
      </c>
      <c r="D1731" t="s">
        <v>94</v>
      </c>
      <c r="E1731" t="s">
        <v>95</v>
      </c>
      <c r="G1731">
        <v>2</v>
      </c>
      <c r="H1731">
        <v>2</v>
      </c>
      <c r="I1731" t="s">
        <v>61</v>
      </c>
      <c r="J1731">
        <v>1300000</v>
      </c>
      <c r="K1731">
        <v>2600000</v>
      </c>
      <c r="L1731" t="s">
        <v>32</v>
      </c>
      <c r="M1731" t="s">
        <v>7</v>
      </c>
      <c r="N1731" t="b">
        <v>0</v>
      </c>
    </row>
    <row r="1732" spans="1:14" x14ac:dyDescent="0.3">
      <c r="A1732" t="s">
        <v>31</v>
      </c>
      <c r="B1732" t="s">
        <v>32</v>
      </c>
      <c r="C1732">
        <v>32</v>
      </c>
      <c r="D1732" t="s">
        <v>94</v>
      </c>
      <c r="E1732" t="s">
        <v>96</v>
      </c>
      <c r="G1732">
        <v>4</v>
      </c>
      <c r="H1732">
        <v>10.811999999999999</v>
      </c>
      <c r="I1732" t="s">
        <v>97</v>
      </c>
      <c r="J1732">
        <v>460000</v>
      </c>
      <c r="K1732">
        <v>4973520</v>
      </c>
      <c r="L1732" t="s">
        <v>32</v>
      </c>
      <c r="M1732" t="s">
        <v>7</v>
      </c>
      <c r="N1732" t="b">
        <v>0</v>
      </c>
    </row>
    <row r="1733" spans="1:14" x14ac:dyDescent="0.3">
      <c r="A1733" t="s">
        <v>31</v>
      </c>
      <c r="B1733" t="s">
        <v>32</v>
      </c>
      <c r="C1733">
        <v>33</v>
      </c>
      <c r="D1733" t="s">
        <v>98</v>
      </c>
      <c r="E1733" t="s">
        <v>99</v>
      </c>
      <c r="F1733">
        <v>50</v>
      </c>
      <c r="G1733">
        <v>8</v>
      </c>
      <c r="H1733">
        <v>0.8</v>
      </c>
      <c r="I1733" t="s">
        <v>100</v>
      </c>
      <c r="J1733">
        <v>3414400.0000000005</v>
      </c>
      <c r="K1733">
        <v>2731520.0000000005</v>
      </c>
      <c r="L1733" t="s">
        <v>32</v>
      </c>
      <c r="M1733" t="s">
        <v>7</v>
      </c>
      <c r="N1733" t="b">
        <v>0</v>
      </c>
    </row>
    <row r="1734" spans="1:14" x14ac:dyDescent="0.3">
      <c r="A1734" t="s">
        <v>31</v>
      </c>
      <c r="B1734" t="s">
        <v>32</v>
      </c>
      <c r="C1734">
        <v>28</v>
      </c>
      <c r="E1734" t="s">
        <v>101</v>
      </c>
      <c r="H1734">
        <v>6</v>
      </c>
      <c r="I1734" t="s">
        <v>102</v>
      </c>
      <c r="J1734">
        <v>13000000</v>
      </c>
      <c r="K1734">
        <v>78000000</v>
      </c>
      <c r="L1734" t="s">
        <v>32</v>
      </c>
      <c r="M1734" t="s">
        <v>7</v>
      </c>
      <c r="N1734" t="b">
        <v>0</v>
      </c>
    </row>
    <row r="1735" spans="1:14" x14ac:dyDescent="0.3">
      <c r="A1735" t="s">
        <v>31</v>
      </c>
      <c r="B1735" t="s">
        <v>8</v>
      </c>
      <c r="C1735">
        <v>1</v>
      </c>
      <c r="D1735" t="s">
        <v>44</v>
      </c>
      <c r="E1735" t="s">
        <v>45</v>
      </c>
      <c r="F1735">
        <v>0.76800000000000002</v>
      </c>
      <c r="G1735">
        <v>2</v>
      </c>
      <c r="H1735">
        <v>2.1503999999999999</v>
      </c>
      <c r="I1735" t="s">
        <v>46</v>
      </c>
      <c r="J1735">
        <v>8500000</v>
      </c>
      <c r="K1735">
        <v>18278400</v>
      </c>
      <c r="L1735" t="s">
        <v>8</v>
      </c>
      <c r="M1735" t="s">
        <v>7</v>
      </c>
      <c r="N1735" t="b">
        <v>0</v>
      </c>
    </row>
    <row r="1736" spans="1:14" x14ac:dyDescent="0.3">
      <c r="A1736" t="s">
        <v>31</v>
      </c>
      <c r="B1736" t="s">
        <v>8</v>
      </c>
      <c r="C1736">
        <v>2</v>
      </c>
      <c r="E1736" t="s">
        <v>47</v>
      </c>
      <c r="F1736">
        <v>0</v>
      </c>
      <c r="G1736">
        <v>0</v>
      </c>
      <c r="H1736">
        <v>0</v>
      </c>
      <c r="I1736" t="s">
        <v>46</v>
      </c>
      <c r="J1736">
        <v>8500000</v>
      </c>
      <c r="K1736">
        <v>0</v>
      </c>
      <c r="L1736" t="s">
        <v>8</v>
      </c>
      <c r="M1736" t="s">
        <v>7</v>
      </c>
      <c r="N1736" t="b">
        <v>0</v>
      </c>
    </row>
    <row r="1737" spans="1:14" x14ac:dyDescent="0.3">
      <c r="A1737" t="s">
        <v>31</v>
      </c>
      <c r="B1737" t="s">
        <v>8</v>
      </c>
      <c r="C1737">
        <v>3</v>
      </c>
      <c r="E1737" t="s">
        <v>175</v>
      </c>
      <c r="F1737">
        <v>0.70299999999999996</v>
      </c>
      <c r="G1737">
        <v>2</v>
      </c>
      <c r="H1737">
        <v>1.5466</v>
      </c>
      <c r="I1737" t="s">
        <v>46</v>
      </c>
      <c r="J1737">
        <v>8500000</v>
      </c>
      <c r="K1737">
        <v>13146100</v>
      </c>
      <c r="L1737" t="s">
        <v>8</v>
      </c>
      <c r="M1737" t="s">
        <v>7</v>
      </c>
      <c r="N1737" t="b">
        <v>0</v>
      </c>
    </row>
    <row r="1738" spans="1:14" x14ac:dyDescent="0.3">
      <c r="A1738" t="s">
        <v>31</v>
      </c>
      <c r="B1738" t="s">
        <v>8</v>
      </c>
      <c r="C1738">
        <v>4</v>
      </c>
      <c r="E1738" t="s">
        <v>49</v>
      </c>
      <c r="F1738">
        <v>120</v>
      </c>
      <c r="G1738">
        <v>4</v>
      </c>
      <c r="H1738">
        <v>0.48</v>
      </c>
      <c r="I1738" t="s">
        <v>46</v>
      </c>
      <c r="J1738">
        <v>8500000</v>
      </c>
      <c r="K1738">
        <v>4080000</v>
      </c>
      <c r="L1738" t="s">
        <v>8</v>
      </c>
      <c r="M1738" t="s">
        <v>7</v>
      </c>
      <c r="N1738" t="b">
        <v>0</v>
      </c>
    </row>
    <row r="1739" spans="1:14" x14ac:dyDescent="0.3">
      <c r="A1739" t="s">
        <v>31</v>
      </c>
      <c r="B1739" t="s">
        <v>8</v>
      </c>
      <c r="C1739">
        <v>5</v>
      </c>
      <c r="E1739" t="s">
        <v>50</v>
      </c>
      <c r="F1739">
        <v>180</v>
      </c>
      <c r="G1739">
        <v>4</v>
      </c>
      <c r="H1739">
        <v>0.68817600000000001</v>
      </c>
      <c r="I1739" t="s">
        <v>46</v>
      </c>
      <c r="J1739">
        <v>8500000</v>
      </c>
      <c r="K1739">
        <v>5849496</v>
      </c>
      <c r="L1739" t="s">
        <v>8</v>
      </c>
      <c r="M1739" t="s">
        <v>7</v>
      </c>
      <c r="N1739" t="b">
        <v>0</v>
      </c>
    </row>
    <row r="1740" spans="1:14" x14ac:dyDescent="0.3">
      <c r="A1740" t="s">
        <v>31</v>
      </c>
      <c r="B1740" t="s">
        <v>8</v>
      </c>
      <c r="C1740">
        <v>6</v>
      </c>
      <c r="E1740" t="s">
        <v>51</v>
      </c>
      <c r="F1740">
        <v>0.96299999999999997</v>
      </c>
      <c r="G1740">
        <v>4</v>
      </c>
      <c r="H1740">
        <v>3.4321320000000006</v>
      </c>
      <c r="I1740" t="s">
        <v>46</v>
      </c>
      <c r="J1740">
        <v>8500000</v>
      </c>
      <c r="K1740">
        <v>29173122.000000004</v>
      </c>
      <c r="L1740" t="s">
        <v>8</v>
      </c>
      <c r="M1740" t="s">
        <v>7</v>
      </c>
      <c r="N1740" t="b">
        <v>0</v>
      </c>
    </row>
    <row r="1741" spans="1:14" x14ac:dyDescent="0.3">
      <c r="A1741" t="s">
        <v>31</v>
      </c>
      <c r="B1741" t="s">
        <v>8</v>
      </c>
      <c r="C1741">
        <v>7</v>
      </c>
      <c r="D1741" t="s">
        <v>52</v>
      </c>
      <c r="E1741" t="s">
        <v>53</v>
      </c>
      <c r="F1741">
        <v>0.13</v>
      </c>
      <c r="G1741">
        <v>0.54698400000000003</v>
      </c>
      <c r="H1741">
        <v>0.54698400000000003</v>
      </c>
      <c r="I1741" t="s">
        <v>54</v>
      </c>
      <c r="J1741">
        <v>4275000</v>
      </c>
      <c r="K1741">
        <v>2338356.6</v>
      </c>
      <c r="L1741" t="s">
        <v>8</v>
      </c>
      <c r="M1741" t="s">
        <v>7</v>
      </c>
      <c r="N1741" t="b">
        <v>0</v>
      </c>
    </row>
    <row r="1742" spans="1:14" x14ac:dyDescent="0.3">
      <c r="A1742" t="s">
        <v>31</v>
      </c>
      <c r="B1742" t="s">
        <v>8</v>
      </c>
      <c r="C1742">
        <v>8</v>
      </c>
      <c r="E1742" t="s">
        <v>55</v>
      </c>
      <c r="F1742">
        <v>0.35</v>
      </c>
      <c r="G1742">
        <v>0</v>
      </c>
      <c r="H1742">
        <v>0</v>
      </c>
      <c r="I1742" t="s">
        <v>46</v>
      </c>
      <c r="J1742">
        <v>35750000</v>
      </c>
      <c r="K1742">
        <v>0</v>
      </c>
      <c r="L1742" t="s">
        <v>8</v>
      </c>
      <c r="M1742" t="s">
        <v>7</v>
      </c>
      <c r="N1742" t="b">
        <v>0</v>
      </c>
    </row>
    <row r="1743" spans="1:14" x14ac:dyDescent="0.3">
      <c r="A1743" t="s">
        <v>31</v>
      </c>
      <c r="B1743" t="s">
        <v>8</v>
      </c>
      <c r="C1743">
        <v>9</v>
      </c>
      <c r="E1743" t="s">
        <v>55</v>
      </c>
      <c r="F1743">
        <v>0.2</v>
      </c>
      <c r="G1743">
        <v>0.27349200000000001</v>
      </c>
      <c r="H1743">
        <v>0.27349200000000001</v>
      </c>
      <c r="I1743" t="s">
        <v>46</v>
      </c>
      <c r="J1743">
        <v>45760000</v>
      </c>
      <c r="K1743">
        <v>12514993.92</v>
      </c>
      <c r="L1743" t="s">
        <v>8</v>
      </c>
      <c r="M1743" t="s">
        <v>7</v>
      </c>
      <c r="N1743" t="b">
        <v>0</v>
      </c>
    </row>
    <row r="1744" spans="1:14" x14ac:dyDescent="0.3">
      <c r="A1744" t="s">
        <v>31</v>
      </c>
      <c r="B1744" t="s">
        <v>8</v>
      </c>
      <c r="C1744">
        <v>10</v>
      </c>
      <c r="D1744" t="s">
        <v>56</v>
      </c>
      <c r="E1744" t="s">
        <v>57</v>
      </c>
      <c r="G1744">
        <v>3.6970000000000001</v>
      </c>
      <c r="H1744">
        <v>3.6970000000000001</v>
      </c>
      <c r="I1744" t="s">
        <v>61</v>
      </c>
      <c r="J1744">
        <v>1430000</v>
      </c>
      <c r="K1744">
        <v>5286710</v>
      </c>
      <c r="L1744" t="s">
        <v>8</v>
      </c>
      <c r="M1744" t="s">
        <v>7</v>
      </c>
      <c r="N1744" t="b">
        <v>0</v>
      </c>
    </row>
    <row r="1745" spans="1:14" x14ac:dyDescent="0.3">
      <c r="A1745" t="s">
        <v>31</v>
      </c>
      <c r="B1745" t="s">
        <v>8</v>
      </c>
      <c r="C1745">
        <v>11</v>
      </c>
      <c r="D1745" t="s">
        <v>58</v>
      </c>
      <c r="E1745" t="s">
        <v>59</v>
      </c>
      <c r="G1745" t="s">
        <v>103</v>
      </c>
      <c r="H1745" t="s">
        <v>103</v>
      </c>
      <c r="I1745" t="s">
        <v>46</v>
      </c>
      <c r="J1745">
        <v>1600000</v>
      </c>
      <c r="K1745">
        <v>12800000</v>
      </c>
      <c r="L1745" t="s">
        <v>8</v>
      </c>
      <c r="M1745" t="s">
        <v>7</v>
      </c>
      <c r="N1745" t="b">
        <v>0</v>
      </c>
    </row>
    <row r="1746" spans="1:14" x14ac:dyDescent="0.3">
      <c r="A1746" t="s">
        <v>31</v>
      </c>
      <c r="B1746" t="s">
        <v>8</v>
      </c>
      <c r="C1746">
        <v>12</v>
      </c>
      <c r="E1746" t="s">
        <v>60</v>
      </c>
      <c r="G1746">
        <v>3.4321320000000006</v>
      </c>
      <c r="H1746">
        <v>3.4321320000000006</v>
      </c>
      <c r="I1746" t="s">
        <v>61</v>
      </c>
      <c r="J1746">
        <v>3600000</v>
      </c>
      <c r="K1746">
        <v>12355675.200000005</v>
      </c>
      <c r="L1746" t="s">
        <v>8</v>
      </c>
      <c r="M1746" t="s">
        <v>7</v>
      </c>
      <c r="N1746" t="b">
        <v>0</v>
      </c>
    </row>
    <row r="1747" spans="1:14" x14ac:dyDescent="0.3">
      <c r="A1747" t="s">
        <v>31</v>
      </c>
      <c r="B1747" t="s">
        <v>8</v>
      </c>
      <c r="C1747">
        <v>13</v>
      </c>
      <c r="D1747" t="s">
        <v>62</v>
      </c>
      <c r="E1747" t="s">
        <v>63</v>
      </c>
      <c r="G1747">
        <v>3.8519999999999999</v>
      </c>
      <c r="H1747">
        <v>3.8519999999999999</v>
      </c>
      <c r="I1747" t="s">
        <v>61</v>
      </c>
      <c r="J1747">
        <v>3600000</v>
      </c>
      <c r="K1747">
        <v>13867200</v>
      </c>
      <c r="L1747" t="s">
        <v>8</v>
      </c>
      <c r="M1747" t="s">
        <v>7</v>
      </c>
      <c r="N1747" t="b">
        <v>0</v>
      </c>
    </row>
    <row r="1748" spans="1:14" x14ac:dyDescent="0.3">
      <c r="A1748" t="s">
        <v>31</v>
      </c>
      <c r="B1748" t="s">
        <v>8</v>
      </c>
      <c r="C1748">
        <v>14</v>
      </c>
      <c r="E1748" t="s">
        <v>64</v>
      </c>
      <c r="G1748">
        <v>0.1</v>
      </c>
      <c r="H1748">
        <v>0.1</v>
      </c>
      <c r="I1748" t="s">
        <v>61</v>
      </c>
      <c r="J1748">
        <v>5500000</v>
      </c>
      <c r="K1748">
        <v>550000</v>
      </c>
      <c r="L1748" t="s">
        <v>8</v>
      </c>
      <c r="M1748" t="s">
        <v>7</v>
      </c>
      <c r="N1748" t="b">
        <v>0</v>
      </c>
    </row>
    <row r="1749" spans="1:14" x14ac:dyDescent="0.3">
      <c r="A1749" t="s">
        <v>31</v>
      </c>
      <c r="B1749" t="s">
        <v>8</v>
      </c>
      <c r="C1749">
        <v>15</v>
      </c>
      <c r="D1749" t="s">
        <v>65</v>
      </c>
      <c r="E1749" t="s">
        <v>66</v>
      </c>
      <c r="G1749">
        <v>20</v>
      </c>
      <c r="H1749">
        <v>20</v>
      </c>
      <c r="I1749" t="s">
        <v>61</v>
      </c>
      <c r="J1749">
        <v>200000</v>
      </c>
      <c r="K1749">
        <v>4000000</v>
      </c>
      <c r="L1749" t="s">
        <v>8</v>
      </c>
      <c r="M1749" t="s">
        <v>7</v>
      </c>
      <c r="N1749" t="b">
        <v>0</v>
      </c>
    </row>
    <row r="1750" spans="1:14" x14ac:dyDescent="0.3">
      <c r="A1750" t="s">
        <v>31</v>
      </c>
      <c r="B1750" t="s">
        <v>8</v>
      </c>
      <c r="C1750">
        <v>16</v>
      </c>
      <c r="E1750" t="s">
        <v>68</v>
      </c>
      <c r="G1750">
        <v>8</v>
      </c>
      <c r="H1750">
        <v>8</v>
      </c>
      <c r="I1750" t="s">
        <v>61</v>
      </c>
      <c r="J1750">
        <v>200000</v>
      </c>
      <c r="K1750">
        <v>1600000</v>
      </c>
      <c r="L1750" t="s">
        <v>8</v>
      </c>
      <c r="M1750" t="s">
        <v>7</v>
      </c>
      <c r="N1750" t="b">
        <v>0</v>
      </c>
    </row>
    <row r="1751" spans="1:14" x14ac:dyDescent="0.3">
      <c r="A1751" t="s">
        <v>31</v>
      </c>
      <c r="B1751" t="s">
        <v>8</v>
      </c>
      <c r="C1751">
        <v>17</v>
      </c>
      <c r="E1751" t="s">
        <v>69</v>
      </c>
      <c r="G1751">
        <v>28</v>
      </c>
      <c r="H1751">
        <v>28</v>
      </c>
      <c r="I1751" t="s">
        <v>61</v>
      </c>
      <c r="J1751">
        <v>200000</v>
      </c>
      <c r="K1751">
        <v>5600000</v>
      </c>
      <c r="L1751" t="s">
        <v>8</v>
      </c>
      <c r="M1751" t="s">
        <v>7</v>
      </c>
      <c r="N1751" t="b">
        <v>0</v>
      </c>
    </row>
    <row r="1752" spans="1:14" x14ac:dyDescent="0.3">
      <c r="A1752" t="s">
        <v>31</v>
      </c>
      <c r="B1752" t="s">
        <v>8</v>
      </c>
      <c r="C1752">
        <v>18</v>
      </c>
      <c r="E1752" t="s">
        <v>70</v>
      </c>
      <c r="G1752">
        <v>16</v>
      </c>
      <c r="H1752">
        <v>16</v>
      </c>
      <c r="I1752" t="s">
        <v>61</v>
      </c>
      <c r="J1752">
        <v>400000</v>
      </c>
      <c r="K1752">
        <v>6400000</v>
      </c>
      <c r="L1752" t="s">
        <v>8</v>
      </c>
      <c r="M1752" t="s">
        <v>7</v>
      </c>
      <c r="N1752" t="b">
        <v>0</v>
      </c>
    </row>
    <row r="1753" spans="1:14" x14ac:dyDescent="0.3">
      <c r="A1753" t="s">
        <v>31</v>
      </c>
      <c r="B1753" t="s">
        <v>8</v>
      </c>
      <c r="C1753">
        <v>19</v>
      </c>
      <c r="E1753" t="s">
        <v>71</v>
      </c>
      <c r="G1753">
        <v>16</v>
      </c>
      <c r="H1753">
        <v>16</v>
      </c>
      <c r="I1753" t="s">
        <v>61</v>
      </c>
      <c r="J1753">
        <v>120000</v>
      </c>
      <c r="K1753">
        <v>1920000</v>
      </c>
      <c r="L1753" t="s">
        <v>8</v>
      </c>
      <c r="M1753" t="s">
        <v>7</v>
      </c>
      <c r="N1753" t="b">
        <v>0</v>
      </c>
    </row>
    <row r="1754" spans="1:14" x14ac:dyDescent="0.3">
      <c r="A1754" t="s">
        <v>31</v>
      </c>
      <c r="B1754" t="s">
        <v>8</v>
      </c>
      <c r="C1754">
        <v>20</v>
      </c>
      <c r="E1754" t="s">
        <v>72</v>
      </c>
      <c r="G1754">
        <v>24</v>
      </c>
      <c r="H1754">
        <v>24</v>
      </c>
      <c r="I1754" t="s">
        <v>61</v>
      </c>
      <c r="J1754">
        <v>400000</v>
      </c>
      <c r="K1754">
        <v>9600000</v>
      </c>
      <c r="L1754" t="s">
        <v>8</v>
      </c>
      <c r="M1754" t="s">
        <v>7</v>
      </c>
      <c r="N1754" t="b">
        <v>0</v>
      </c>
    </row>
    <row r="1755" spans="1:14" x14ac:dyDescent="0.3">
      <c r="A1755" t="s">
        <v>31</v>
      </c>
      <c r="B1755" t="s">
        <v>8</v>
      </c>
      <c r="C1755">
        <v>21</v>
      </c>
      <c r="D1755" t="s">
        <v>73</v>
      </c>
      <c r="E1755" t="s">
        <v>74</v>
      </c>
      <c r="F1755">
        <v>132</v>
      </c>
      <c r="G1755" t="s">
        <v>103</v>
      </c>
      <c r="H1755">
        <v>1.5611904000000001</v>
      </c>
      <c r="I1755" t="s">
        <v>46</v>
      </c>
      <c r="J1755">
        <v>35000000</v>
      </c>
      <c r="K1755">
        <v>54641664</v>
      </c>
      <c r="L1755" t="s">
        <v>8</v>
      </c>
      <c r="M1755" t="s">
        <v>7</v>
      </c>
      <c r="N1755" t="b">
        <v>0</v>
      </c>
    </row>
    <row r="1756" spans="1:14" x14ac:dyDescent="0.3">
      <c r="A1756" t="s">
        <v>31</v>
      </c>
      <c r="B1756" t="s">
        <v>8</v>
      </c>
      <c r="C1756">
        <v>22</v>
      </c>
      <c r="D1756" t="s">
        <v>75</v>
      </c>
      <c r="E1756" t="s">
        <v>76</v>
      </c>
      <c r="F1756" t="s">
        <v>77</v>
      </c>
      <c r="G1756">
        <v>2</v>
      </c>
      <c r="H1756">
        <v>0.8</v>
      </c>
      <c r="I1756" t="s">
        <v>46</v>
      </c>
      <c r="J1756">
        <v>5200000</v>
      </c>
      <c r="K1756">
        <v>4160000</v>
      </c>
      <c r="L1756" t="s">
        <v>8</v>
      </c>
      <c r="M1756" t="s">
        <v>7</v>
      </c>
      <c r="N1756" t="b">
        <v>0</v>
      </c>
    </row>
    <row r="1757" spans="1:14" x14ac:dyDescent="0.3">
      <c r="A1757" t="s">
        <v>31</v>
      </c>
      <c r="B1757" t="s">
        <v>8</v>
      </c>
      <c r="C1757">
        <v>23</v>
      </c>
      <c r="E1757" t="s">
        <v>78</v>
      </c>
      <c r="F1757" t="s">
        <v>79</v>
      </c>
      <c r="G1757">
        <v>2</v>
      </c>
      <c r="H1757">
        <v>1.2</v>
      </c>
      <c r="I1757" t="s">
        <v>46</v>
      </c>
      <c r="J1757">
        <v>5200000</v>
      </c>
      <c r="K1757">
        <v>6240000</v>
      </c>
      <c r="L1757" t="s">
        <v>8</v>
      </c>
      <c r="M1757" t="s">
        <v>7</v>
      </c>
      <c r="N1757" t="b">
        <v>0</v>
      </c>
    </row>
    <row r="1758" spans="1:14" x14ac:dyDescent="0.3">
      <c r="A1758" t="s">
        <v>31</v>
      </c>
      <c r="B1758" t="s">
        <v>8</v>
      </c>
      <c r="C1758">
        <v>24</v>
      </c>
      <c r="D1758" t="s">
        <v>80</v>
      </c>
      <c r="E1758" t="s">
        <v>81</v>
      </c>
      <c r="F1758" t="s">
        <v>174</v>
      </c>
      <c r="G1758">
        <v>2</v>
      </c>
      <c r="H1758">
        <v>0.41689399999999999</v>
      </c>
      <c r="I1758" t="s">
        <v>46</v>
      </c>
      <c r="J1758">
        <v>8500000</v>
      </c>
      <c r="K1758">
        <v>3543599</v>
      </c>
      <c r="L1758" t="s">
        <v>8</v>
      </c>
      <c r="M1758" t="s">
        <v>7</v>
      </c>
      <c r="N1758" t="b">
        <v>0</v>
      </c>
    </row>
    <row r="1759" spans="1:14" x14ac:dyDescent="0.3">
      <c r="A1759" t="s">
        <v>31</v>
      </c>
      <c r="B1759" t="s">
        <v>8</v>
      </c>
      <c r="C1759">
        <v>25</v>
      </c>
      <c r="D1759" t="s">
        <v>83</v>
      </c>
      <c r="E1759" t="s">
        <v>84</v>
      </c>
      <c r="F1759">
        <v>0.18</v>
      </c>
      <c r="G1759">
        <v>2</v>
      </c>
      <c r="H1759">
        <v>2</v>
      </c>
      <c r="I1759" t="s">
        <v>61</v>
      </c>
      <c r="J1759">
        <v>585000</v>
      </c>
      <c r="K1759">
        <v>1170000</v>
      </c>
      <c r="L1759" t="s">
        <v>8</v>
      </c>
      <c r="M1759" t="s">
        <v>7</v>
      </c>
      <c r="N1759" t="b">
        <v>0</v>
      </c>
    </row>
    <row r="1760" spans="1:14" x14ac:dyDescent="0.3">
      <c r="A1760" t="s">
        <v>31</v>
      </c>
      <c r="B1760" t="s">
        <v>8</v>
      </c>
      <c r="C1760">
        <v>26</v>
      </c>
      <c r="E1760" t="s">
        <v>86</v>
      </c>
      <c r="F1760">
        <v>0.2</v>
      </c>
      <c r="G1760">
        <v>3</v>
      </c>
      <c r="H1760">
        <v>3</v>
      </c>
      <c r="I1760" t="s">
        <v>61</v>
      </c>
      <c r="J1760">
        <v>585000</v>
      </c>
      <c r="K1760">
        <v>1755000</v>
      </c>
      <c r="L1760" t="s">
        <v>8</v>
      </c>
      <c r="M1760" t="s">
        <v>7</v>
      </c>
      <c r="N1760" t="b">
        <v>0</v>
      </c>
    </row>
    <row r="1761" spans="1:14" x14ac:dyDescent="0.3">
      <c r="A1761" t="s">
        <v>31</v>
      </c>
      <c r="B1761" t="s">
        <v>8</v>
      </c>
      <c r="C1761">
        <v>27</v>
      </c>
      <c r="D1761" t="s">
        <v>88</v>
      </c>
      <c r="E1761" t="s">
        <v>89</v>
      </c>
      <c r="F1761" t="s">
        <v>90</v>
      </c>
      <c r="G1761">
        <v>1</v>
      </c>
      <c r="H1761">
        <v>1</v>
      </c>
      <c r="I1761" t="s">
        <v>61</v>
      </c>
      <c r="J1761">
        <v>100000</v>
      </c>
      <c r="K1761">
        <v>100000</v>
      </c>
      <c r="L1761" t="s">
        <v>8</v>
      </c>
      <c r="M1761" t="s">
        <v>7</v>
      </c>
      <c r="N1761" t="b">
        <v>0</v>
      </c>
    </row>
    <row r="1762" spans="1:14" x14ac:dyDescent="0.3">
      <c r="A1762" t="s">
        <v>31</v>
      </c>
      <c r="B1762" t="s">
        <v>8</v>
      </c>
      <c r="C1762">
        <v>28</v>
      </c>
      <c r="D1762" t="s">
        <v>65</v>
      </c>
      <c r="E1762" t="s">
        <v>91</v>
      </c>
      <c r="G1762">
        <v>2</v>
      </c>
      <c r="H1762">
        <v>2</v>
      </c>
      <c r="I1762" t="s">
        <v>61</v>
      </c>
      <c r="J1762">
        <v>2400000</v>
      </c>
      <c r="K1762">
        <v>4800000</v>
      </c>
      <c r="L1762" t="s">
        <v>8</v>
      </c>
      <c r="M1762" t="s">
        <v>7</v>
      </c>
      <c r="N1762" t="b">
        <v>0</v>
      </c>
    </row>
    <row r="1763" spans="1:14" x14ac:dyDescent="0.3">
      <c r="A1763" t="s">
        <v>31</v>
      </c>
      <c r="B1763" t="s">
        <v>8</v>
      </c>
      <c r="C1763">
        <v>29</v>
      </c>
      <c r="E1763" t="s">
        <v>92</v>
      </c>
      <c r="G1763">
        <v>2</v>
      </c>
      <c r="H1763">
        <v>2</v>
      </c>
      <c r="I1763" t="s">
        <v>61</v>
      </c>
      <c r="J1763">
        <v>2400000</v>
      </c>
      <c r="K1763">
        <v>4800000</v>
      </c>
      <c r="L1763" t="s">
        <v>8</v>
      </c>
      <c r="M1763" t="s">
        <v>7</v>
      </c>
      <c r="N1763" t="b">
        <v>0</v>
      </c>
    </row>
    <row r="1764" spans="1:14" x14ac:dyDescent="0.3">
      <c r="A1764" t="s">
        <v>31</v>
      </c>
      <c r="B1764" t="s">
        <v>8</v>
      </c>
      <c r="C1764">
        <v>30</v>
      </c>
      <c r="E1764" t="s">
        <v>93</v>
      </c>
      <c r="G1764">
        <v>2</v>
      </c>
      <c r="H1764">
        <v>2</v>
      </c>
      <c r="I1764" t="s">
        <v>61</v>
      </c>
      <c r="J1764">
        <v>3000000</v>
      </c>
      <c r="K1764">
        <v>6000000</v>
      </c>
      <c r="L1764" t="s">
        <v>8</v>
      </c>
      <c r="M1764" t="s">
        <v>7</v>
      </c>
      <c r="N1764" t="b">
        <v>0</v>
      </c>
    </row>
    <row r="1765" spans="1:14" x14ac:dyDescent="0.3">
      <c r="A1765" t="s">
        <v>31</v>
      </c>
      <c r="B1765" t="s">
        <v>8</v>
      </c>
      <c r="C1765">
        <v>31</v>
      </c>
      <c r="D1765" t="s">
        <v>104</v>
      </c>
      <c r="E1765" t="s">
        <v>105</v>
      </c>
      <c r="G1765">
        <v>1</v>
      </c>
      <c r="H1765">
        <v>2</v>
      </c>
      <c r="I1765" t="s">
        <v>61</v>
      </c>
      <c r="J1765">
        <v>30000000</v>
      </c>
      <c r="K1765">
        <v>60000000</v>
      </c>
      <c r="L1765" t="s">
        <v>8</v>
      </c>
      <c r="M1765" t="s">
        <v>7</v>
      </c>
      <c r="N1765" t="b">
        <v>0</v>
      </c>
    </row>
    <row r="1766" spans="1:14" x14ac:dyDescent="0.3">
      <c r="A1766" t="s">
        <v>31</v>
      </c>
      <c r="B1766" t="s">
        <v>8</v>
      </c>
      <c r="C1766">
        <v>32</v>
      </c>
      <c r="E1766" t="s">
        <v>106</v>
      </c>
      <c r="G1766">
        <v>1</v>
      </c>
      <c r="H1766">
        <v>4</v>
      </c>
      <c r="J1766">
        <v>12000000</v>
      </c>
      <c r="K1766">
        <v>48000000</v>
      </c>
      <c r="L1766" t="s">
        <v>8</v>
      </c>
      <c r="M1766" t="s">
        <v>7</v>
      </c>
      <c r="N1766" t="b">
        <v>0</v>
      </c>
    </row>
    <row r="1767" spans="1:14" x14ac:dyDescent="0.3">
      <c r="A1767" t="s">
        <v>31</v>
      </c>
      <c r="B1767" t="s">
        <v>8</v>
      </c>
      <c r="C1767">
        <v>33</v>
      </c>
      <c r="D1767" t="s">
        <v>94</v>
      </c>
      <c r="E1767" t="s">
        <v>95</v>
      </c>
      <c r="G1767">
        <v>2</v>
      </c>
      <c r="H1767">
        <v>2</v>
      </c>
      <c r="I1767" t="s">
        <v>61</v>
      </c>
      <c r="J1767">
        <v>1300000</v>
      </c>
      <c r="K1767">
        <v>2600000</v>
      </c>
      <c r="L1767" t="s">
        <v>8</v>
      </c>
      <c r="M1767" t="s">
        <v>7</v>
      </c>
      <c r="N1767" t="b">
        <v>0</v>
      </c>
    </row>
    <row r="1768" spans="1:14" x14ac:dyDescent="0.3">
      <c r="A1768" t="s">
        <v>31</v>
      </c>
      <c r="B1768" t="s">
        <v>8</v>
      </c>
      <c r="C1768">
        <v>34</v>
      </c>
      <c r="D1768" t="s">
        <v>94</v>
      </c>
      <c r="E1768" t="s">
        <v>96</v>
      </c>
      <c r="G1768">
        <v>4</v>
      </c>
      <c r="H1768">
        <v>2.8119999999999998</v>
      </c>
      <c r="I1768" t="s">
        <v>97</v>
      </c>
      <c r="J1768">
        <v>460000</v>
      </c>
      <c r="K1768">
        <v>1293520</v>
      </c>
      <c r="L1768" t="s">
        <v>8</v>
      </c>
      <c r="M1768" t="s">
        <v>7</v>
      </c>
      <c r="N1768" t="b">
        <v>0</v>
      </c>
    </row>
    <row r="1769" spans="1:14" x14ac:dyDescent="0.3">
      <c r="A1769" t="s">
        <v>31</v>
      </c>
      <c r="B1769" t="s">
        <v>8</v>
      </c>
      <c r="C1769">
        <v>35</v>
      </c>
      <c r="D1769" t="s">
        <v>98</v>
      </c>
      <c r="E1769" t="s">
        <v>99</v>
      </c>
      <c r="F1769">
        <v>50</v>
      </c>
      <c r="G1769">
        <v>8</v>
      </c>
      <c r="H1769">
        <v>0.8</v>
      </c>
      <c r="I1769" t="s">
        <v>100</v>
      </c>
      <c r="J1769">
        <v>3414400.0000000005</v>
      </c>
      <c r="K1769">
        <v>2731520.0000000005</v>
      </c>
      <c r="L1769" t="s">
        <v>8</v>
      </c>
      <c r="M1769" t="s">
        <v>7</v>
      </c>
      <c r="N1769" t="b">
        <v>0</v>
      </c>
    </row>
    <row r="1770" spans="1:14" x14ac:dyDescent="0.3">
      <c r="A1770" t="s">
        <v>31</v>
      </c>
      <c r="B1770" t="s">
        <v>8</v>
      </c>
      <c r="C1770">
        <v>28</v>
      </c>
      <c r="E1770" t="s">
        <v>101</v>
      </c>
      <c r="H1770">
        <v>10</v>
      </c>
      <c r="I1770" t="s">
        <v>102</v>
      </c>
      <c r="J1770">
        <v>13000000</v>
      </c>
      <c r="K1770">
        <v>130000000</v>
      </c>
      <c r="L1770" t="s">
        <v>8</v>
      </c>
      <c r="M1770" t="s">
        <v>7</v>
      </c>
      <c r="N1770" t="b">
        <v>0</v>
      </c>
    </row>
    <row r="1771" spans="1:14" x14ac:dyDescent="0.3">
      <c r="A1771" t="s">
        <v>31</v>
      </c>
      <c r="B1771" t="s">
        <v>8</v>
      </c>
      <c r="C1771">
        <v>29</v>
      </c>
      <c r="E1771" t="s">
        <v>107</v>
      </c>
      <c r="H1771">
        <v>0</v>
      </c>
      <c r="I1771" t="s">
        <v>108</v>
      </c>
      <c r="K1771">
        <v>0</v>
      </c>
      <c r="L1771" t="s">
        <v>8</v>
      </c>
      <c r="M1771" t="s">
        <v>7</v>
      </c>
      <c r="N1771" t="b">
        <v>0</v>
      </c>
    </row>
    <row r="1772" spans="1:14" x14ac:dyDescent="0.3">
      <c r="A1772" t="s">
        <v>31</v>
      </c>
      <c r="B1772" t="s">
        <v>9</v>
      </c>
      <c r="C1772">
        <v>1</v>
      </c>
      <c r="D1772" t="s">
        <v>44</v>
      </c>
      <c r="E1772" t="s">
        <v>45</v>
      </c>
      <c r="F1772">
        <v>0.33500000000000002</v>
      </c>
      <c r="G1772">
        <v>2</v>
      </c>
      <c r="H1772">
        <v>0.93799999999999994</v>
      </c>
      <c r="I1772" t="s">
        <v>46</v>
      </c>
      <c r="J1772">
        <v>8500000</v>
      </c>
      <c r="K1772">
        <v>7972999.9999999981</v>
      </c>
      <c r="L1772" t="s">
        <v>9</v>
      </c>
      <c r="M1772" t="s">
        <v>7</v>
      </c>
      <c r="N1772" t="b">
        <v>0</v>
      </c>
    </row>
    <row r="1773" spans="1:14" x14ac:dyDescent="0.3">
      <c r="A1773" t="s">
        <v>31</v>
      </c>
      <c r="B1773" t="s">
        <v>9</v>
      </c>
      <c r="C1773">
        <v>2</v>
      </c>
      <c r="E1773" t="s">
        <v>47</v>
      </c>
      <c r="F1773">
        <v>0</v>
      </c>
      <c r="G1773">
        <v>0</v>
      </c>
      <c r="H1773">
        <v>0</v>
      </c>
      <c r="I1773" t="s">
        <v>46</v>
      </c>
      <c r="J1773">
        <v>8500000</v>
      </c>
      <c r="K1773">
        <v>0</v>
      </c>
      <c r="L1773" t="s">
        <v>9</v>
      </c>
      <c r="M1773" t="s">
        <v>7</v>
      </c>
      <c r="N1773" t="b">
        <v>0</v>
      </c>
    </row>
    <row r="1774" spans="1:14" x14ac:dyDescent="0.3">
      <c r="A1774" t="s">
        <v>31</v>
      </c>
      <c r="B1774" t="s">
        <v>9</v>
      </c>
      <c r="C1774">
        <v>3</v>
      </c>
      <c r="E1774" t="s">
        <v>175</v>
      </c>
      <c r="F1774">
        <v>0.33500000000000002</v>
      </c>
      <c r="G1774">
        <v>2</v>
      </c>
      <c r="H1774">
        <v>0.7370000000000001</v>
      </c>
      <c r="I1774" t="s">
        <v>46</v>
      </c>
      <c r="J1774">
        <v>8500000</v>
      </c>
      <c r="K1774">
        <v>6264500.0000000009</v>
      </c>
      <c r="L1774" t="s">
        <v>9</v>
      </c>
      <c r="M1774" t="s">
        <v>7</v>
      </c>
      <c r="N1774" t="b">
        <v>0</v>
      </c>
    </row>
    <row r="1775" spans="1:14" x14ac:dyDescent="0.3">
      <c r="A1775" t="s">
        <v>31</v>
      </c>
      <c r="B1775" t="s">
        <v>9</v>
      </c>
      <c r="C1775">
        <v>4</v>
      </c>
      <c r="E1775" t="s">
        <v>49</v>
      </c>
      <c r="F1775">
        <v>120</v>
      </c>
      <c r="G1775">
        <v>4</v>
      </c>
      <c r="H1775">
        <v>0.48</v>
      </c>
      <c r="I1775" t="s">
        <v>46</v>
      </c>
      <c r="J1775">
        <v>8500000</v>
      </c>
      <c r="K1775">
        <v>4080000</v>
      </c>
      <c r="L1775" t="s">
        <v>9</v>
      </c>
      <c r="M1775" t="s">
        <v>7</v>
      </c>
      <c r="N1775" t="b">
        <v>0</v>
      </c>
    </row>
    <row r="1776" spans="1:14" x14ac:dyDescent="0.3">
      <c r="A1776" t="s">
        <v>31</v>
      </c>
      <c r="B1776" t="s">
        <v>9</v>
      </c>
      <c r="C1776">
        <v>5</v>
      </c>
      <c r="E1776" t="s">
        <v>50</v>
      </c>
      <c r="F1776">
        <v>180</v>
      </c>
      <c r="G1776">
        <v>4</v>
      </c>
      <c r="H1776">
        <v>0.68817600000000001</v>
      </c>
      <c r="I1776" t="s">
        <v>46</v>
      </c>
      <c r="J1776">
        <v>8500000</v>
      </c>
      <c r="K1776">
        <v>5849496</v>
      </c>
      <c r="L1776" t="s">
        <v>9</v>
      </c>
      <c r="M1776" t="s">
        <v>7</v>
      </c>
      <c r="N1776" t="b">
        <v>0</v>
      </c>
    </row>
    <row r="1777" spans="1:14" x14ac:dyDescent="0.3">
      <c r="A1777" t="s">
        <v>31</v>
      </c>
      <c r="B1777" t="s">
        <v>9</v>
      </c>
      <c r="C1777">
        <v>6</v>
      </c>
      <c r="E1777" t="s">
        <v>51</v>
      </c>
      <c r="F1777">
        <v>0.55800000000000005</v>
      </c>
      <c r="G1777">
        <v>4</v>
      </c>
      <c r="H1777">
        <v>1.988712</v>
      </c>
      <c r="I1777" t="s">
        <v>46</v>
      </c>
      <c r="J1777">
        <v>8500000</v>
      </c>
      <c r="K1777">
        <v>16904052</v>
      </c>
      <c r="L1777" t="s">
        <v>9</v>
      </c>
      <c r="M1777" t="s">
        <v>7</v>
      </c>
      <c r="N1777" t="b">
        <v>0</v>
      </c>
    </row>
    <row r="1778" spans="1:14" x14ac:dyDescent="0.3">
      <c r="A1778" t="s">
        <v>31</v>
      </c>
      <c r="B1778" t="s">
        <v>9</v>
      </c>
      <c r="C1778">
        <v>7</v>
      </c>
      <c r="D1778" t="s">
        <v>52</v>
      </c>
      <c r="E1778" t="s">
        <v>53</v>
      </c>
      <c r="F1778">
        <v>0.13</v>
      </c>
      <c r="G1778">
        <v>0.316944</v>
      </c>
      <c r="H1778">
        <v>0.316944</v>
      </c>
      <c r="I1778" t="s">
        <v>54</v>
      </c>
      <c r="J1778">
        <v>4275000</v>
      </c>
      <c r="K1778">
        <v>1354935.6</v>
      </c>
      <c r="L1778" t="s">
        <v>9</v>
      </c>
      <c r="M1778" t="s">
        <v>7</v>
      </c>
      <c r="N1778" t="b">
        <v>0</v>
      </c>
    </row>
    <row r="1779" spans="1:14" x14ac:dyDescent="0.3">
      <c r="A1779" t="s">
        <v>31</v>
      </c>
      <c r="B1779" t="s">
        <v>9</v>
      </c>
      <c r="C1779">
        <v>8</v>
      </c>
      <c r="E1779" t="s">
        <v>55</v>
      </c>
      <c r="F1779">
        <v>0.35</v>
      </c>
      <c r="G1779">
        <v>0</v>
      </c>
      <c r="H1779">
        <v>0</v>
      </c>
      <c r="I1779" t="s">
        <v>46</v>
      </c>
      <c r="J1779">
        <v>35750000</v>
      </c>
      <c r="K1779">
        <v>0</v>
      </c>
      <c r="L1779" t="s">
        <v>9</v>
      </c>
      <c r="M1779" t="s">
        <v>7</v>
      </c>
      <c r="N1779" t="b">
        <v>0</v>
      </c>
    </row>
    <row r="1780" spans="1:14" x14ac:dyDescent="0.3">
      <c r="A1780" t="s">
        <v>31</v>
      </c>
      <c r="B1780" t="s">
        <v>9</v>
      </c>
      <c r="C1780">
        <v>9</v>
      </c>
      <c r="E1780" t="s">
        <v>55</v>
      </c>
      <c r="F1780">
        <v>0.2</v>
      </c>
      <c r="G1780">
        <v>0.158472</v>
      </c>
      <c r="H1780">
        <v>0.158472</v>
      </c>
      <c r="I1780" t="s">
        <v>46</v>
      </c>
      <c r="J1780">
        <v>45760000</v>
      </c>
      <c r="K1780">
        <v>7251678.7199999997</v>
      </c>
      <c r="L1780" t="s">
        <v>9</v>
      </c>
      <c r="M1780" t="s">
        <v>7</v>
      </c>
      <c r="N1780" t="b">
        <v>0</v>
      </c>
    </row>
    <row r="1781" spans="1:14" x14ac:dyDescent="0.3">
      <c r="A1781" t="s">
        <v>31</v>
      </c>
      <c r="B1781" t="s">
        <v>9</v>
      </c>
      <c r="C1781">
        <v>10</v>
      </c>
      <c r="D1781" t="s">
        <v>56</v>
      </c>
      <c r="E1781" t="s">
        <v>57</v>
      </c>
      <c r="G1781">
        <v>1.675</v>
      </c>
      <c r="H1781">
        <v>1.675</v>
      </c>
      <c r="I1781" t="s">
        <v>61</v>
      </c>
      <c r="J1781">
        <v>1430000</v>
      </c>
      <c r="K1781">
        <v>2395250</v>
      </c>
      <c r="L1781" t="s">
        <v>9</v>
      </c>
      <c r="M1781" t="s">
        <v>7</v>
      </c>
      <c r="N1781" t="b">
        <v>0</v>
      </c>
    </row>
    <row r="1782" spans="1:14" x14ac:dyDescent="0.3">
      <c r="A1782" t="s">
        <v>31</v>
      </c>
      <c r="B1782" t="s">
        <v>9</v>
      </c>
      <c r="C1782">
        <v>11</v>
      </c>
      <c r="D1782" t="s">
        <v>58</v>
      </c>
      <c r="E1782" t="s">
        <v>59</v>
      </c>
      <c r="G1782" t="s">
        <v>103</v>
      </c>
      <c r="H1782" t="s">
        <v>103</v>
      </c>
      <c r="I1782" t="s">
        <v>46</v>
      </c>
      <c r="J1782">
        <v>1600000</v>
      </c>
      <c r="K1782">
        <v>12800000</v>
      </c>
      <c r="L1782" t="s">
        <v>9</v>
      </c>
      <c r="M1782" t="s">
        <v>7</v>
      </c>
      <c r="N1782" t="b">
        <v>0</v>
      </c>
    </row>
    <row r="1783" spans="1:14" x14ac:dyDescent="0.3">
      <c r="A1783" t="s">
        <v>31</v>
      </c>
      <c r="B1783" t="s">
        <v>9</v>
      </c>
      <c r="C1783">
        <v>12</v>
      </c>
      <c r="E1783" t="s">
        <v>60</v>
      </c>
      <c r="G1783">
        <v>1.988712</v>
      </c>
      <c r="H1783">
        <v>1.988712</v>
      </c>
      <c r="I1783" t="s">
        <v>61</v>
      </c>
      <c r="J1783">
        <v>3600000</v>
      </c>
      <c r="K1783">
        <v>7159363.2000000002</v>
      </c>
      <c r="L1783" t="s">
        <v>9</v>
      </c>
      <c r="M1783" t="s">
        <v>7</v>
      </c>
      <c r="N1783" t="b">
        <v>0</v>
      </c>
    </row>
    <row r="1784" spans="1:14" x14ac:dyDescent="0.3">
      <c r="A1784" t="s">
        <v>31</v>
      </c>
      <c r="B1784" t="s">
        <v>9</v>
      </c>
      <c r="C1784">
        <v>13</v>
      </c>
      <c r="D1784" t="s">
        <v>62</v>
      </c>
      <c r="E1784" t="s">
        <v>63</v>
      </c>
      <c r="G1784">
        <v>2.2320000000000002</v>
      </c>
      <c r="H1784">
        <v>2.2320000000000002</v>
      </c>
      <c r="I1784" t="s">
        <v>61</v>
      </c>
      <c r="J1784">
        <v>3600000</v>
      </c>
      <c r="K1784">
        <v>8035200.0000000019</v>
      </c>
      <c r="L1784" t="s">
        <v>9</v>
      </c>
      <c r="M1784" t="s">
        <v>7</v>
      </c>
      <c r="N1784" t="b">
        <v>0</v>
      </c>
    </row>
    <row r="1785" spans="1:14" x14ac:dyDescent="0.3">
      <c r="A1785" t="s">
        <v>31</v>
      </c>
      <c r="B1785" t="s">
        <v>9</v>
      </c>
      <c r="C1785">
        <v>14</v>
      </c>
      <c r="E1785" t="s">
        <v>64</v>
      </c>
      <c r="G1785">
        <v>0.1</v>
      </c>
      <c r="H1785">
        <v>0.1</v>
      </c>
      <c r="I1785" t="s">
        <v>61</v>
      </c>
      <c r="J1785">
        <v>5500000</v>
      </c>
      <c r="K1785">
        <v>550000</v>
      </c>
      <c r="L1785" t="s">
        <v>9</v>
      </c>
      <c r="M1785" t="s">
        <v>7</v>
      </c>
      <c r="N1785" t="b">
        <v>0</v>
      </c>
    </row>
    <row r="1786" spans="1:14" x14ac:dyDescent="0.3">
      <c r="A1786" t="s">
        <v>31</v>
      </c>
      <c r="B1786" t="s">
        <v>9</v>
      </c>
      <c r="C1786">
        <v>15</v>
      </c>
      <c r="D1786" t="s">
        <v>65</v>
      </c>
      <c r="E1786" t="s">
        <v>66</v>
      </c>
      <c r="G1786">
        <v>20</v>
      </c>
      <c r="H1786">
        <v>20</v>
      </c>
      <c r="I1786" t="s">
        <v>61</v>
      </c>
      <c r="J1786">
        <v>200000</v>
      </c>
      <c r="K1786">
        <v>4000000</v>
      </c>
      <c r="L1786" t="s">
        <v>9</v>
      </c>
      <c r="M1786" t="s">
        <v>7</v>
      </c>
      <c r="N1786" t="b">
        <v>0</v>
      </c>
    </row>
    <row r="1787" spans="1:14" x14ac:dyDescent="0.3">
      <c r="A1787" t="s">
        <v>31</v>
      </c>
      <c r="B1787" t="s">
        <v>9</v>
      </c>
      <c r="C1787">
        <v>16</v>
      </c>
      <c r="E1787" t="s">
        <v>68</v>
      </c>
      <c r="G1787">
        <v>8</v>
      </c>
      <c r="H1787">
        <v>8</v>
      </c>
      <c r="I1787" t="s">
        <v>61</v>
      </c>
      <c r="J1787">
        <v>200000</v>
      </c>
      <c r="K1787">
        <v>1600000</v>
      </c>
      <c r="L1787" t="s">
        <v>9</v>
      </c>
      <c r="M1787" t="s">
        <v>7</v>
      </c>
      <c r="N1787" t="b">
        <v>0</v>
      </c>
    </row>
    <row r="1788" spans="1:14" x14ac:dyDescent="0.3">
      <c r="A1788" t="s">
        <v>31</v>
      </c>
      <c r="B1788" t="s">
        <v>9</v>
      </c>
      <c r="C1788">
        <v>17</v>
      </c>
      <c r="E1788" t="s">
        <v>69</v>
      </c>
      <c r="G1788">
        <v>16</v>
      </c>
      <c r="H1788">
        <v>16</v>
      </c>
      <c r="I1788" t="s">
        <v>61</v>
      </c>
      <c r="J1788">
        <v>200000</v>
      </c>
      <c r="K1788">
        <v>3200000</v>
      </c>
      <c r="L1788" t="s">
        <v>9</v>
      </c>
      <c r="M1788" t="s">
        <v>7</v>
      </c>
      <c r="N1788" t="b">
        <v>0</v>
      </c>
    </row>
    <row r="1789" spans="1:14" x14ac:dyDescent="0.3">
      <c r="A1789" t="s">
        <v>31</v>
      </c>
      <c r="B1789" t="s">
        <v>9</v>
      </c>
      <c r="C1789">
        <v>18</v>
      </c>
      <c r="E1789" t="s">
        <v>70</v>
      </c>
      <c r="G1789">
        <v>16</v>
      </c>
      <c r="H1789">
        <v>16</v>
      </c>
      <c r="I1789" t="s">
        <v>61</v>
      </c>
      <c r="J1789">
        <v>400000</v>
      </c>
      <c r="K1789">
        <v>6400000</v>
      </c>
      <c r="L1789" t="s">
        <v>9</v>
      </c>
      <c r="M1789" t="s">
        <v>7</v>
      </c>
      <c r="N1789" t="b">
        <v>0</v>
      </c>
    </row>
    <row r="1790" spans="1:14" x14ac:dyDescent="0.3">
      <c r="A1790" t="s">
        <v>31</v>
      </c>
      <c r="B1790" t="s">
        <v>9</v>
      </c>
      <c r="C1790">
        <v>19</v>
      </c>
      <c r="E1790" t="s">
        <v>71</v>
      </c>
      <c r="G1790">
        <v>16</v>
      </c>
      <c r="H1790">
        <v>16</v>
      </c>
      <c r="I1790" t="s">
        <v>61</v>
      </c>
      <c r="J1790">
        <v>120000</v>
      </c>
      <c r="K1790">
        <v>1920000</v>
      </c>
      <c r="L1790" t="s">
        <v>9</v>
      </c>
      <c r="M1790" t="s">
        <v>7</v>
      </c>
      <c r="N1790" t="b">
        <v>0</v>
      </c>
    </row>
    <row r="1791" spans="1:14" x14ac:dyDescent="0.3">
      <c r="A1791" t="s">
        <v>31</v>
      </c>
      <c r="B1791" t="s">
        <v>9</v>
      </c>
      <c r="C1791">
        <v>20</v>
      </c>
      <c r="E1791" t="s">
        <v>72</v>
      </c>
      <c r="G1791">
        <v>24</v>
      </c>
      <c r="H1791">
        <v>24</v>
      </c>
      <c r="I1791" t="s">
        <v>61</v>
      </c>
      <c r="J1791">
        <v>400000</v>
      </c>
      <c r="K1791">
        <v>9600000</v>
      </c>
      <c r="L1791" t="s">
        <v>9</v>
      </c>
      <c r="M1791" t="s">
        <v>7</v>
      </c>
      <c r="N1791" t="b">
        <v>0</v>
      </c>
    </row>
    <row r="1792" spans="1:14" x14ac:dyDescent="0.3">
      <c r="A1792" t="s">
        <v>31</v>
      </c>
      <c r="B1792" t="s">
        <v>9</v>
      </c>
      <c r="C1792">
        <v>21</v>
      </c>
      <c r="D1792" t="s">
        <v>73</v>
      </c>
      <c r="E1792" t="s">
        <v>74</v>
      </c>
      <c r="F1792">
        <v>132</v>
      </c>
      <c r="G1792" t="s">
        <v>103</v>
      </c>
      <c r="H1792">
        <v>1.5611904000000001</v>
      </c>
      <c r="I1792" t="s">
        <v>46</v>
      </c>
      <c r="J1792">
        <v>35000000</v>
      </c>
      <c r="K1792">
        <v>54641664</v>
      </c>
      <c r="L1792" t="s">
        <v>9</v>
      </c>
      <c r="M1792" t="s">
        <v>7</v>
      </c>
      <c r="N1792" t="b">
        <v>0</v>
      </c>
    </row>
    <row r="1793" spans="1:14" x14ac:dyDescent="0.3">
      <c r="A1793" t="s">
        <v>31</v>
      </c>
      <c r="B1793" t="s">
        <v>9</v>
      </c>
      <c r="C1793">
        <v>22</v>
      </c>
      <c r="D1793" t="s">
        <v>75</v>
      </c>
      <c r="E1793" t="s">
        <v>76</v>
      </c>
      <c r="F1793" t="s">
        <v>77</v>
      </c>
      <c r="G1793">
        <v>2</v>
      </c>
      <c r="H1793">
        <v>0.8</v>
      </c>
      <c r="I1793" t="s">
        <v>46</v>
      </c>
      <c r="J1793">
        <v>5200000</v>
      </c>
      <c r="K1793">
        <v>4160000</v>
      </c>
      <c r="L1793" t="s">
        <v>9</v>
      </c>
      <c r="M1793" t="s">
        <v>7</v>
      </c>
      <c r="N1793" t="b">
        <v>0</v>
      </c>
    </row>
    <row r="1794" spans="1:14" x14ac:dyDescent="0.3">
      <c r="A1794" t="s">
        <v>31</v>
      </c>
      <c r="B1794" t="s">
        <v>9</v>
      </c>
      <c r="C1794">
        <v>23</v>
      </c>
      <c r="E1794" t="s">
        <v>78</v>
      </c>
      <c r="F1794" t="s">
        <v>79</v>
      </c>
      <c r="G1794">
        <v>2</v>
      </c>
      <c r="H1794">
        <v>1.2</v>
      </c>
      <c r="I1794" t="s">
        <v>46</v>
      </c>
      <c r="J1794">
        <v>5200000</v>
      </c>
      <c r="K1794">
        <v>6240000</v>
      </c>
      <c r="L1794" t="s">
        <v>9</v>
      </c>
      <c r="M1794" t="s">
        <v>7</v>
      </c>
      <c r="N1794" t="b">
        <v>0</v>
      </c>
    </row>
    <row r="1795" spans="1:14" x14ac:dyDescent="0.3">
      <c r="A1795" t="s">
        <v>31</v>
      </c>
      <c r="B1795" t="s">
        <v>9</v>
      </c>
      <c r="C1795">
        <v>24</v>
      </c>
      <c r="D1795" t="s">
        <v>80</v>
      </c>
      <c r="E1795" t="s">
        <v>81</v>
      </c>
      <c r="F1795" t="s">
        <v>174</v>
      </c>
      <c r="G1795">
        <v>2</v>
      </c>
      <c r="H1795">
        <v>0.41689399999999999</v>
      </c>
      <c r="I1795" t="s">
        <v>46</v>
      </c>
      <c r="J1795">
        <v>8500000</v>
      </c>
      <c r="K1795">
        <v>3543599</v>
      </c>
      <c r="L1795" t="s">
        <v>9</v>
      </c>
      <c r="M1795" t="s">
        <v>7</v>
      </c>
      <c r="N1795" t="b">
        <v>0</v>
      </c>
    </row>
    <row r="1796" spans="1:14" x14ac:dyDescent="0.3">
      <c r="A1796" t="s">
        <v>31</v>
      </c>
      <c r="B1796" t="s">
        <v>9</v>
      </c>
      <c r="C1796">
        <v>25</v>
      </c>
      <c r="D1796" t="s">
        <v>83</v>
      </c>
      <c r="E1796" t="s">
        <v>84</v>
      </c>
      <c r="F1796">
        <v>0.18</v>
      </c>
      <c r="G1796">
        <v>2</v>
      </c>
      <c r="H1796">
        <v>2</v>
      </c>
      <c r="I1796" t="s">
        <v>61</v>
      </c>
      <c r="J1796">
        <v>585000</v>
      </c>
      <c r="K1796">
        <v>1170000</v>
      </c>
      <c r="L1796" t="s">
        <v>9</v>
      </c>
      <c r="M1796" t="s">
        <v>7</v>
      </c>
      <c r="N1796" t="b">
        <v>0</v>
      </c>
    </row>
    <row r="1797" spans="1:14" x14ac:dyDescent="0.3">
      <c r="A1797" t="s">
        <v>31</v>
      </c>
      <c r="B1797" t="s">
        <v>9</v>
      </c>
      <c r="C1797">
        <v>26</v>
      </c>
      <c r="E1797" t="s">
        <v>86</v>
      </c>
      <c r="F1797">
        <v>0.2</v>
      </c>
      <c r="G1797">
        <v>3</v>
      </c>
      <c r="H1797">
        <v>3</v>
      </c>
      <c r="I1797" t="s">
        <v>61</v>
      </c>
      <c r="J1797">
        <v>585000</v>
      </c>
      <c r="K1797">
        <v>1755000</v>
      </c>
      <c r="L1797" t="s">
        <v>9</v>
      </c>
      <c r="M1797" t="s">
        <v>7</v>
      </c>
      <c r="N1797" t="b">
        <v>0</v>
      </c>
    </row>
    <row r="1798" spans="1:14" x14ac:dyDescent="0.3">
      <c r="A1798" t="s">
        <v>31</v>
      </c>
      <c r="B1798" t="s">
        <v>9</v>
      </c>
      <c r="C1798">
        <v>27</v>
      </c>
      <c r="D1798" t="s">
        <v>88</v>
      </c>
      <c r="E1798" t="s">
        <v>89</v>
      </c>
      <c r="F1798" t="s">
        <v>90</v>
      </c>
      <c r="G1798">
        <v>1</v>
      </c>
      <c r="H1798">
        <v>1</v>
      </c>
      <c r="I1798" t="s">
        <v>61</v>
      </c>
      <c r="J1798">
        <v>100000</v>
      </c>
      <c r="K1798">
        <v>100000</v>
      </c>
      <c r="L1798" t="s">
        <v>9</v>
      </c>
      <c r="M1798" t="s">
        <v>7</v>
      </c>
      <c r="N1798" t="b">
        <v>0</v>
      </c>
    </row>
    <row r="1799" spans="1:14" x14ac:dyDescent="0.3">
      <c r="A1799" t="s">
        <v>31</v>
      </c>
      <c r="B1799" t="s">
        <v>9</v>
      </c>
      <c r="C1799">
        <v>28</v>
      </c>
      <c r="D1799" t="s">
        <v>65</v>
      </c>
      <c r="E1799" t="s">
        <v>91</v>
      </c>
      <c r="G1799">
        <v>2</v>
      </c>
      <c r="H1799">
        <v>2</v>
      </c>
      <c r="I1799" t="s">
        <v>61</v>
      </c>
      <c r="J1799">
        <v>2400000</v>
      </c>
      <c r="K1799">
        <v>4800000</v>
      </c>
      <c r="L1799" t="s">
        <v>9</v>
      </c>
      <c r="M1799" t="s">
        <v>7</v>
      </c>
      <c r="N1799" t="b">
        <v>0</v>
      </c>
    </row>
    <row r="1800" spans="1:14" x14ac:dyDescent="0.3">
      <c r="A1800" t="s">
        <v>31</v>
      </c>
      <c r="B1800" t="s">
        <v>9</v>
      </c>
      <c r="C1800">
        <v>29</v>
      </c>
      <c r="E1800" t="s">
        <v>92</v>
      </c>
      <c r="G1800">
        <v>2</v>
      </c>
      <c r="H1800">
        <v>2</v>
      </c>
      <c r="I1800" t="s">
        <v>61</v>
      </c>
      <c r="J1800">
        <v>2400000</v>
      </c>
      <c r="K1800">
        <v>4800000</v>
      </c>
      <c r="L1800" t="s">
        <v>9</v>
      </c>
      <c r="M1800" t="s">
        <v>7</v>
      </c>
      <c r="N1800" t="b">
        <v>0</v>
      </c>
    </row>
    <row r="1801" spans="1:14" x14ac:dyDescent="0.3">
      <c r="A1801" t="s">
        <v>31</v>
      </c>
      <c r="B1801" t="s">
        <v>9</v>
      </c>
      <c r="C1801">
        <v>30</v>
      </c>
      <c r="E1801" t="s">
        <v>93</v>
      </c>
      <c r="G1801">
        <v>2</v>
      </c>
      <c r="H1801">
        <v>2</v>
      </c>
      <c r="I1801" t="s">
        <v>61</v>
      </c>
      <c r="J1801">
        <v>3000000</v>
      </c>
      <c r="K1801">
        <v>6000000</v>
      </c>
      <c r="L1801" t="s">
        <v>9</v>
      </c>
      <c r="M1801" t="s">
        <v>7</v>
      </c>
      <c r="N1801" t="b">
        <v>0</v>
      </c>
    </row>
    <row r="1802" spans="1:14" x14ac:dyDescent="0.3">
      <c r="A1802" t="s">
        <v>31</v>
      </c>
      <c r="B1802" t="s">
        <v>9</v>
      </c>
      <c r="C1802">
        <v>31</v>
      </c>
      <c r="D1802" t="s">
        <v>104</v>
      </c>
      <c r="E1802" t="s">
        <v>105</v>
      </c>
      <c r="G1802">
        <v>1</v>
      </c>
      <c r="H1802">
        <v>2</v>
      </c>
      <c r="I1802" t="s">
        <v>61</v>
      </c>
      <c r="J1802">
        <v>30000000</v>
      </c>
      <c r="K1802">
        <v>60000000</v>
      </c>
      <c r="L1802" t="s">
        <v>9</v>
      </c>
      <c r="M1802" t="s">
        <v>7</v>
      </c>
      <c r="N1802" t="b">
        <v>0</v>
      </c>
    </row>
    <row r="1803" spans="1:14" x14ac:dyDescent="0.3">
      <c r="A1803" t="s">
        <v>31</v>
      </c>
      <c r="B1803" t="s">
        <v>9</v>
      </c>
      <c r="C1803">
        <v>32</v>
      </c>
      <c r="E1803" t="s">
        <v>106</v>
      </c>
      <c r="G1803">
        <v>1</v>
      </c>
      <c r="H1803">
        <v>0</v>
      </c>
      <c r="I1803" t="s">
        <v>61</v>
      </c>
      <c r="J1803">
        <v>12000000</v>
      </c>
      <c r="K1803">
        <v>0</v>
      </c>
      <c r="L1803" t="s">
        <v>9</v>
      </c>
      <c r="M1803" t="s">
        <v>7</v>
      </c>
      <c r="N1803" t="b">
        <v>0</v>
      </c>
    </row>
    <row r="1804" spans="1:14" x14ac:dyDescent="0.3">
      <c r="A1804" t="s">
        <v>31</v>
      </c>
      <c r="B1804" t="s">
        <v>9</v>
      </c>
      <c r="C1804">
        <v>33</v>
      </c>
      <c r="D1804" t="s">
        <v>94</v>
      </c>
      <c r="E1804" t="s">
        <v>95</v>
      </c>
      <c r="G1804">
        <v>2</v>
      </c>
      <c r="H1804">
        <v>2</v>
      </c>
      <c r="I1804" t="s">
        <v>61</v>
      </c>
      <c r="J1804">
        <v>1300000</v>
      </c>
      <c r="K1804">
        <v>2600000</v>
      </c>
      <c r="L1804" t="s">
        <v>9</v>
      </c>
      <c r="M1804" t="s">
        <v>7</v>
      </c>
      <c r="N1804" t="b">
        <v>0</v>
      </c>
    </row>
    <row r="1805" spans="1:14" x14ac:dyDescent="0.3">
      <c r="A1805" t="s">
        <v>31</v>
      </c>
      <c r="B1805" t="s">
        <v>9</v>
      </c>
      <c r="C1805">
        <v>34</v>
      </c>
      <c r="D1805" t="s">
        <v>94</v>
      </c>
      <c r="E1805" t="s">
        <v>96</v>
      </c>
      <c r="G1805">
        <v>4</v>
      </c>
      <c r="H1805">
        <v>1.34</v>
      </c>
      <c r="I1805" t="s">
        <v>97</v>
      </c>
      <c r="J1805">
        <v>460000</v>
      </c>
      <c r="K1805">
        <v>616400</v>
      </c>
      <c r="L1805" t="s">
        <v>9</v>
      </c>
      <c r="M1805" t="s">
        <v>7</v>
      </c>
      <c r="N1805" t="b">
        <v>0</v>
      </c>
    </row>
    <row r="1806" spans="1:14" x14ac:dyDescent="0.3">
      <c r="A1806" t="s">
        <v>31</v>
      </c>
      <c r="B1806" t="s">
        <v>9</v>
      </c>
      <c r="C1806">
        <v>35</v>
      </c>
      <c r="D1806" t="s">
        <v>98</v>
      </c>
      <c r="E1806" t="s">
        <v>99</v>
      </c>
      <c r="F1806">
        <v>50</v>
      </c>
      <c r="G1806">
        <v>8</v>
      </c>
      <c r="H1806">
        <v>0.8</v>
      </c>
      <c r="I1806" t="s">
        <v>100</v>
      </c>
      <c r="J1806">
        <v>3414400.0000000005</v>
      </c>
      <c r="K1806">
        <v>2731520.0000000005</v>
      </c>
      <c r="L1806" t="s">
        <v>9</v>
      </c>
      <c r="M1806" t="s">
        <v>7</v>
      </c>
      <c r="N1806" t="b">
        <v>0</v>
      </c>
    </row>
    <row r="1807" spans="1:14" x14ac:dyDescent="0.3">
      <c r="A1807" t="s">
        <v>31</v>
      </c>
      <c r="B1807" t="s">
        <v>9</v>
      </c>
      <c r="C1807">
        <v>28</v>
      </c>
      <c r="E1807" t="s">
        <v>101</v>
      </c>
      <c r="H1807">
        <v>8</v>
      </c>
      <c r="I1807" t="s">
        <v>102</v>
      </c>
      <c r="J1807">
        <v>13000000</v>
      </c>
      <c r="K1807">
        <v>104000000</v>
      </c>
      <c r="L1807" t="s">
        <v>9</v>
      </c>
      <c r="M1807" t="s">
        <v>7</v>
      </c>
      <c r="N1807" t="b">
        <v>0</v>
      </c>
    </row>
    <row r="1808" spans="1:14" x14ac:dyDescent="0.3">
      <c r="A1808" t="s">
        <v>31</v>
      </c>
      <c r="B1808" t="s">
        <v>9</v>
      </c>
      <c r="C1808">
        <v>29</v>
      </c>
      <c r="E1808" t="s">
        <v>107</v>
      </c>
      <c r="H1808">
        <v>0</v>
      </c>
      <c r="I1808" t="s">
        <v>108</v>
      </c>
      <c r="K1808">
        <v>0</v>
      </c>
      <c r="L1808" t="s">
        <v>9</v>
      </c>
      <c r="M1808" t="s">
        <v>7</v>
      </c>
      <c r="N1808" t="b">
        <v>0</v>
      </c>
    </row>
    <row r="1809" spans="1:14" x14ac:dyDescent="0.3">
      <c r="A1809" t="s">
        <v>31</v>
      </c>
      <c r="B1809" t="s">
        <v>10</v>
      </c>
      <c r="C1809">
        <v>1</v>
      </c>
      <c r="D1809" t="s">
        <v>44</v>
      </c>
      <c r="E1809" t="s">
        <v>45</v>
      </c>
      <c r="F1809">
        <v>168</v>
      </c>
      <c r="G1809">
        <v>2</v>
      </c>
      <c r="H1809">
        <v>0.47039999999999998</v>
      </c>
      <c r="I1809" t="s">
        <v>46</v>
      </c>
      <c r="J1809">
        <v>8500000</v>
      </c>
      <c r="K1809">
        <v>3998400</v>
      </c>
      <c r="L1809" t="s">
        <v>10</v>
      </c>
      <c r="M1809" t="s">
        <v>7</v>
      </c>
      <c r="N1809" t="b">
        <v>0</v>
      </c>
    </row>
    <row r="1810" spans="1:14" x14ac:dyDescent="0.3">
      <c r="A1810" t="s">
        <v>31</v>
      </c>
      <c r="B1810" t="s">
        <v>10</v>
      </c>
      <c r="C1810">
        <v>2</v>
      </c>
      <c r="E1810" t="s">
        <v>47</v>
      </c>
      <c r="F1810">
        <v>0</v>
      </c>
      <c r="G1810">
        <v>0</v>
      </c>
      <c r="H1810">
        <v>0</v>
      </c>
      <c r="I1810" t="s">
        <v>46</v>
      </c>
      <c r="J1810">
        <v>8500000</v>
      </c>
      <c r="K1810">
        <v>0</v>
      </c>
      <c r="L1810" t="s">
        <v>10</v>
      </c>
      <c r="M1810" t="s">
        <v>7</v>
      </c>
      <c r="N1810" t="b">
        <v>0</v>
      </c>
    </row>
    <row r="1811" spans="1:14" x14ac:dyDescent="0.3">
      <c r="A1811" t="s">
        <v>31</v>
      </c>
      <c r="B1811" t="s">
        <v>10</v>
      </c>
      <c r="C1811">
        <v>3</v>
      </c>
      <c r="E1811" t="s">
        <v>175</v>
      </c>
      <c r="F1811">
        <v>168</v>
      </c>
      <c r="G1811">
        <v>2</v>
      </c>
      <c r="H1811">
        <v>0.36959999999999998</v>
      </c>
      <c r="I1811" t="s">
        <v>46</v>
      </c>
      <c r="J1811">
        <v>8500000</v>
      </c>
      <c r="K1811">
        <v>3141600.0000000005</v>
      </c>
      <c r="L1811" t="s">
        <v>10</v>
      </c>
      <c r="M1811" t="s">
        <v>7</v>
      </c>
      <c r="N1811" t="b">
        <v>0</v>
      </c>
    </row>
    <row r="1812" spans="1:14" x14ac:dyDescent="0.3">
      <c r="A1812" t="s">
        <v>31</v>
      </c>
      <c r="B1812" t="s">
        <v>10</v>
      </c>
      <c r="C1812">
        <v>4</v>
      </c>
      <c r="E1812" t="s">
        <v>49</v>
      </c>
      <c r="F1812">
        <v>120</v>
      </c>
      <c r="G1812">
        <v>4</v>
      </c>
      <c r="H1812">
        <v>0.48</v>
      </c>
      <c r="I1812" t="s">
        <v>46</v>
      </c>
      <c r="J1812">
        <v>8500000</v>
      </c>
      <c r="K1812">
        <v>4080000</v>
      </c>
      <c r="L1812" t="s">
        <v>10</v>
      </c>
      <c r="M1812" t="s">
        <v>7</v>
      </c>
      <c r="N1812" t="b">
        <v>0</v>
      </c>
    </row>
    <row r="1813" spans="1:14" x14ac:dyDescent="0.3">
      <c r="A1813" t="s">
        <v>31</v>
      </c>
      <c r="B1813" t="s">
        <v>10</v>
      </c>
      <c r="C1813">
        <v>5</v>
      </c>
      <c r="E1813" t="s">
        <v>50</v>
      </c>
      <c r="F1813">
        <v>180</v>
      </c>
      <c r="G1813">
        <v>2</v>
      </c>
      <c r="H1813">
        <v>0.344088</v>
      </c>
      <c r="I1813" t="s">
        <v>46</v>
      </c>
      <c r="J1813">
        <v>8500000</v>
      </c>
      <c r="K1813">
        <v>2924748</v>
      </c>
      <c r="L1813" t="s">
        <v>10</v>
      </c>
      <c r="M1813" t="s">
        <v>7</v>
      </c>
      <c r="N1813" t="b">
        <v>0</v>
      </c>
    </row>
    <row r="1814" spans="1:14" x14ac:dyDescent="0.3">
      <c r="A1814" t="s">
        <v>31</v>
      </c>
      <c r="B1814" t="s">
        <v>10</v>
      </c>
      <c r="C1814">
        <v>6</v>
      </c>
      <c r="E1814" t="s">
        <v>51</v>
      </c>
      <c r="F1814">
        <v>0.58799999999999997</v>
      </c>
      <c r="G1814">
        <v>4</v>
      </c>
      <c r="H1814">
        <v>2.0956320000000002</v>
      </c>
      <c r="I1814" t="s">
        <v>46</v>
      </c>
      <c r="J1814">
        <v>8500000</v>
      </c>
      <c r="K1814">
        <v>17812872</v>
      </c>
      <c r="L1814" t="s">
        <v>10</v>
      </c>
      <c r="M1814" t="s">
        <v>7</v>
      </c>
      <c r="N1814" t="b">
        <v>0</v>
      </c>
    </row>
    <row r="1815" spans="1:14" x14ac:dyDescent="0.3">
      <c r="A1815" t="s">
        <v>31</v>
      </c>
      <c r="B1815" t="s">
        <v>10</v>
      </c>
      <c r="C1815">
        <v>7</v>
      </c>
      <c r="D1815" t="s">
        <v>52</v>
      </c>
      <c r="E1815" t="s">
        <v>53</v>
      </c>
      <c r="F1815">
        <v>0.13</v>
      </c>
      <c r="G1815">
        <v>0.333984</v>
      </c>
      <c r="H1815">
        <v>0.333984</v>
      </c>
      <c r="I1815" t="s">
        <v>54</v>
      </c>
      <c r="J1815">
        <v>4275000</v>
      </c>
      <c r="K1815">
        <v>1427781.6</v>
      </c>
      <c r="L1815" t="s">
        <v>10</v>
      </c>
      <c r="M1815" t="s">
        <v>7</v>
      </c>
      <c r="N1815" t="b">
        <v>0</v>
      </c>
    </row>
    <row r="1816" spans="1:14" x14ac:dyDescent="0.3">
      <c r="A1816" t="s">
        <v>31</v>
      </c>
      <c r="B1816" t="s">
        <v>10</v>
      </c>
      <c r="C1816">
        <v>8</v>
      </c>
      <c r="E1816" t="s">
        <v>55</v>
      </c>
      <c r="F1816">
        <v>0.35</v>
      </c>
      <c r="G1816">
        <v>0</v>
      </c>
      <c r="H1816">
        <v>0</v>
      </c>
      <c r="I1816" t="s">
        <v>46</v>
      </c>
      <c r="J1816">
        <v>35750000</v>
      </c>
      <c r="K1816">
        <v>0</v>
      </c>
      <c r="L1816" t="s">
        <v>10</v>
      </c>
      <c r="M1816" t="s">
        <v>7</v>
      </c>
      <c r="N1816" t="b">
        <v>0</v>
      </c>
    </row>
    <row r="1817" spans="1:14" x14ac:dyDescent="0.3">
      <c r="A1817" t="s">
        <v>31</v>
      </c>
      <c r="B1817" t="s">
        <v>10</v>
      </c>
      <c r="C1817">
        <v>9</v>
      </c>
      <c r="E1817" t="s">
        <v>55</v>
      </c>
      <c r="F1817">
        <v>0.2</v>
      </c>
      <c r="G1817">
        <v>0.166992</v>
      </c>
      <c r="H1817">
        <v>0.166992</v>
      </c>
      <c r="I1817" t="s">
        <v>46</v>
      </c>
      <c r="J1817">
        <v>45760000</v>
      </c>
      <c r="K1817">
        <v>7641553.9199999999</v>
      </c>
      <c r="L1817" t="s">
        <v>10</v>
      </c>
      <c r="M1817" t="s">
        <v>7</v>
      </c>
      <c r="N1817" t="b">
        <v>0</v>
      </c>
    </row>
    <row r="1818" spans="1:14" x14ac:dyDescent="0.3">
      <c r="A1818" t="s">
        <v>31</v>
      </c>
      <c r="B1818" t="s">
        <v>10</v>
      </c>
      <c r="C1818">
        <v>10</v>
      </c>
      <c r="D1818" t="s">
        <v>56</v>
      </c>
      <c r="E1818" t="s">
        <v>57</v>
      </c>
      <c r="G1818">
        <v>0.84</v>
      </c>
      <c r="H1818">
        <v>0.84</v>
      </c>
      <c r="I1818" t="s">
        <v>46</v>
      </c>
      <c r="J1818">
        <v>1430000</v>
      </c>
      <c r="K1818">
        <v>1201200</v>
      </c>
      <c r="L1818" t="s">
        <v>10</v>
      </c>
      <c r="M1818" t="s">
        <v>7</v>
      </c>
      <c r="N1818" t="b">
        <v>0</v>
      </c>
    </row>
    <row r="1819" spans="1:14" x14ac:dyDescent="0.3">
      <c r="A1819" t="s">
        <v>31</v>
      </c>
      <c r="B1819" t="s">
        <v>10</v>
      </c>
      <c r="C1819">
        <v>11</v>
      </c>
      <c r="D1819" t="s">
        <v>58</v>
      </c>
      <c r="E1819" t="s">
        <v>59</v>
      </c>
      <c r="G1819">
        <v>8</v>
      </c>
      <c r="H1819">
        <v>8</v>
      </c>
      <c r="I1819" t="s">
        <v>46</v>
      </c>
      <c r="J1819">
        <v>1600000</v>
      </c>
      <c r="K1819">
        <v>12800000</v>
      </c>
      <c r="L1819" t="s">
        <v>10</v>
      </c>
      <c r="M1819" t="s">
        <v>7</v>
      </c>
      <c r="N1819" t="b">
        <v>0</v>
      </c>
    </row>
    <row r="1820" spans="1:14" x14ac:dyDescent="0.3">
      <c r="A1820" t="s">
        <v>31</v>
      </c>
      <c r="B1820" t="s">
        <v>10</v>
      </c>
      <c r="C1820">
        <v>12</v>
      </c>
      <c r="E1820" t="s">
        <v>60</v>
      </c>
      <c r="G1820">
        <v>2.0956320000000002</v>
      </c>
      <c r="H1820">
        <v>2.0956320000000002</v>
      </c>
      <c r="I1820" t="s">
        <v>61</v>
      </c>
      <c r="J1820">
        <v>3600000</v>
      </c>
      <c r="K1820">
        <v>7544275.2000000002</v>
      </c>
      <c r="L1820" t="s">
        <v>10</v>
      </c>
      <c r="M1820" t="s">
        <v>7</v>
      </c>
      <c r="N1820" t="b">
        <v>0</v>
      </c>
    </row>
    <row r="1821" spans="1:14" x14ac:dyDescent="0.3">
      <c r="A1821" t="s">
        <v>31</v>
      </c>
      <c r="B1821" t="s">
        <v>10</v>
      </c>
      <c r="C1821">
        <v>13</v>
      </c>
      <c r="D1821" t="s">
        <v>62</v>
      </c>
      <c r="E1821" t="s">
        <v>63</v>
      </c>
      <c r="G1821">
        <v>2.3519999999999999</v>
      </c>
      <c r="H1821">
        <v>2.3519999999999999</v>
      </c>
      <c r="I1821" t="s">
        <v>61</v>
      </c>
      <c r="J1821">
        <v>3600000</v>
      </c>
      <c r="K1821">
        <v>8467200</v>
      </c>
      <c r="L1821" t="s">
        <v>10</v>
      </c>
      <c r="M1821" t="s">
        <v>7</v>
      </c>
      <c r="N1821" t="b">
        <v>0</v>
      </c>
    </row>
    <row r="1822" spans="1:14" x14ac:dyDescent="0.3">
      <c r="A1822" t="s">
        <v>31</v>
      </c>
      <c r="B1822" t="s">
        <v>10</v>
      </c>
      <c r="C1822">
        <v>14</v>
      </c>
      <c r="E1822" t="s">
        <v>64</v>
      </c>
      <c r="G1822">
        <v>0.1</v>
      </c>
      <c r="H1822">
        <v>0.1</v>
      </c>
      <c r="I1822" t="s">
        <v>61</v>
      </c>
      <c r="J1822">
        <v>5500000</v>
      </c>
      <c r="K1822">
        <v>550000</v>
      </c>
      <c r="L1822" t="s">
        <v>10</v>
      </c>
      <c r="M1822" t="s">
        <v>7</v>
      </c>
      <c r="N1822" t="b">
        <v>0</v>
      </c>
    </row>
    <row r="1823" spans="1:14" x14ac:dyDescent="0.3">
      <c r="A1823" t="s">
        <v>31</v>
      </c>
      <c r="B1823" t="s">
        <v>10</v>
      </c>
      <c r="C1823">
        <v>15</v>
      </c>
      <c r="D1823" t="s">
        <v>65</v>
      </c>
      <c r="E1823" t="s">
        <v>66</v>
      </c>
      <c r="G1823" t="s">
        <v>67</v>
      </c>
      <c r="H1823">
        <v>8</v>
      </c>
      <c r="I1823" t="s">
        <v>61</v>
      </c>
      <c r="J1823">
        <v>200000</v>
      </c>
      <c r="K1823">
        <v>1600000</v>
      </c>
      <c r="L1823" t="s">
        <v>10</v>
      </c>
      <c r="M1823" t="s">
        <v>7</v>
      </c>
      <c r="N1823" t="b">
        <v>0</v>
      </c>
    </row>
    <row r="1824" spans="1:14" x14ac:dyDescent="0.3">
      <c r="A1824" t="s">
        <v>31</v>
      </c>
      <c r="B1824" t="s">
        <v>10</v>
      </c>
      <c r="C1824">
        <v>16</v>
      </c>
      <c r="E1824" t="s">
        <v>68</v>
      </c>
      <c r="G1824">
        <v>8</v>
      </c>
      <c r="H1824">
        <v>8</v>
      </c>
      <c r="I1824" t="s">
        <v>61</v>
      </c>
      <c r="J1824">
        <v>200000</v>
      </c>
      <c r="K1824">
        <v>1600000</v>
      </c>
      <c r="L1824" t="s">
        <v>10</v>
      </c>
      <c r="M1824" t="s">
        <v>7</v>
      </c>
      <c r="N1824" t="b">
        <v>0</v>
      </c>
    </row>
    <row r="1825" spans="1:14" x14ac:dyDescent="0.3">
      <c r="A1825" t="s">
        <v>31</v>
      </c>
      <c r="B1825" t="s">
        <v>10</v>
      </c>
      <c r="C1825">
        <v>17</v>
      </c>
      <c r="E1825" t="s">
        <v>69</v>
      </c>
      <c r="G1825">
        <v>88</v>
      </c>
      <c r="H1825">
        <v>16</v>
      </c>
      <c r="I1825" t="s">
        <v>61</v>
      </c>
      <c r="J1825">
        <v>200000</v>
      </c>
      <c r="K1825">
        <v>3200000</v>
      </c>
      <c r="L1825" t="s">
        <v>10</v>
      </c>
      <c r="M1825" t="s">
        <v>7</v>
      </c>
      <c r="N1825" t="b">
        <v>0</v>
      </c>
    </row>
    <row r="1826" spans="1:14" x14ac:dyDescent="0.3">
      <c r="A1826" t="s">
        <v>31</v>
      </c>
      <c r="B1826" t="s">
        <v>10</v>
      </c>
      <c r="C1826">
        <v>18</v>
      </c>
      <c r="E1826" t="s">
        <v>70</v>
      </c>
      <c r="G1826">
        <v>16</v>
      </c>
      <c r="H1826">
        <v>16</v>
      </c>
      <c r="I1826" t="s">
        <v>61</v>
      </c>
      <c r="J1826">
        <v>400000</v>
      </c>
      <c r="K1826">
        <v>6400000</v>
      </c>
      <c r="L1826" t="s">
        <v>10</v>
      </c>
      <c r="M1826" t="s">
        <v>7</v>
      </c>
      <c r="N1826" t="b">
        <v>0</v>
      </c>
    </row>
    <row r="1827" spans="1:14" x14ac:dyDescent="0.3">
      <c r="A1827" t="s">
        <v>31</v>
      </c>
      <c r="B1827" t="s">
        <v>10</v>
      </c>
      <c r="C1827">
        <v>19</v>
      </c>
      <c r="E1827" t="s">
        <v>71</v>
      </c>
      <c r="G1827">
        <v>16</v>
      </c>
      <c r="H1827">
        <v>16</v>
      </c>
      <c r="I1827" t="s">
        <v>61</v>
      </c>
      <c r="J1827">
        <v>120000</v>
      </c>
      <c r="K1827">
        <v>1920000</v>
      </c>
      <c r="L1827" t="s">
        <v>10</v>
      </c>
      <c r="M1827" t="s">
        <v>7</v>
      </c>
      <c r="N1827" t="b">
        <v>0</v>
      </c>
    </row>
    <row r="1828" spans="1:14" x14ac:dyDescent="0.3">
      <c r="A1828" t="s">
        <v>31</v>
      </c>
      <c r="B1828" t="s">
        <v>10</v>
      </c>
      <c r="C1828">
        <v>20</v>
      </c>
      <c r="E1828" t="s">
        <v>72</v>
      </c>
      <c r="G1828">
        <v>24</v>
      </c>
      <c r="H1828">
        <v>24</v>
      </c>
      <c r="I1828" t="s">
        <v>61</v>
      </c>
      <c r="J1828">
        <v>400000</v>
      </c>
      <c r="K1828">
        <v>9600000</v>
      </c>
      <c r="L1828" t="s">
        <v>10</v>
      </c>
      <c r="M1828" t="s">
        <v>7</v>
      </c>
      <c r="N1828" t="b">
        <v>0</v>
      </c>
    </row>
    <row r="1829" spans="1:14" x14ac:dyDescent="0.3">
      <c r="A1829" t="s">
        <v>31</v>
      </c>
      <c r="B1829" t="s">
        <v>10</v>
      </c>
      <c r="C1829">
        <v>21</v>
      </c>
      <c r="D1829" t="s">
        <v>73</v>
      </c>
      <c r="E1829" t="s">
        <v>74</v>
      </c>
      <c r="F1829">
        <v>132</v>
      </c>
      <c r="G1829">
        <v>8</v>
      </c>
      <c r="H1829">
        <v>1.5611904000000001</v>
      </c>
      <c r="I1829" t="s">
        <v>46</v>
      </c>
      <c r="J1829">
        <v>35000000</v>
      </c>
      <c r="K1829">
        <v>54641664</v>
      </c>
      <c r="L1829" t="s">
        <v>10</v>
      </c>
      <c r="M1829" t="s">
        <v>7</v>
      </c>
      <c r="N1829" t="b">
        <v>0</v>
      </c>
    </row>
    <row r="1830" spans="1:14" x14ac:dyDescent="0.3">
      <c r="A1830" t="s">
        <v>31</v>
      </c>
      <c r="B1830" t="s">
        <v>10</v>
      </c>
      <c r="C1830">
        <v>22</v>
      </c>
      <c r="D1830" t="s">
        <v>75</v>
      </c>
      <c r="E1830" t="s">
        <v>76</v>
      </c>
      <c r="F1830" t="s">
        <v>77</v>
      </c>
      <c r="G1830">
        <v>2</v>
      </c>
      <c r="H1830">
        <v>0.8</v>
      </c>
      <c r="I1830" t="s">
        <v>46</v>
      </c>
      <c r="J1830">
        <v>5200000</v>
      </c>
      <c r="K1830">
        <v>4160000</v>
      </c>
      <c r="L1830" t="s">
        <v>10</v>
      </c>
      <c r="M1830" t="s">
        <v>7</v>
      </c>
      <c r="N1830" t="b">
        <v>0</v>
      </c>
    </row>
    <row r="1831" spans="1:14" x14ac:dyDescent="0.3">
      <c r="A1831" t="s">
        <v>31</v>
      </c>
      <c r="B1831" t="s">
        <v>10</v>
      </c>
      <c r="C1831">
        <v>23</v>
      </c>
      <c r="E1831" t="s">
        <v>78</v>
      </c>
      <c r="F1831" t="s">
        <v>79</v>
      </c>
      <c r="G1831">
        <v>2</v>
      </c>
      <c r="H1831">
        <v>1.2</v>
      </c>
      <c r="I1831" t="s">
        <v>46</v>
      </c>
      <c r="J1831">
        <v>5200000</v>
      </c>
      <c r="K1831">
        <v>6240000</v>
      </c>
      <c r="L1831" t="s">
        <v>10</v>
      </c>
      <c r="M1831" t="s">
        <v>7</v>
      </c>
      <c r="N1831" t="b">
        <v>0</v>
      </c>
    </row>
    <row r="1832" spans="1:14" x14ac:dyDescent="0.3">
      <c r="A1832" t="s">
        <v>31</v>
      </c>
      <c r="B1832" t="s">
        <v>10</v>
      </c>
      <c r="C1832">
        <v>24</v>
      </c>
      <c r="D1832" t="s">
        <v>80</v>
      </c>
      <c r="E1832" t="s">
        <v>81</v>
      </c>
      <c r="F1832" t="s">
        <v>174</v>
      </c>
      <c r="G1832">
        <v>2</v>
      </c>
      <c r="H1832">
        <v>0.41689399999999999</v>
      </c>
      <c r="I1832" t="s">
        <v>46</v>
      </c>
      <c r="J1832">
        <v>8500000</v>
      </c>
      <c r="K1832">
        <v>3543599</v>
      </c>
      <c r="L1832" t="s">
        <v>10</v>
      </c>
      <c r="M1832" t="s">
        <v>7</v>
      </c>
      <c r="N1832" t="b">
        <v>0</v>
      </c>
    </row>
    <row r="1833" spans="1:14" x14ac:dyDescent="0.3">
      <c r="A1833" t="s">
        <v>31</v>
      </c>
      <c r="B1833" t="s">
        <v>10</v>
      </c>
      <c r="C1833">
        <v>25</v>
      </c>
      <c r="D1833" t="s">
        <v>83</v>
      </c>
      <c r="E1833" t="s">
        <v>84</v>
      </c>
      <c r="F1833">
        <v>0.18</v>
      </c>
      <c r="G1833" t="s">
        <v>85</v>
      </c>
      <c r="H1833" t="s">
        <v>85</v>
      </c>
      <c r="I1833" t="s">
        <v>61</v>
      </c>
      <c r="J1833">
        <v>585000</v>
      </c>
      <c r="K1833">
        <v>1170000</v>
      </c>
      <c r="L1833" t="s">
        <v>10</v>
      </c>
      <c r="M1833" t="s">
        <v>7</v>
      </c>
      <c r="N1833" t="b">
        <v>0</v>
      </c>
    </row>
    <row r="1834" spans="1:14" x14ac:dyDescent="0.3">
      <c r="A1834" t="s">
        <v>31</v>
      </c>
      <c r="B1834" t="s">
        <v>10</v>
      </c>
      <c r="C1834">
        <v>26</v>
      </c>
      <c r="E1834" t="s">
        <v>86</v>
      </c>
      <c r="F1834">
        <v>0.2</v>
      </c>
      <c r="G1834" t="s">
        <v>87</v>
      </c>
      <c r="H1834" t="s">
        <v>87</v>
      </c>
      <c r="I1834" t="s">
        <v>61</v>
      </c>
      <c r="J1834">
        <v>585000</v>
      </c>
      <c r="K1834">
        <v>1755000</v>
      </c>
      <c r="L1834" t="s">
        <v>10</v>
      </c>
      <c r="M1834" t="s">
        <v>7</v>
      </c>
      <c r="N1834" t="b">
        <v>0</v>
      </c>
    </row>
    <row r="1835" spans="1:14" x14ac:dyDescent="0.3">
      <c r="A1835" t="s">
        <v>31</v>
      </c>
      <c r="B1835" t="s">
        <v>10</v>
      </c>
      <c r="C1835">
        <v>27</v>
      </c>
      <c r="D1835" t="s">
        <v>88</v>
      </c>
      <c r="E1835" t="s">
        <v>89</v>
      </c>
      <c r="F1835" t="s">
        <v>90</v>
      </c>
      <c r="G1835">
        <v>1</v>
      </c>
      <c r="H1835">
        <v>1</v>
      </c>
      <c r="I1835" t="s">
        <v>61</v>
      </c>
      <c r="J1835">
        <v>100000</v>
      </c>
      <c r="K1835">
        <v>100000</v>
      </c>
      <c r="L1835" t="s">
        <v>10</v>
      </c>
      <c r="M1835" t="s">
        <v>7</v>
      </c>
      <c r="N1835" t="b">
        <v>0</v>
      </c>
    </row>
    <row r="1836" spans="1:14" x14ac:dyDescent="0.3">
      <c r="A1836" t="s">
        <v>31</v>
      </c>
      <c r="B1836" t="s">
        <v>10</v>
      </c>
      <c r="C1836">
        <v>28</v>
      </c>
      <c r="D1836" t="s">
        <v>65</v>
      </c>
      <c r="E1836" t="s">
        <v>91</v>
      </c>
      <c r="G1836">
        <v>2</v>
      </c>
      <c r="H1836">
        <v>2</v>
      </c>
      <c r="I1836" t="s">
        <v>61</v>
      </c>
      <c r="J1836">
        <v>2400000</v>
      </c>
      <c r="K1836">
        <v>4800000</v>
      </c>
      <c r="L1836" t="s">
        <v>10</v>
      </c>
      <c r="M1836" t="s">
        <v>7</v>
      </c>
      <c r="N1836" t="b">
        <v>0</v>
      </c>
    </row>
    <row r="1837" spans="1:14" x14ac:dyDescent="0.3">
      <c r="A1837" t="s">
        <v>31</v>
      </c>
      <c r="B1837" t="s">
        <v>10</v>
      </c>
      <c r="C1837">
        <v>29</v>
      </c>
      <c r="E1837" t="s">
        <v>92</v>
      </c>
      <c r="G1837">
        <v>2</v>
      </c>
      <c r="H1837">
        <v>2</v>
      </c>
      <c r="I1837" t="s">
        <v>61</v>
      </c>
      <c r="J1837">
        <v>2400000</v>
      </c>
      <c r="K1837">
        <v>4800000</v>
      </c>
      <c r="L1837" t="s">
        <v>10</v>
      </c>
      <c r="M1837" t="s">
        <v>7</v>
      </c>
      <c r="N1837" t="b">
        <v>0</v>
      </c>
    </row>
    <row r="1838" spans="1:14" x14ac:dyDescent="0.3">
      <c r="A1838" t="s">
        <v>31</v>
      </c>
      <c r="B1838" t="s">
        <v>10</v>
      </c>
      <c r="C1838">
        <v>30</v>
      </c>
      <c r="E1838" t="s">
        <v>93</v>
      </c>
      <c r="G1838">
        <v>2</v>
      </c>
      <c r="H1838">
        <v>2</v>
      </c>
      <c r="I1838" t="s">
        <v>61</v>
      </c>
      <c r="J1838">
        <v>3000000</v>
      </c>
      <c r="K1838">
        <v>6000000</v>
      </c>
      <c r="L1838" t="s">
        <v>10</v>
      </c>
      <c r="M1838" t="s">
        <v>7</v>
      </c>
      <c r="N1838" t="b">
        <v>0</v>
      </c>
    </row>
    <row r="1839" spans="1:14" x14ac:dyDescent="0.3">
      <c r="A1839" t="s">
        <v>31</v>
      </c>
      <c r="B1839" t="s">
        <v>10</v>
      </c>
      <c r="C1839">
        <v>31</v>
      </c>
      <c r="D1839" t="s">
        <v>94</v>
      </c>
      <c r="E1839" t="s">
        <v>95</v>
      </c>
      <c r="G1839">
        <v>2</v>
      </c>
      <c r="H1839">
        <v>2</v>
      </c>
      <c r="I1839" t="s">
        <v>61</v>
      </c>
      <c r="J1839">
        <v>1300000</v>
      </c>
      <c r="K1839">
        <v>2600000</v>
      </c>
      <c r="L1839" t="s">
        <v>10</v>
      </c>
      <c r="M1839" t="s">
        <v>7</v>
      </c>
      <c r="N1839" t="b">
        <v>0</v>
      </c>
    </row>
    <row r="1840" spans="1:14" x14ac:dyDescent="0.3">
      <c r="A1840" t="s">
        <v>31</v>
      </c>
      <c r="B1840" t="s">
        <v>10</v>
      </c>
      <c r="C1840">
        <v>32</v>
      </c>
      <c r="D1840" t="s">
        <v>94</v>
      </c>
      <c r="E1840" t="s">
        <v>96</v>
      </c>
      <c r="G1840">
        <v>4</v>
      </c>
      <c r="H1840">
        <v>0.67200000000000004</v>
      </c>
      <c r="I1840" t="s">
        <v>97</v>
      </c>
      <c r="J1840">
        <v>460000</v>
      </c>
      <c r="K1840">
        <v>309120</v>
      </c>
      <c r="L1840" t="s">
        <v>10</v>
      </c>
      <c r="M1840" t="s">
        <v>7</v>
      </c>
      <c r="N1840" t="b">
        <v>0</v>
      </c>
    </row>
    <row r="1841" spans="1:14" x14ac:dyDescent="0.3">
      <c r="A1841" t="s">
        <v>31</v>
      </c>
      <c r="B1841" t="s">
        <v>10</v>
      </c>
      <c r="C1841">
        <v>33</v>
      </c>
      <c r="D1841" t="s">
        <v>98</v>
      </c>
      <c r="E1841" t="s">
        <v>99</v>
      </c>
      <c r="F1841">
        <v>50</v>
      </c>
      <c r="G1841">
        <v>8</v>
      </c>
      <c r="H1841">
        <v>0.8</v>
      </c>
      <c r="I1841" t="s">
        <v>100</v>
      </c>
      <c r="J1841">
        <v>3414400.0000000005</v>
      </c>
      <c r="K1841">
        <v>2731520.0000000005</v>
      </c>
      <c r="L1841" t="s">
        <v>10</v>
      </c>
      <c r="M1841" t="s">
        <v>7</v>
      </c>
      <c r="N1841" t="b">
        <v>0</v>
      </c>
    </row>
    <row r="1842" spans="1:14" x14ac:dyDescent="0.3">
      <c r="A1842" t="s">
        <v>31</v>
      </c>
      <c r="B1842" t="s">
        <v>10</v>
      </c>
      <c r="C1842">
        <v>28</v>
      </c>
      <c r="E1842" t="s">
        <v>101</v>
      </c>
      <c r="H1842">
        <v>8</v>
      </c>
      <c r="I1842" t="s">
        <v>102</v>
      </c>
      <c r="J1842">
        <v>13000000</v>
      </c>
      <c r="K1842">
        <v>104000000</v>
      </c>
      <c r="L1842" t="s">
        <v>10</v>
      </c>
      <c r="M1842" t="s">
        <v>7</v>
      </c>
      <c r="N1842" t="b">
        <v>0</v>
      </c>
    </row>
    <row r="1843" spans="1:14" x14ac:dyDescent="0.3">
      <c r="A1843" t="s">
        <v>31</v>
      </c>
      <c r="B1843" t="s">
        <v>10</v>
      </c>
      <c r="C1843">
        <v>29</v>
      </c>
      <c r="E1843" t="s">
        <v>107</v>
      </c>
      <c r="H1843">
        <v>0</v>
      </c>
      <c r="I1843" t="s">
        <v>108</v>
      </c>
      <c r="K1843">
        <v>0</v>
      </c>
      <c r="L1843" t="s">
        <v>10</v>
      </c>
      <c r="M1843" t="s">
        <v>7</v>
      </c>
      <c r="N1843" t="b">
        <v>0</v>
      </c>
    </row>
    <row r="1844" spans="1:14" x14ac:dyDescent="0.3">
      <c r="A1844" t="s">
        <v>31</v>
      </c>
      <c r="B1844" t="s">
        <v>11</v>
      </c>
      <c r="C1844">
        <v>1</v>
      </c>
      <c r="D1844" t="s">
        <v>75</v>
      </c>
      <c r="E1844" t="s">
        <v>109</v>
      </c>
      <c r="G1844">
        <v>1</v>
      </c>
      <c r="H1844">
        <v>9</v>
      </c>
      <c r="I1844" t="s">
        <v>46</v>
      </c>
      <c r="J1844">
        <v>5200000</v>
      </c>
      <c r="K1844">
        <v>46800000</v>
      </c>
      <c r="L1844" t="s">
        <v>11</v>
      </c>
      <c r="M1844" t="s">
        <v>7</v>
      </c>
      <c r="N1844" t="b">
        <v>0</v>
      </c>
    </row>
    <row r="1845" spans="1:14" x14ac:dyDescent="0.3">
      <c r="A1845" t="s">
        <v>31</v>
      </c>
      <c r="B1845" t="s">
        <v>11</v>
      </c>
      <c r="C1845">
        <v>4</v>
      </c>
      <c r="D1845" t="s">
        <v>110</v>
      </c>
      <c r="E1845" t="s">
        <v>111</v>
      </c>
      <c r="G1845">
        <v>4</v>
      </c>
      <c r="H1845">
        <v>0.5</v>
      </c>
      <c r="I1845" t="s">
        <v>46</v>
      </c>
      <c r="J1845">
        <v>22000000</v>
      </c>
      <c r="K1845">
        <v>11000000</v>
      </c>
      <c r="L1845" t="s">
        <v>11</v>
      </c>
      <c r="M1845" t="s">
        <v>7</v>
      </c>
      <c r="N1845" t="b">
        <v>0</v>
      </c>
    </row>
    <row r="1846" spans="1:14" x14ac:dyDescent="0.3">
      <c r="A1846" t="s">
        <v>31</v>
      </c>
      <c r="B1846" t="s">
        <v>11</v>
      </c>
      <c r="C1846">
        <v>5</v>
      </c>
      <c r="E1846" t="s">
        <v>112</v>
      </c>
      <c r="G1846">
        <v>20</v>
      </c>
      <c r="H1846">
        <v>20</v>
      </c>
      <c r="I1846" t="s">
        <v>61</v>
      </c>
      <c r="J1846">
        <v>26000</v>
      </c>
      <c r="K1846">
        <v>520000</v>
      </c>
      <c r="L1846" t="s">
        <v>11</v>
      </c>
      <c r="M1846" t="s">
        <v>7</v>
      </c>
      <c r="N1846" t="b">
        <v>0</v>
      </c>
    </row>
    <row r="1847" spans="1:14" x14ac:dyDescent="0.3">
      <c r="A1847" t="s">
        <v>31</v>
      </c>
      <c r="B1847" t="s">
        <v>11</v>
      </c>
      <c r="C1847">
        <v>6</v>
      </c>
      <c r="E1847" t="s">
        <v>113</v>
      </c>
      <c r="G1847">
        <v>6</v>
      </c>
      <c r="H1847">
        <v>6</v>
      </c>
      <c r="I1847" t="s">
        <v>61</v>
      </c>
      <c r="J1847">
        <v>195000</v>
      </c>
      <c r="K1847">
        <v>1170000</v>
      </c>
      <c r="L1847" t="s">
        <v>11</v>
      </c>
      <c r="M1847" t="s">
        <v>7</v>
      </c>
      <c r="N1847" t="b">
        <v>0</v>
      </c>
    </row>
    <row r="1848" spans="1:14" x14ac:dyDescent="0.3">
      <c r="A1848" t="s">
        <v>31</v>
      </c>
      <c r="B1848" t="s">
        <v>11</v>
      </c>
      <c r="C1848">
        <v>7</v>
      </c>
      <c r="E1848" t="s">
        <v>114</v>
      </c>
      <c r="G1848">
        <v>20</v>
      </c>
      <c r="H1848">
        <v>20</v>
      </c>
      <c r="I1848" t="s">
        <v>61</v>
      </c>
      <c r="J1848">
        <v>13000</v>
      </c>
      <c r="K1848">
        <v>260000</v>
      </c>
      <c r="L1848" t="s">
        <v>11</v>
      </c>
      <c r="M1848" t="s">
        <v>7</v>
      </c>
      <c r="N1848" t="b">
        <v>0</v>
      </c>
    </row>
    <row r="1849" spans="1:14" x14ac:dyDescent="0.3">
      <c r="A1849" t="s">
        <v>31</v>
      </c>
      <c r="B1849" t="s">
        <v>11</v>
      </c>
      <c r="C1849">
        <v>8</v>
      </c>
      <c r="E1849" t="s">
        <v>115</v>
      </c>
      <c r="G1849">
        <v>20</v>
      </c>
      <c r="H1849">
        <v>20</v>
      </c>
      <c r="I1849" t="s">
        <v>61</v>
      </c>
      <c r="J1849">
        <v>75000</v>
      </c>
      <c r="K1849">
        <v>1500000</v>
      </c>
      <c r="L1849" t="s">
        <v>11</v>
      </c>
      <c r="M1849" t="s">
        <v>7</v>
      </c>
      <c r="N1849" t="b">
        <v>0</v>
      </c>
    </row>
    <row r="1850" spans="1:14" x14ac:dyDescent="0.3">
      <c r="A1850" t="s">
        <v>31</v>
      </c>
      <c r="B1850" t="s">
        <v>11</v>
      </c>
      <c r="C1850">
        <v>9</v>
      </c>
      <c r="E1850" t="s">
        <v>116</v>
      </c>
      <c r="G1850">
        <v>1</v>
      </c>
      <c r="H1850">
        <v>1</v>
      </c>
      <c r="I1850" t="s">
        <v>61</v>
      </c>
      <c r="J1850">
        <v>11250000</v>
      </c>
      <c r="K1850">
        <v>11250000</v>
      </c>
      <c r="L1850" t="s">
        <v>11</v>
      </c>
      <c r="M1850" t="s">
        <v>7</v>
      </c>
      <c r="N1850" t="b">
        <v>0</v>
      </c>
    </row>
    <row r="1851" spans="1:14" x14ac:dyDescent="0.3">
      <c r="A1851" t="s">
        <v>31</v>
      </c>
      <c r="B1851" t="s">
        <v>11</v>
      </c>
      <c r="C1851">
        <v>10</v>
      </c>
      <c r="E1851" t="s">
        <v>117</v>
      </c>
      <c r="G1851">
        <v>1</v>
      </c>
      <c r="H1851">
        <v>1</v>
      </c>
      <c r="I1851" t="s">
        <v>61</v>
      </c>
      <c r="J1851">
        <v>7500000</v>
      </c>
      <c r="K1851">
        <v>7500000</v>
      </c>
      <c r="L1851" t="s">
        <v>11</v>
      </c>
      <c r="M1851" t="s">
        <v>7</v>
      </c>
      <c r="N1851" t="b">
        <v>0</v>
      </c>
    </row>
    <row r="1852" spans="1:14" x14ac:dyDescent="0.3">
      <c r="A1852" t="s">
        <v>31</v>
      </c>
      <c r="B1852" t="s">
        <v>11</v>
      </c>
      <c r="C1852">
        <v>11</v>
      </c>
      <c r="E1852" t="s">
        <v>118</v>
      </c>
      <c r="G1852">
        <v>2</v>
      </c>
      <c r="H1852">
        <v>2</v>
      </c>
      <c r="I1852" t="s">
        <v>61</v>
      </c>
      <c r="J1852">
        <v>150000</v>
      </c>
      <c r="K1852">
        <v>300000</v>
      </c>
      <c r="L1852" t="s">
        <v>11</v>
      </c>
      <c r="M1852" t="s">
        <v>7</v>
      </c>
      <c r="N1852" t="b">
        <v>0</v>
      </c>
    </row>
    <row r="1853" spans="1:14" x14ac:dyDescent="0.3">
      <c r="A1853" t="s">
        <v>31</v>
      </c>
      <c r="B1853" t="s">
        <v>11</v>
      </c>
      <c r="C1853">
        <v>12</v>
      </c>
      <c r="E1853" t="s">
        <v>119</v>
      </c>
      <c r="G1853">
        <v>2</v>
      </c>
      <c r="H1853">
        <v>2</v>
      </c>
      <c r="I1853" t="s">
        <v>61</v>
      </c>
      <c r="J1853">
        <v>100000</v>
      </c>
      <c r="K1853">
        <v>200000</v>
      </c>
      <c r="L1853" t="s">
        <v>11</v>
      </c>
      <c r="M1853" t="s">
        <v>7</v>
      </c>
      <c r="N1853" t="b">
        <v>0</v>
      </c>
    </row>
    <row r="1854" spans="1:14" x14ac:dyDescent="0.3">
      <c r="A1854" t="s">
        <v>31</v>
      </c>
      <c r="B1854" t="s">
        <v>11</v>
      </c>
      <c r="C1854">
        <v>13</v>
      </c>
      <c r="E1854" t="s">
        <v>120</v>
      </c>
      <c r="G1854">
        <v>4</v>
      </c>
      <c r="H1854">
        <v>4</v>
      </c>
      <c r="I1854" t="s">
        <v>61</v>
      </c>
      <c r="J1854">
        <v>50000</v>
      </c>
      <c r="K1854">
        <v>200000</v>
      </c>
      <c r="L1854" t="s">
        <v>11</v>
      </c>
      <c r="M1854" t="s">
        <v>7</v>
      </c>
      <c r="N1854" t="b">
        <v>0</v>
      </c>
    </row>
    <row r="1855" spans="1:14" x14ac:dyDescent="0.3">
      <c r="A1855" t="s">
        <v>31</v>
      </c>
      <c r="B1855" t="s">
        <v>11</v>
      </c>
      <c r="C1855">
        <v>14</v>
      </c>
      <c r="E1855" t="s">
        <v>121</v>
      </c>
      <c r="G1855">
        <v>2</v>
      </c>
      <c r="H1855">
        <v>2</v>
      </c>
      <c r="I1855" t="s">
        <v>61</v>
      </c>
      <c r="J1855">
        <v>100000</v>
      </c>
      <c r="K1855">
        <v>200000</v>
      </c>
      <c r="L1855" t="s">
        <v>11</v>
      </c>
      <c r="M1855" t="s">
        <v>7</v>
      </c>
      <c r="N1855" t="b">
        <v>0</v>
      </c>
    </row>
    <row r="1856" spans="1:14" x14ac:dyDescent="0.3">
      <c r="A1856" t="s">
        <v>31</v>
      </c>
      <c r="B1856" t="s">
        <v>11</v>
      </c>
      <c r="C1856">
        <v>15</v>
      </c>
      <c r="E1856" t="s">
        <v>122</v>
      </c>
      <c r="G1856">
        <v>1</v>
      </c>
      <c r="H1856">
        <v>0.1</v>
      </c>
      <c r="I1856" t="s">
        <v>46</v>
      </c>
      <c r="J1856">
        <v>4200000</v>
      </c>
      <c r="K1856">
        <v>420000</v>
      </c>
      <c r="L1856" t="s">
        <v>11</v>
      </c>
      <c r="M1856" t="s">
        <v>7</v>
      </c>
      <c r="N1856" t="b">
        <v>0</v>
      </c>
    </row>
    <row r="1857" spans="1:14" x14ac:dyDescent="0.3">
      <c r="A1857" t="s">
        <v>31</v>
      </c>
      <c r="B1857" t="s">
        <v>11</v>
      </c>
      <c r="C1857">
        <v>16</v>
      </c>
      <c r="E1857" t="s">
        <v>123</v>
      </c>
      <c r="G1857">
        <v>1</v>
      </c>
      <c r="H1857">
        <v>0.3</v>
      </c>
      <c r="I1857" t="s">
        <v>97</v>
      </c>
      <c r="K1857">
        <v>0</v>
      </c>
      <c r="L1857" t="s">
        <v>11</v>
      </c>
      <c r="M1857" t="s">
        <v>7</v>
      </c>
      <c r="N1857" t="b">
        <v>0</v>
      </c>
    </row>
    <row r="1858" spans="1:14" x14ac:dyDescent="0.3">
      <c r="A1858" t="s">
        <v>31</v>
      </c>
      <c r="B1858" t="s">
        <v>11</v>
      </c>
      <c r="C1858">
        <v>17</v>
      </c>
      <c r="E1858" t="s">
        <v>124</v>
      </c>
      <c r="G1858">
        <v>1</v>
      </c>
      <c r="H1858">
        <v>0.15</v>
      </c>
      <c r="I1858" t="s">
        <v>97</v>
      </c>
      <c r="K1858">
        <v>0</v>
      </c>
      <c r="L1858" t="s">
        <v>11</v>
      </c>
      <c r="M1858" t="s">
        <v>7</v>
      </c>
      <c r="N1858" t="b">
        <v>0</v>
      </c>
    </row>
    <row r="1859" spans="1:14" x14ac:dyDescent="0.3">
      <c r="A1859" t="s">
        <v>31</v>
      </c>
      <c r="B1859" t="s">
        <v>11</v>
      </c>
      <c r="C1859">
        <v>18</v>
      </c>
      <c r="E1859" t="s">
        <v>125</v>
      </c>
      <c r="G1859">
        <v>1</v>
      </c>
      <c r="I1859" t="s">
        <v>61</v>
      </c>
      <c r="K1859">
        <v>0</v>
      </c>
      <c r="L1859" t="s">
        <v>11</v>
      </c>
      <c r="M1859" t="s">
        <v>7</v>
      </c>
      <c r="N1859" t="b">
        <v>0</v>
      </c>
    </row>
    <row r="1860" spans="1:14" x14ac:dyDescent="0.3">
      <c r="A1860" t="s">
        <v>31</v>
      </c>
      <c r="B1860" t="s">
        <v>11</v>
      </c>
      <c r="C1860">
        <v>19</v>
      </c>
      <c r="E1860" t="s">
        <v>126</v>
      </c>
      <c r="G1860">
        <v>1</v>
      </c>
      <c r="I1860" t="s">
        <v>61</v>
      </c>
      <c r="K1860">
        <v>0</v>
      </c>
      <c r="L1860" t="s">
        <v>11</v>
      </c>
      <c r="M1860" t="s">
        <v>7</v>
      </c>
      <c r="N1860" t="b">
        <v>0</v>
      </c>
    </row>
    <row r="1861" spans="1:14" x14ac:dyDescent="0.3">
      <c r="A1861" t="s">
        <v>31</v>
      </c>
      <c r="B1861" t="s">
        <v>11</v>
      </c>
      <c r="C1861">
        <v>20</v>
      </c>
      <c r="E1861" t="s">
        <v>127</v>
      </c>
      <c r="G1861">
        <v>1</v>
      </c>
      <c r="I1861" t="s">
        <v>61</v>
      </c>
      <c r="K1861">
        <v>0</v>
      </c>
      <c r="L1861" t="s">
        <v>11</v>
      </c>
      <c r="M1861" t="s">
        <v>7</v>
      </c>
      <c r="N1861" t="b">
        <v>0</v>
      </c>
    </row>
    <row r="1862" spans="1:14" x14ac:dyDescent="0.3">
      <c r="A1862" t="s">
        <v>31</v>
      </c>
      <c r="B1862" t="s">
        <v>11</v>
      </c>
      <c r="C1862">
        <v>21</v>
      </c>
      <c r="E1862" t="s">
        <v>128</v>
      </c>
      <c r="G1862">
        <v>1</v>
      </c>
      <c r="H1862">
        <v>1</v>
      </c>
      <c r="I1862" t="s">
        <v>61</v>
      </c>
      <c r="J1862">
        <v>74000000</v>
      </c>
      <c r="K1862">
        <v>74000000</v>
      </c>
      <c r="L1862" t="s">
        <v>11</v>
      </c>
      <c r="M1862" t="s">
        <v>7</v>
      </c>
      <c r="N1862" t="b">
        <v>0</v>
      </c>
    </row>
    <row r="1863" spans="1:14" x14ac:dyDescent="0.3">
      <c r="A1863" t="s">
        <v>31</v>
      </c>
      <c r="B1863" t="s">
        <v>11</v>
      </c>
      <c r="C1863">
        <v>7</v>
      </c>
      <c r="E1863" t="s">
        <v>101</v>
      </c>
      <c r="H1863">
        <v>5</v>
      </c>
      <c r="I1863" t="s">
        <v>102</v>
      </c>
      <c r="J1863">
        <v>13000000</v>
      </c>
      <c r="K1863">
        <v>65000000</v>
      </c>
      <c r="L1863" t="s">
        <v>11</v>
      </c>
      <c r="M1863" t="s">
        <v>7</v>
      </c>
      <c r="N1863" t="b">
        <v>0</v>
      </c>
    </row>
    <row r="1864" spans="1:14" x14ac:dyDescent="0.3">
      <c r="A1864" t="s">
        <v>31</v>
      </c>
      <c r="B1864" t="s">
        <v>11</v>
      </c>
      <c r="C1864">
        <v>8</v>
      </c>
      <c r="E1864" t="s">
        <v>107</v>
      </c>
      <c r="H1864">
        <v>0</v>
      </c>
      <c r="I1864" t="s">
        <v>108</v>
      </c>
      <c r="K1864">
        <v>0</v>
      </c>
      <c r="L1864" t="s">
        <v>11</v>
      </c>
      <c r="M1864" t="s">
        <v>7</v>
      </c>
      <c r="N1864" t="b">
        <v>0</v>
      </c>
    </row>
    <row r="1865" spans="1:14" x14ac:dyDescent="0.3">
      <c r="A1865" t="s">
        <v>31</v>
      </c>
      <c r="B1865" t="s">
        <v>12</v>
      </c>
      <c r="C1865">
        <v>1</v>
      </c>
      <c r="D1865" t="s">
        <v>129</v>
      </c>
      <c r="E1865" t="s">
        <v>130</v>
      </c>
      <c r="G1865">
        <v>1</v>
      </c>
      <c r="H1865">
        <v>4</v>
      </c>
      <c r="I1865" t="s">
        <v>131</v>
      </c>
      <c r="J1865">
        <v>17250000</v>
      </c>
      <c r="K1865">
        <v>69000000</v>
      </c>
      <c r="L1865" t="s">
        <v>12</v>
      </c>
      <c r="M1865" t="s">
        <v>7</v>
      </c>
      <c r="N1865" t="b">
        <v>0</v>
      </c>
    </row>
    <row r="1866" spans="1:14" x14ac:dyDescent="0.3">
      <c r="A1866" t="s">
        <v>31</v>
      </c>
      <c r="B1866" t="s">
        <v>12</v>
      </c>
      <c r="D1866" t="s">
        <v>58</v>
      </c>
      <c r="E1866" t="s">
        <v>60</v>
      </c>
      <c r="G1866">
        <v>0</v>
      </c>
      <c r="H1866">
        <v>4</v>
      </c>
      <c r="I1866" t="s">
        <v>46</v>
      </c>
      <c r="J1866">
        <v>3600000</v>
      </c>
      <c r="K1866">
        <v>14400000</v>
      </c>
      <c r="L1866" t="s">
        <v>12</v>
      </c>
      <c r="M1866" t="s">
        <v>7</v>
      </c>
      <c r="N1866" t="b">
        <v>0</v>
      </c>
    </row>
    <row r="1867" spans="1:14" x14ac:dyDescent="0.3">
      <c r="A1867" t="s">
        <v>31</v>
      </c>
      <c r="B1867" t="s">
        <v>12</v>
      </c>
      <c r="C1867">
        <v>3</v>
      </c>
      <c r="E1867" t="s">
        <v>132</v>
      </c>
      <c r="G1867">
        <v>16</v>
      </c>
      <c r="I1867" t="s">
        <v>61</v>
      </c>
      <c r="J1867">
        <v>50000</v>
      </c>
      <c r="K1867">
        <v>800000</v>
      </c>
      <c r="L1867" t="s">
        <v>12</v>
      </c>
      <c r="M1867" t="s">
        <v>7</v>
      </c>
      <c r="N1867" t="b">
        <v>0</v>
      </c>
    </row>
    <row r="1868" spans="1:14" x14ac:dyDescent="0.3">
      <c r="A1868" t="s">
        <v>31</v>
      </c>
      <c r="B1868" t="s">
        <v>12</v>
      </c>
      <c r="C1868">
        <v>4</v>
      </c>
      <c r="E1868" t="s">
        <v>133</v>
      </c>
      <c r="G1868">
        <v>16</v>
      </c>
      <c r="I1868" t="s">
        <v>61</v>
      </c>
      <c r="J1868">
        <v>15000</v>
      </c>
      <c r="K1868">
        <v>240000</v>
      </c>
      <c r="L1868" t="s">
        <v>12</v>
      </c>
      <c r="M1868" t="s">
        <v>7</v>
      </c>
      <c r="N1868" t="b">
        <v>0</v>
      </c>
    </row>
    <row r="1869" spans="1:14" x14ac:dyDescent="0.3">
      <c r="A1869" t="s">
        <v>31</v>
      </c>
      <c r="B1869" t="s">
        <v>12</v>
      </c>
      <c r="C1869">
        <v>5</v>
      </c>
      <c r="E1869" t="s">
        <v>134</v>
      </c>
      <c r="G1869">
        <v>32</v>
      </c>
      <c r="I1869" t="s">
        <v>61</v>
      </c>
      <c r="J1869">
        <v>5000</v>
      </c>
      <c r="K1869">
        <v>160000</v>
      </c>
      <c r="L1869" t="s">
        <v>12</v>
      </c>
      <c r="M1869" t="s">
        <v>7</v>
      </c>
      <c r="N1869" t="b">
        <v>0</v>
      </c>
    </row>
    <row r="1870" spans="1:14" x14ac:dyDescent="0.3">
      <c r="A1870" t="s">
        <v>31</v>
      </c>
      <c r="B1870" t="s">
        <v>12</v>
      </c>
      <c r="C1870">
        <v>6</v>
      </c>
      <c r="E1870" t="s">
        <v>135</v>
      </c>
      <c r="G1870">
        <v>16</v>
      </c>
      <c r="I1870" t="s">
        <v>61</v>
      </c>
      <c r="J1870">
        <v>5000</v>
      </c>
      <c r="K1870">
        <v>80000</v>
      </c>
      <c r="L1870" t="s">
        <v>12</v>
      </c>
      <c r="M1870" t="s">
        <v>7</v>
      </c>
      <c r="N1870" t="b">
        <v>0</v>
      </c>
    </row>
    <row r="1871" spans="1:14" x14ac:dyDescent="0.3">
      <c r="A1871" t="s">
        <v>31</v>
      </c>
      <c r="B1871" t="s">
        <v>12</v>
      </c>
      <c r="C1871">
        <v>7</v>
      </c>
      <c r="E1871" t="s">
        <v>101</v>
      </c>
      <c r="H1871">
        <v>2</v>
      </c>
      <c r="I1871" t="s">
        <v>102</v>
      </c>
      <c r="J1871">
        <v>13000000</v>
      </c>
      <c r="K1871">
        <v>26000000</v>
      </c>
      <c r="L1871" t="s">
        <v>12</v>
      </c>
      <c r="M1871" t="s">
        <v>7</v>
      </c>
      <c r="N1871" t="b">
        <v>0</v>
      </c>
    </row>
    <row r="1872" spans="1:14" x14ac:dyDescent="0.3">
      <c r="A1872" t="s">
        <v>31</v>
      </c>
      <c r="B1872" t="s">
        <v>12</v>
      </c>
      <c r="C1872">
        <v>8</v>
      </c>
      <c r="E1872" t="s">
        <v>107</v>
      </c>
      <c r="H1872">
        <v>0</v>
      </c>
      <c r="I1872" t="s">
        <v>108</v>
      </c>
      <c r="K1872">
        <v>0</v>
      </c>
      <c r="L1872" t="s">
        <v>12</v>
      </c>
      <c r="M1872" t="s">
        <v>7</v>
      </c>
      <c r="N1872" t="b">
        <v>0</v>
      </c>
    </row>
    <row r="1873" spans="1:14" x14ac:dyDescent="0.3">
      <c r="A1873" t="s">
        <v>31</v>
      </c>
      <c r="B1873" t="s">
        <v>13</v>
      </c>
      <c r="C1873">
        <v>1</v>
      </c>
      <c r="D1873" t="s">
        <v>73</v>
      </c>
      <c r="E1873" t="s">
        <v>136</v>
      </c>
      <c r="G1873">
        <v>1</v>
      </c>
      <c r="H1873">
        <v>4</v>
      </c>
      <c r="I1873" t="s">
        <v>46</v>
      </c>
      <c r="J1873">
        <v>8500000</v>
      </c>
      <c r="K1873">
        <v>34000000</v>
      </c>
      <c r="L1873" t="s">
        <v>13</v>
      </c>
      <c r="M1873" t="s">
        <v>7</v>
      </c>
      <c r="N1873" t="b">
        <v>0</v>
      </c>
    </row>
    <row r="1874" spans="1:14" x14ac:dyDescent="0.3">
      <c r="A1874" t="s">
        <v>31</v>
      </c>
      <c r="B1874" t="s">
        <v>13</v>
      </c>
      <c r="D1874" t="s">
        <v>58</v>
      </c>
      <c r="E1874" t="s">
        <v>60</v>
      </c>
      <c r="G1874">
        <v>0</v>
      </c>
      <c r="H1874">
        <v>4</v>
      </c>
      <c r="I1874" t="s">
        <v>46</v>
      </c>
      <c r="J1874">
        <v>3600000</v>
      </c>
      <c r="K1874">
        <v>14400000</v>
      </c>
      <c r="L1874" t="s">
        <v>13</v>
      </c>
      <c r="M1874" t="s">
        <v>7</v>
      </c>
      <c r="N1874" t="b">
        <v>0</v>
      </c>
    </row>
    <row r="1875" spans="1:14" x14ac:dyDescent="0.3">
      <c r="A1875" t="s">
        <v>31</v>
      </c>
      <c r="B1875" t="s">
        <v>13</v>
      </c>
      <c r="C1875">
        <v>3</v>
      </c>
      <c r="E1875" t="s">
        <v>132</v>
      </c>
      <c r="G1875">
        <v>4</v>
      </c>
      <c r="I1875" t="s">
        <v>61</v>
      </c>
      <c r="J1875">
        <v>50000</v>
      </c>
      <c r="K1875">
        <v>200000</v>
      </c>
      <c r="L1875" t="s">
        <v>13</v>
      </c>
      <c r="M1875" t="s">
        <v>7</v>
      </c>
      <c r="N1875" t="b">
        <v>0</v>
      </c>
    </row>
    <row r="1876" spans="1:14" x14ac:dyDescent="0.3">
      <c r="A1876" t="s">
        <v>31</v>
      </c>
      <c r="B1876" t="s">
        <v>13</v>
      </c>
      <c r="C1876">
        <v>4</v>
      </c>
      <c r="E1876" t="s">
        <v>133</v>
      </c>
      <c r="G1876">
        <v>4</v>
      </c>
      <c r="I1876" t="s">
        <v>61</v>
      </c>
      <c r="J1876">
        <v>15000</v>
      </c>
      <c r="K1876">
        <v>60000</v>
      </c>
      <c r="L1876" t="s">
        <v>13</v>
      </c>
      <c r="M1876" t="s">
        <v>7</v>
      </c>
      <c r="N1876" t="b">
        <v>0</v>
      </c>
    </row>
    <row r="1877" spans="1:14" x14ac:dyDescent="0.3">
      <c r="A1877" t="s">
        <v>31</v>
      </c>
      <c r="B1877" t="s">
        <v>13</v>
      </c>
      <c r="C1877">
        <v>5</v>
      </c>
      <c r="E1877" t="s">
        <v>134</v>
      </c>
      <c r="G1877">
        <v>8</v>
      </c>
      <c r="I1877" t="s">
        <v>61</v>
      </c>
      <c r="J1877">
        <v>5000</v>
      </c>
      <c r="K1877">
        <v>40000</v>
      </c>
      <c r="L1877" t="s">
        <v>13</v>
      </c>
      <c r="M1877" t="s">
        <v>7</v>
      </c>
      <c r="N1877" t="b">
        <v>0</v>
      </c>
    </row>
    <row r="1878" spans="1:14" x14ac:dyDescent="0.3">
      <c r="A1878" t="s">
        <v>31</v>
      </c>
      <c r="B1878" t="s">
        <v>13</v>
      </c>
      <c r="C1878">
        <v>6</v>
      </c>
      <c r="E1878" t="s">
        <v>135</v>
      </c>
      <c r="G1878">
        <v>4</v>
      </c>
      <c r="I1878" t="s">
        <v>61</v>
      </c>
      <c r="J1878">
        <v>5000</v>
      </c>
      <c r="K1878">
        <v>20000</v>
      </c>
      <c r="L1878" t="s">
        <v>13</v>
      </c>
      <c r="M1878" t="s">
        <v>7</v>
      </c>
      <c r="N1878" t="b">
        <v>0</v>
      </c>
    </row>
    <row r="1879" spans="1:14" x14ac:dyDescent="0.3">
      <c r="A1879" t="s">
        <v>31</v>
      </c>
      <c r="B1879" t="s">
        <v>13</v>
      </c>
      <c r="C1879">
        <v>7</v>
      </c>
      <c r="E1879" t="s">
        <v>101</v>
      </c>
      <c r="H1879">
        <v>5</v>
      </c>
      <c r="I1879" t="s">
        <v>102</v>
      </c>
      <c r="J1879">
        <v>13000000</v>
      </c>
      <c r="K1879">
        <v>65000000</v>
      </c>
      <c r="L1879" t="s">
        <v>13</v>
      </c>
      <c r="M1879" t="s">
        <v>7</v>
      </c>
      <c r="N1879" t="b">
        <v>0</v>
      </c>
    </row>
    <row r="1880" spans="1:14" x14ac:dyDescent="0.3">
      <c r="A1880" t="s">
        <v>31</v>
      </c>
      <c r="B1880" t="s">
        <v>13</v>
      </c>
      <c r="C1880">
        <v>8</v>
      </c>
      <c r="E1880" t="s">
        <v>107</v>
      </c>
      <c r="H1880">
        <v>0</v>
      </c>
      <c r="I1880" t="s">
        <v>108</v>
      </c>
      <c r="K1880">
        <v>0</v>
      </c>
      <c r="L1880" t="s">
        <v>13</v>
      </c>
      <c r="M1880" t="s">
        <v>7</v>
      </c>
      <c r="N1880" t="b">
        <v>0</v>
      </c>
    </row>
    <row r="1881" spans="1:14" x14ac:dyDescent="0.3">
      <c r="A1881" t="s">
        <v>31</v>
      </c>
      <c r="B1881" t="s">
        <v>14</v>
      </c>
      <c r="C1881">
        <v>1</v>
      </c>
      <c r="D1881" t="s">
        <v>73</v>
      </c>
      <c r="E1881" t="s">
        <v>137</v>
      </c>
      <c r="G1881">
        <v>1</v>
      </c>
      <c r="H1881">
        <v>4</v>
      </c>
      <c r="I1881" t="s">
        <v>46</v>
      </c>
      <c r="J1881">
        <v>8500000</v>
      </c>
      <c r="K1881">
        <v>34000000</v>
      </c>
      <c r="L1881" t="s">
        <v>14</v>
      </c>
      <c r="M1881" t="s">
        <v>7</v>
      </c>
      <c r="N1881" t="b">
        <v>0</v>
      </c>
    </row>
    <row r="1882" spans="1:14" x14ac:dyDescent="0.3">
      <c r="A1882" t="s">
        <v>31</v>
      </c>
      <c r="B1882" t="s">
        <v>14</v>
      </c>
      <c r="D1882" t="s">
        <v>58</v>
      </c>
      <c r="E1882" t="s">
        <v>60</v>
      </c>
      <c r="G1882">
        <v>0</v>
      </c>
      <c r="H1882">
        <v>4</v>
      </c>
      <c r="I1882" t="s">
        <v>46</v>
      </c>
      <c r="J1882">
        <v>3600000</v>
      </c>
      <c r="K1882">
        <v>14400000</v>
      </c>
      <c r="L1882" t="s">
        <v>14</v>
      </c>
      <c r="M1882" t="s">
        <v>7</v>
      </c>
      <c r="N1882" t="b">
        <v>0</v>
      </c>
    </row>
    <row r="1883" spans="1:14" x14ac:dyDescent="0.3">
      <c r="A1883" t="s">
        <v>31</v>
      </c>
      <c r="B1883" t="s">
        <v>14</v>
      </c>
      <c r="C1883">
        <v>3</v>
      </c>
      <c r="E1883" t="s">
        <v>132</v>
      </c>
      <c r="G1883">
        <v>16</v>
      </c>
      <c r="I1883" t="s">
        <v>61</v>
      </c>
      <c r="J1883">
        <v>50000</v>
      </c>
      <c r="K1883">
        <v>800000</v>
      </c>
      <c r="L1883" t="s">
        <v>14</v>
      </c>
      <c r="M1883" t="s">
        <v>7</v>
      </c>
      <c r="N1883" t="b">
        <v>0</v>
      </c>
    </row>
    <row r="1884" spans="1:14" x14ac:dyDescent="0.3">
      <c r="A1884" t="s">
        <v>31</v>
      </c>
      <c r="B1884" t="s">
        <v>14</v>
      </c>
      <c r="C1884">
        <v>4</v>
      </c>
      <c r="E1884" t="s">
        <v>133</v>
      </c>
      <c r="G1884">
        <v>16</v>
      </c>
      <c r="I1884" t="s">
        <v>61</v>
      </c>
      <c r="J1884">
        <v>15000</v>
      </c>
      <c r="K1884">
        <v>240000</v>
      </c>
      <c r="L1884" t="s">
        <v>14</v>
      </c>
      <c r="M1884" t="s">
        <v>7</v>
      </c>
      <c r="N1884" t="b">
        <v>0</v>
      </c>
    </row>
    <row r="1885" spans="1:14" x14ac:dyDescent="0.3">
      <c r="A1885" t="s">
        <v>31</v>
      </c>
      <c r="B1885" t="s">
        <v>14</v>
      </c>
      <c r="C1885">
        <v>5</v>
      </c>
      <c r="E1885" t="s">
        <v>134</v>
      </c>
      <c r="G1885">
        <v>32</v>
      </c>
      <c r="I1885" t="s">
        <v>61</v>
      </c>
      <c r="J1885">
        <v>5000</v>
      </c>
      <c r="K1885">
        <v>160000</v>
      </c>
      <c r="L1885" t="s">
        <v>14</v>
      </c>
      <c r="M1885" t="s">
        <v>7</v>
      </c>
      <c r="N1885" t="b">
        <v>0</v>
      </c>
    </row>
    <row r="1886" spans="1:14" x14ac:dyDescent="0.3">
      <c r="A1886" t="s">
        <v>31</v>
      </c>
      <c r="B1886" t="s">
        <v>14</v>
      </c>
      <c r="C1886">
        <v>6</v>
      </c>
      <c r="E1886" t="s">
        <v>135</v>
      </c>
      <c r="G1886">
        <v>16</v>
      </c>
      <c r="I1886" t="s">
        <v>61</v>
      </c>
      <c r="J1886">
        <v>5000</v>
      </c>
      <c r="K1886">
        <v>80000</v>
      </c>
      <c r="L1886" t="s">
        <v>14</v>
      </c>
      <c r="M1886" t="s">
        <v>7</v>
      </c>
      <c r="N1886" t="b">
        <v>0</v>
      </c>
    </row>
    <row r="1887" spans="1:14" x14ac:dyDescent="0.3">
      <c r="A1887" t="s">
        <v>31</v>
      </c>
      <c r="B1887" t="s">
        <v>14</v>
      </c>
      <c r="C1887">
        <v>7</v>
      </c>
      <c r="E1887" t="s">
        <v>101</v>
      </c>
      <c r="H1887">
        <v>5</v>
      </c>
      <c r="I1887" t="s">
        <v>102</v>
      </c>
      <c r="J1887">
        <v>13000000</v>
      </c>
      <c r="K1887">
        <v>65000000</v>
      </c>
      <c r="L1887" t="s">
        <v>14</v>
      </c>
      <c r="M1887" t="s">
        <v>7</v>
      </c>
      <c r="N1887" t="b">
        <v>0</v>
      </c>
    </row>
    <row r="1888" spans="1:14" x14ac:dyDescent="0.3">
      <c r="A1888" t="s">
        <v>31</v>
      </c>
      <c r="B1888" t="s">
        <v>14</v>
      </c>
      <c r="C1888">
        <v>8</v>
      </c>
      <c r="E1888" t="s">
        <v>107</v>
      </c>
      <c r="H1888">
        <v>0</v>
      </c>
      <c r="I1888" t="s">
        <v>108</v>
      </c>
      <c r="K1888">
        <v>0</v>
      </c>
      <c r="L1888" t="s">
        <v>14</v>
      </c>
      <c r="M1888" t="s">
        <v>7</v>
      </c>
      <c r="N1888" t="b">
        <v>0</v>
      </c>
    </row>
    <row r="1889" spans="1:14" x14ac:dyDescent="0.3">
      <c r="A1889" t="s">
        <v>31</v>
      </c>
      <c r="B1889" t="s">
        <v>15</v>
      </c>
      <c r="C1889">
        <v>1</v>
      </c>
      <c r="D1889" t="s">
        <v>75</v>
      </c>
      <c r="E1889" t="s">
        <v>138</v>
      </c>
      <c r="G1889">
        <v>1</v>
      </c>
      <c r="H1889">
        <v>25</v>
      </c>
      <c r="I1889" t="s">
        <v>46</v>
      </c>
      <c r="J1889">
        <v>5200000</v>
      </c>
      <c r="K1889">
        <v>130000000</v>
      </c>
      <c r="L1889" t="s">
        <v>15</v>
      </c>
      <c r="M1889" t="s">
        <v>7</v>
      </c>
      <c r="N1889" t="b">
        <v>0</v>
      </c>
    </row>
    <row r="1890" spans="1:14" x14ac:dyDescent="0.3">
      <c r="A1890" t="s">
        <v>31</v>
      </c>
      <c r="B1890" t="s">
        <v>15</v>
      </c>
      <c r="D1890" t="s">
        <v>75</v>
      </c>
      <c r="E1890" t="s">
        <v>139</v>
      </c>
      <c r="G1890">
        <v>1</v>
      </c>
      <c r="I1890" t="s">
        <v>46</v>
      </c>
      <c r="K1890">
        <v>0</v>
      </c>
      <c r="L1890" t="s">
        <v>15</v>
      </c>
      <c r="M1890" t="s">
        <v>7</v>
      </c>
      <c r="N1890" t="b">
        <v>0</v>
      </c>
    </row>
    <row r="1891" spans="1:14" x14ac:dyDescent="0.3">
      <c r="A1891" t="s">
        <v>31</v>
      </c>
      <c r="B1891" t="s">
        <v>15</v>
      </c>
      <c r="C1891">
        <v>3</v>
      </c>
      <c r="E1891" t="s">
        <v>140</v>
      </c>
      <c r="G1891">
        <v>32</v>
      </c>
      <c r="I1891" t="s">
        <v>61</v>
      </c>
      <c r="J1891">
        <v>10000</v>
      </c>
      <c r="K1891">
        <v>320000</v>
      </c>
      <c r="L1891" t="s">
        <v>15</v>
      </c>
      <c r="M1891" t="s">
        <v>7</v>
      </c>
      <c r="N1891" t="b">
        <v>0</v>
      </c>
    </row>
    <row r="1892" spans="1:14" x14ac:dyDescent="0.3">
      <c r="A1892" t="s">
        <v>31</v>
      </c>
      <c r="B1892" t="s">
        <v>15</v>
      </c>
      <c r="C1892">
        <v>4</v>
      </c>
      <c r="E1892" t="s">
        <v>69</v>
      </c>
      <c r="G1892">
        <v>32</v>
      </c>
      <c r="I1892" t="s">
        <v>61</v>
      </c>
      <c r="J1892">
        <v>60000</v>
      </c>
      <c r="K1892">
        <v>1920000</v>
      </c>
      <c r="L1892" t="s">
        <v>15</v>
      </c>
      <c r="M1892" t="s">
        <v>7</v>
      </c>
      <c r="N1892" t="b">
        <v>0</v>
      </c>
    </row>
    <row r="1893" spans="1:14" x14ac:dyDescent="0.3">
      <c r="A1893" t="s">
        <v>31</v>
      </c>
      <c r="B1893" t="s">
        <v>15</v>
      </c>
      <c r="C1893">
        <v>5</v>
      </c>
      <c r="E1893" t="s">
        <v>141</v>
      </c>
      <c r="G1893">
        <v>32</v>
      </c>
      <c r="I1893" t="s">
        <v>61</v>
      </c>
      <c r="J1893">
        <v>60000</v>
      </c>
      <c r="K1893">
        <v>1920000</v>
      </c>
      <c r="L1893" t="s">
        <v>15</v>
      </c>
      <c r="M1893" t="s">
        <v>7</v>
      </c>
      <c r="N1893" t="b">
        <v>0</v>
      </c>
    </row>
    <row r="1894" spans="1:14" x14ac:dyDescent="0.3">
      <c r="A1894" t="s">
        <v>31</v>
      </c>
      <c r="B1894" t="s">
        <v>15</v>
      </c>
      <c r="C1894">
        <v>6</v>
      </c>
      <c r="E1894" t="s">
        <v>140</v>
      </c>
      <c r="G1894">
        <v>12</v>
      </c>
      <c r="I1894" t="s">
        <v>61</v>
      </c>
      <c r="J1894">
        <v>10000</v>
      </c>
      <c r="K1894">
        <v>120000</v>
      </c>
      <c r="L1894" t="s">
        <v>15</v>
      </c>
      <c r="M1894" t="s">
        <v>7</v>
      </c>
      <c r="N1894" t="b">
        <v>0</v>
      </c>
    </row>
    <row r="1895" spans="1:14" x14ac:dyDescent="0.3">
      <c r="A1895" t="s">
        <v>31</v>
      </c>
      <c r="B1895" t="s">
        <v>15</v>
      </c>
      <c r="C1895">
        <v>7</v>
      </c>
      <c r="E1895" t="s">
        <v>142</v>
      </c>
      <c r="G1895">
        <v>12</v>
      </c>
      <c r="I1895" t="s">
        <v>61</v>
      </c>
      <c r="J1895">
        <v>10000</v>
      </c>
      <c r="K1895">
        <v>120000</v>
      </c>
      <c r="L1895" t="s">
        <v>15</v>
      </c>
      <c r="M1895" t="s">
        <v>7</v>
      </c>
      <c r="N1895" t="b">
        <v>0</v>
      </c>
    </row>
    <row r="1896" spans="1:14" x14ac:dyDescent="0.3">
      <c r="A1896" t="s">
        <v>31</v>
      </c>
      <c r="B1896" t="s">
        <v>15</v>
      </c>
      <c r="C1896">
        <v>8</v>
      </c>
      <c r="E1896" t="s">
        <v>114</v>
      </c>
      <c r="G1896">
        <v>12</v>
      </c>
      <c r="I1896" t="s">
        <v>61</v>
      </c>
      <c r="J1896">
        <v>60000</v>
      </c>
      <c r="K1896">
        <v>720000</v>
      </c>
      <c r="L1896" t="s">
        <v>15</v>
      </c>
      <c r="M1896" t="s">
        <v>7</v>
      </c>
      <c r="N1896" t="b">
        <v>0</v>
      </c>
    </row>
    <row r="1897" spans="1:14" x14ac:dyDescent="0.3">
      <c r="A1897" t="s">
        <v>31</v>
      </c>
      <c r="B1897" t="s">
        <v>15</v>
      </c>
      <c r="C1897">
        <v>9</v>
      </c>
      <c r="E1897" t="s">
        <v>143</v>
      </c>
      <c r="G1897">
        <v>32</v>
      </c>
      <c r="I1897" t="s">
        <v>61</v>
      </c>
      <c r="J1897">
        <v>10000</v>
      </c>
      <c r="K1897">
        <v>320000</v>
      </c>
      <c r="L1897" t="s">
        <v>15</v>
      </c>
      <c r="M1897" t="s">
        <v>7</v>
      </c>
      <c r="N1897" t="b">
        <v>0</v>
      </c>
    </row>
    <row r="1898" spans="1:14" x14ac:dyDescent="0.3">
      <c r="A1898" t="s">
        <v>31</v>
      </c>
      <c r="B1898" t="s">
        <v>15</v>
      </c>
      <c r="C1898">
        <v>10</v>
      </c>
      <c r="E1898" t="s">
        <v>57</v>
      </c>
      <c r="G1898">
        <v>25</v>
      </c>
      <c r="I1898" t="s">
        <v>46</v>
      </c>
      <c r="J1898">
        <v>1430000</v>
      </c>
      <c r="K1898">
        <v>35750000</v>
      </c>
      <c r="L1898" t="s">
        <v>15</v>
      </c>
      <c r="M1898" t="s">
        <v>7</v>
      </c>
      <c r="N1898" t="b">
        <v>0</v>
      </c>
    </row>
    <row r="1899" spans="1:14" x14ac:dyDescent="0.3">
      <c r="A1899" t="s">
        <v>31</v>
      </c>
      <c r="B1899" t="s">
        <v>15</v>
      </c>
      <c r="E1899" t="s">
        <v>96</v>
      </c>
      <c r="G1899">
        <v>1</v>
      </c>
      <c r="H1899">
        <v>6</v>
      </c>
      <c r="I1899" t="s">
        <v>97</v>
      </c>
      <c r="J1899">
        <v>460000</v>
      </c>
      <c r="K1899">
        <v>2760000</v>
      </c>
      <c r="L1899" t="s">
        <v>15</v>
      </c>
      <c r="M1899" t="s">
        <v>7</v>
      </c>
      <c r="N1899" t="b">
        <v>0</v>
      </c>
    </row>
    <row r="1900" spans="1:14" x14ac:dyDescent="0.3">
      <c r="A1900" t="s">
        <v>31</v>
      </c>
      <c r="B1900" t="s">
        <v>15</v>
      </c>
      <c r="C1900">
        <v>11</v>
      </c>
      <c r="E1900" t="s">
        <v>101</v>
      </c>
      <c r="H1900">
        <v>5</v>
      </c>
      <c r="I1900" t="s">
        <v>102</v>
      </c>
      <c r="J1900">
        <v>13000000</v>
      </c>
      <c r="K1900">
        <v>65000000</v>
      </c>
      <c r="L1900" t="s">
        <v>15</v>
      </c>
      <c r="M1900" t="s">
        <v>7</v>
      </c>
      <c r="N1900" t="b">
        <v>0</v>
      </c>
    </row>
    <row r="1901" spans="1:14" x14ac:dyDescent="0.3">
      <c r="A1901" t="s">
        <v>31</v>
      </c>
      <c r="B1901" t="s">
        <v>15</v>
      </c>
      <c r="C1901">
        <v>12</v>
      </c>
      <c r="E1901" t="s">
        <v>107</v>
      </c>
      <c r="H1901">
        <v>0</v>
      </c>
      <c r="I1901" t="s">
        <v>108</v>
      </c>
      <c r="K1901">
        <v>0</v>
      </c>
      <c r="L1901" t="s">
        <v>15</v>
      </c>
      <c r="M1901" t="s">
        <v>7</v>
      </c>
      <c r="N1901" t="b">
        <v>0</v>
      </c>
    </row>
    <row r="1902" spans="1:14" x14ac:dyDescent="0.3">
      <c r="A1902" t="s">
        <v>31</v>
      </c>
      <c r="B1902" t="s">
        <v>16</v>
      </c>
      <c r="C1902">
        <v>1</v>
      </c>
      <c r="D1902" t="s">
        <v>144</v>
      </c>
      <c r="E1902" t="s">
        <v>145</v>
      </c>
      <c r="F1902" t="s">
        <v>146</v>
      </c>
      <c r="G1902">
        <v>2</v>
      </c>
      <c r="H1902">
        <v>2.8296000000000001</v>
      </c>
      <c r="I1902" t="s">
        <v>46</v>
      </c>
      <c r="J1902">
        <v>800000</v>
      </c>
      <c r="K1902">
        <v>2263680</v>
      </c>
      <c r="L1902" t="s">
        <v>16</v>
      </c>
      <c r="M1902" t="s">
        <v>7</v>
      </c>
      <c r="N1902" t="b">
        <v>0</v>
      </c>
    </row>
    <row r="1903" spans="1:14" x14ac:dyDescent="0.3">
      <c r="A1903" t="s">
        <v>31</v>
      </c>
      <c r="B1903" t="s">
        <v>16</v>
      </c>
      <c r="E1903" t="s">
        <v>147</v>
      </c>
      <c r="F1903" t="s">
        <v>148</v>
      </c>
      <c r="G1903">
        <v>2</v>
      </c>
      <c r="H1903">
        <v>0.94320000000000004</v>
      </c>
      <c r="I1903" t="s">
        <v>46</v>
      </c>
      <c r="J1903">
        <v>800000</v>
      </c>
      <c r="K1903">
        <v>754560</v>
      </c>
      <c r="L1903" t="s">
        <v>16</v>
      </c>
      <c r="M1903" t="s">
        <v>7</v>
      </c>
      <c r="N1903" t="b">
        <v>0</v>
      </c>
    </row>
    <row r="1904" spans="1:14" x14ac:dyDescent="0.3">
      <c r="A1904" t="s">
        <v>31</v>
      </c>
      <c r="B1904" t="s">
        <v>16</v>
      </c>
      <c r="E1904" t="s">
        <v>149</v>
      </c>
      <c r="G1904">
        <v>2</v>
      </c>
      <c r="I1904" t="s">
        <v>61</v>
      </c>
      <c r="J1904">
        <v>5000000</v>
      </c>
      <c r="K1904">
        <v>10000000</v>
      </c>
      <c r="L1904" t="s">
        <v>16</v>
      </c>
      <c r="M1904" t="s">
        <v>7</v>
      </c>
      <c r="N1904" t="b">
        <v>0</v>
      </c>
    </row>
    <row r="1905" spans="1:14" x14ac:dyDescent="0.3">
      <c r="A1905" t="s">
        <v>31</v>
      </c>
      <c r="B1905" t="s">
        <v>16</v>
      </c>
      <c r="C1905">
        <v>2</v>
      </c>
      <c r="E1905" t="s">
        <v>150</v>
      </c>
      <c r="F1905">
        <v>260</v>
      </c>
      <c r="G1905">
        <v>2</v>
      </c>
      <c r="H1905">
        <v>0.52</v>
      </c>
      <c r="I1905" t="s">
        <v>151</v>
      </c>
      <c r="J1905">
        <v>2000000</v>
      </c>
      <c r="K1905">
        <v>1040000</v>
      </c>
      <c r="L1905" t="s">
        <v>16</v>
      </c>
      <c r="M1905" t="s">
        <v>7</v>
      </c>
      <c r="N1905" t="b">
        <v>0</v>
      </c>
    </row>
    <row r="1906" spans="1:14" x14ac:dyDescent="0.3">
      <c r="A1906" t="s">
        <v>31</v>
      </c>
      <c r="B1906" t="s">
        <v>16</v>
      </c>
      <c r="E1906" t="s">
        <v>152</v>
      </c>
      <c r="G1906">
        <v>10</v>
      </c>
      <c r="I1906" t="s">
        <v>61</v>
      </c>
      <c r="J1906">
        <v>200000</v>
      </c>
      <c r="K1906">
        <v>2000000</v>
      </c>
      <c r="L1906" t="s">
        <v>16</v>
      </c>
      <c r="M1906" t="s">
        <v>7</v>
      </c>
      <c r="N1906" t="b">
        <v>0</v>
      </c>
    </row>
    <row r="1907" spans="1:14" x14ac:dyDescent="0.3">
      <c r="A1907" t="s">
        <v>31</v>
      </c>
      <c r="B1907" t="s">
        <v>16</v>
      </c>
      <c r="C1907">
        <v>7</v>
      </c>
      <c r="E1907" t="s">
        <v>153</v>
      </c>
      <c r="G1907">
        <v>4</v>
      </c>
      <c r="H1907">
        <v>4</v>
      </c>
      <c r="I1907" t="s">
        <v>61</v>
      </c>
      <c r="J1907">
        <v>300000</v>
      </c>
      <c r="K1907">
        <v>1200000</v>
      </c>
      <c r="L1907" t="s">
        <v>16</v>
      </c>
      <c r="M1907" t="s">
        <v>7</v>
      </c>
      <c r="N1907" t="b">
        <v>0</v>
      </c>
    </row>
    <row r="1908" spans="1:14" x14ac:dyDescent="0.3">
      <c r="A1908" t="s">
        <v>31</v>
      </c>
      <c r="B1908" t="s">
        <v>16</v>
      </c>
      <c r="C1908">
        <v>8</v>
      </c>
      <c r="E1908" t="s">
        <v>134</v>
      </c>
      <c r="G1908">
        <v>10</v>
      </c>
      <c r="H1908">
        <v>10</v>
      </c>
      <c r="I1908" t="s">
        <v>61</v>
      </c>
      <c r="J1908">
        <v>30000</v>
      </c>
      <c r="K1908">
        <v>300000</v>
      </c>
      <c r="L1908" t="s">
        <v>16</v>
      </c>
      <c r="M1908" t="s">
        <v>7</v>
      </c>
      <c r="N1908" t="b">
        <v>0</v>
      </c>
    </row>
    <row r="1909" spans="1:14" x14ac:dyDescent="0.3">
      <c r="A1909" t="s">
        <v>31</v>
      </c>
      <c r="B1909" t="s">
        <v>16</v>
      </c>
      <c r="C1909">
        <v>9</v>
      </c>
      <c r="E1909" t="s">
        <v>154</v>
      </c>
      <c r="G1909">
        <v>4</v>
      </c>
      <c r="H1909">
        <v>4</v>
      </c>
      <c r="I1909" t="s">
        <v>61</v>
      </c>
      <c r="J1909">
        <v>30000</v>
      </c>
      <c r="K1909">
        <v>120000</v>
      </c>
      <c r="L1909" t="s">
        <v>16</v>
      </c>
      <c r="M1909" t="s">
        <v>7</v>
      </c>
      <c r="N1909" t="b">
        <v>0</v>
      </c>
    </row>
    <row r="1910" spans="1:14" x14ac:dyDescent="0.3">
      <c r="A1910" t="s">
        <v>31</v>
      </c>
      <c r="B1910" t="s">
        <v>16</v>
      </c>
      <c r="C1910">
        <v>12</v>
      </c>
      <c r="E1910" t="s">
        <v>120</v>
      </c>
      <c r="G1910">
        <v>4</v>
      </c>
      <c r="H1910">
        <v>4</v>
      </c>
      <c r="I1910" t="s">
        <v>61</v>
      </c>
      <c r="J1910">
        <v>30000</v>
      </c>
      <c r="K1910">
        <v>120000</v>
      </c>
      <c r="L1910" t="s">
        <v>16</v>
      </c>
      <c r="M1910" t="s">
        <v>7</v>
      </c>
      <c r="N1910" t="b">
        <v>0</v>
      </c>
    </row>
    <row r="1911" spans="1:14" x14ac:dyDescent="0.3">
      <c r="A1911" t="s">
        <v>31</v>
      </c>
      <c r="B1911" t="s">
        <v>16</v>
      </c>
      <c r="C1911">
        <v>13</v>
      </c>
      <c r="E1911" t="s">
        <v>101</v>
      </c>
      <c r="H1911">
        <v>1</v>
      </c>
      <c r="I1911" t="s">
        <v>102</v>
      </c>
      <c r="J1911">
        <v>13000000</v>
      </c>
      <c r="K1911">
        <v>13000000</v>
      </c>
      <c r="L1911" t="s">
        <v>16</v>
      </c>
      <c r="M1911" t="s">
        <v>7</v>
      </c>
      <c r="N1911" t="b">
        <v>0</v>
      </c>
    </row>
    <row r="1912" spans="1:14" x14ac:dyDescent="0.3">
      <c r="A1912" t="s">
        <v>31</v>
      </c>
      <c r="B1912" t="s">
        <v>16</v>
      </c>
      <c r="C1912">
        <v>14</v>
      </c>
      <c r="E1912" t="s">
        <v>107</v>
      </c>
      <c r="H1912">
        <v>0</v>
      </c>
      <c r="I1912" t="s">
        <v>108</v>
      </c>
      <c r="K1912">
        <v>0</v>
      </c>
      <c r="L1912" t="s">
        <v>16</v>
      </c>
      <c r="M1912" t="s">
        <v>7</v>
      </c>
      <c r="N1912" t="b">
        <v>0</v>
      </c>
    </row>
    <row r="1913" spans="1:14" x14ac:dyDescent="0.3">
      <c r="A1913" t="s">
        <v>31</v>
      </c>
      <c r="B1913" t="s">
        <v>16</v>
      </c>
      <c r="E1913" t="s">
        <v>155</v>
      </c>
      <c r="F1913">
        <v>300</v>
      </c>
      <c r="G1913">
        <v>200</v>
      </c>
      <c r="H1913">
        <v>3</v>
      </c>
      <c r="I1913">
        <v>7.86</v>
      </c>
      <c r="K1913">
        <v>1.4148000000000001</v>
      </c>
      <c r="L1913" t="s">
        <v>16</v>
      </c>
      <c r="M1913" t="s">
        <v>7</v>
      </c>
      <c r="N1913" t="b">
        <v>0</v>
      </c>
    </row>
    <row r="1914" spans="1:14" x14ac:dyDescent="0.3">
      <c r="A1914" t="s">
        <v>31</v>
      </c>
      <c r="B1914" t="s">
        <v>16</v>
      </c>
      <c r="E1914" t="s">
        <v>156</v>
      </c>
      <c r="F1914">
        <v>200</v>
      </c>
      <c r="G1914">
        <v>100</v>
      </c>
      <c r="H1914">
        <v>3</v>
      </c>
      <c r="I1914">
        <v>7.86</v>
      </c>
      <c r="K1914">
        <v>0.47160000000000002</v>
      </c>
      <c r="L1914" t="s">
        <v>16</v>
      </c>
      <c r="M1914" t="s">
        <v>7</v>
      </c>
      <c r="N1914" t="b">
        <v>0</v>
      </c>
    </row>
    <row r="1915" spans="1:14" x14ac:dyDescent="0.3">
      <c r="A1915" t="s">
        <v>31</v>
      </c>
      <c r="B1915" t="s">
        <v>17</v>
      </c>
      <c r="C1915">
        <v>1</v>
      </c>
      <c r="D1915" t="s">
        <v>75</v>
      </c>
      <c r="E1915" t="s">
        <v>157</v>
      </c>
      <c r="G1915">
        <v>1</v>
      </c>
      <c r="H1915">
        <v>1.6485000000000001</v>
      </c>
      <c r="I1915" t="s">
        <v>46</v>
      </c>
      <c r="J1915">
        <v>700000</v>
      </c>
      <c r="K1915">
        <v>1153950</v>
      </c>
      <c r="L1915" t="s">
        <v>17</v>
      </c>
      <c r="M1915" t="s">
        <v>7</v>
      </c>
      <c r="N1915" t="b">
        <v>0</v>
      </c>
    </row>
    <row r="1916" spans="1:14" x14ac:dyDescent="0.3">
      <c r="A1916" t="s">
        <v>31</v>
      </c>
      <c r="B1916" t="s">
        <v>17</v>
      </c>
      <c r="C1916">
        <v>2</v>
      </c>
      <c r="D1916" t="s">
        <v>75</v>
      </c>
      <c r="E1916" t="s">
        <v>158</v>
      </c>
      <c r="G1916">
        <v>2</v>
      </c>
      <c r="I1916" t="s">
        <v>151</v>
      </c>
      <c r="J1916">
        <v>1200000</v>
      </c>
      <c r="K1916">
        <v>2400000</v>
      </c>
      <c r="L1916" t="s">
        <v>17</v>
      </c>
      <c r="M1916" t="s">
        <v>7</v>
      </c>
      <c r="N1916" t="b">
        <v>0</v>
      </c>
    </row>
    <row r="1917" spans="1:14" x14ac:dyDescent="0.3">
      <c r="A1917" t="s">
        <v>31</v>
      </c>
      <c r="B1917" t="s">
        <v>17</v>
      </c>
      <c r="C1917">
        <v>3</v>
      </c>
      <c r="E1917" t="s">
        <v>159</v>
      </c>
      <c r="G1917">
        <v>2</v>
      </c>
      <c r="I1917" t="s">
        <v>61</v>
      </c>
      <c r="J1917">
        <v>100000</v>
      </c>
      <c r="K1917">
        <v>200000</v>
      </c>
      <c r="L1917" t="s">
        <v>17</v>
      </c>
      <c r="M1917" t="s">
        <v>7</v>
      </c>
      <c r="N1917" t="b">
        <v>0</v>
      </c>
    </row>
    <row r="1918" spans="1:14" x14ac:dyDescent="0.3">
      <c r="A1918" t="s">
        <v>31</v>
      </c>
      <c r="B1918" t="s">
        <v>17</v>
      </c>
      <c r="C1918">
        <v>4</v>
      </c>
      <c r="E1918" t="s">
        <v>133</v>
      </c>
      <c r="G1918">
        <v>6</v>
      </c>
      <c r="I1918" t="s">
        <v>61</v>
      </c>
      <c r="J1918">
        <v>10000</v>
      </c>
      <c r="K1918">
        <v>60000</v>
      </c>
      <c r="L1918" t="s">
        <v>17</v>
      </c>
      <c r="M1918" t="s">
        <v>7</v>
      </c>
      <c r="N1918" t="b">
        <v>0</v>
      </c>
    </row>
    <row r="1919" spans="1:14" x14ac:dyDescent="0.3">
      <c r="A1919" t="s">
        <v>31</v>
      </c>
      <c r="B1919" t="s">
        <v>17</v>
      </c>
      <c r="C1919">
        <v>5</v>
      </c>
      <c r="E1919" t="s">
        <v>134</v>
      </c>
      <c r="G1919">
        <v>6</v>
      </c>
      <c r="I1919" t="s">
        <v>61</v>
      </c>
      <c r="J1919">
        <v>5000</v>
      </c>
      <c r="K1919">
        <v>30000</v>
      </c>
      <c r="L1919" t="s">
        <v>17</v>
      </c>
      <c r="M1919" t="s">
        <v>7</v>
      </c>
      <c r="N1919" t="b">
        <v>0</v>
      </c>
    </row>
    <row r="1920" spans="1:14" x14ac:dyDescent="0.3">
      <c r="A1920" t="s">
        <v>31</v>
      </c>
      <c r="B1920" t="s">
        <v>17</v>
      </c>
      <c r="C1920">
        <v>6</v>
      </c>
      <c r="E1920" t="s">
        <v>160</v>
      </c>
      <c r="G1920">
        <v>2</v>
      </c>
      <c r="I1920" t="s">
        <v>61</v>
      </c>
      <c r="J1920">
        <v>500000</v>
      </c>
      <c r="K1920">
        <v>1000000</v>
      </c>
      <c r="L1920" t="s">
        <v>17</v>
      </c>
      <c r="M1920" t="s">
        <v>7</v>
      </c>
      <c r="N1920" t="b">
        <v>0</v>
      </c>
    </row>
    <row r="1921" spans="1:14" x14ac:dyDescent="0.3">
      <c r="A1921" t="s">
        <v>31</v>
      </c>
      <c r="B1921" t="s">
        <v>17</v>
      </c>
      <c r="C1921">
        <v>7</v>
      </c>
      <c r="E1921" t="s">
        <v>161</v>
      </c>
      <c r="G1921">
        <v>2</v>
      </c>
      <c r="I1921" t="s">
        <v>61</v>
      </c>
      <c r="J1921">
        <v>10000</v>
      </c>
      <c r="K1921">
        <v>20000</v>
      </c>
      <c r="L1921" t="s">
        <v>17</v>
      </c>
      <c r="M1921" t="s">
        <v>7</v>
      </c>
      <c r="N1921" t="b">
        <v>0</v>
      </c>
    </row>
    <row r="1922" spans="1:14" x14ac:dyDescent="0.3">
      <c r="A1922" t="s">
        <v>31</v>
      </c>
      <c r="B1922" t="s">
        <v>17</v>
      </c>
      <c r="C1922">
        <v>8</v>
      </c>
      <c r="E1922" t="s">
        <v>142</v>
      </c>
      <c r="G1922">
        <v>2</v>
      </c>
      <c r="I1922" t="s">
        <v>61</v>
      </c>
      <c r="J1922">
        <v>5000</v>
      </c>
      <c r="K1922">
        <v>10000</v>
      </c>
      <c r="L1922" t="s">
        <v>17</v>
      </c>
      <c r="M1922" t="s">
        <v>7</v>
      </c>
      <c r="N1922" t="b">
        <v>0</v>
      </c>
    </row>
    <row r="1923" spans="1:14" x14ac:dyDescent="0.3">
      <c r="A1923" t="s">
        <v>31</v>
      </c>
      <c r="B1923" t="s">
        <v>17</v>
      </c>
      <c r="C1923">
        <v>9</v>
      </c>
      <c r="E1923" t="s">
        <v>114</v>
      </c>
      <c r="G1923">
        <v>2</v>
      </c>
      <c r="I1923" t="s">
        <v>61</v>
      </c>
      <c r="J1923">
        <v>60000</v>
      </c>
      <c r="K1923">
        <v>120000</v>
      </c>
      <c r="L1923" t="s">
        <v>17</v>
      </c>
      <c r="M1923" t="s">
        <v>7</v>
      </c>
      <c r="N1923" t="b">
        <v>0</v>
      </c>
    </row>
    <row r="1924" spans="1:14" x14ac:dyDescent="0.3">
      <c r="A1924" t="s">
        <v>31</v>
      </c>
      <c r="B1924" t="s">
        <v>17</v>
      </c>
      <c r="C1924">
        <v>10</v>
      </c>
      <c r="E1924" t="s">
        <v>101</v>
      </c>
      <c r="H1924">
        <v>3</v>
      </c>
      <c r="I1924" t="s">
        <v>102</v>
      </c>
      <c r="J1924">
        <v>13000000</v>
      </c>
      <c r="K1924">
        <v>39000000</v>
      </c>
      <c r="L1924" t="s">
        <v>17</v>
      </c>
      <c r="M1924" t="s">
        <v>7</v>
      </c>
      <c r="N1924" t="b">
        <v>0</v>
      </c>
    </row>
    <row r="1925" spans="1:14" x14ac:dyDescent="0.3">
      <c r="A1925" t="s">
        <v>31</v>
      </c>
      <c r="B1925" t="s">
        <v>17</v>
      </c>
      <c r="C1925">
        <v>11</v>
      </c>
      <c r="E1925" t="s">
        <v>107</v>
      </c>
      <c r="H1925">
        <v>0</v>
      </c>
      <c r="I1925" t="s">
        <v>108</v>
      </c>
      <c r="K1925">
        <v>0</v>
      </c>
      <c r="L1925" t="s">
        <v>17</v>
      </c>
      <c r="M1925" t="s">
        <v>7</v>
      </c>
      <c r="N1925" t="b">
        <v>0</v>
      </c>
    </row>
    <row r="1926" spans="1:14" x14ac:dyDescent="0.3">
      <c r="A1926" t="s">
        <v>31</v>
      </c>
      <c r="B1926" t="s">
        <v>18</v>
      </c>
      <c r="C1926">
        <v>1</v>
      </c>
      <c r="D1926" t="s">
        <v>144</v>
      </c>
      <c r="E1926" t="s">
        <v>145</v>
      </c>
      <c r="F1926" t="s">
        <v>162</v>
      </c>
      <c r="G1926">
        <v>1</v>
      </c>
      <c r="H1926">
        <v>0.58950000000000002</v>
      </c>
      <c r="I1926" t="s">
        <v>46</v>
      </c>
      <c r="J1926">
        <v>800000</v>
      </c>
      <c r="K1926">
        <v>471600</v>
      </c>
      <c r="L1926" t="s">
        <v>18</v>
      </c>
      <c r="M1926" t="s">
        <v>7</v>
      </c>
      <c r="N1926" t="b">
        <v>0</v>
      </c>
    </row>
    <row r="1927" spans="1:14" x14ac:dyDescent="0.3">
      <c r="A1927" t="s">
        <v>31</v>
      </c>
      <c r="B1927" t="s">
        <v>18</v>
      </c>
      <c r="C1927">
        <v>2</v>
      </c>
      <c r="D1927" t="s">
        <v>73</v>
      </c>
      <c r="E1927" t="s">
        <v>163</v>
      </c>
      <c r="F1927" t="s">
        <v>164</v>
      </c>
      <c r="G1927">
        <v>2</v>
      </c>
      <c r="H1927">
        <v>1.2631449600000002</v>
      </c>
      <c r="I1927" t="s">
        <v>46</v>
      </c>
      <c r="J1927">
        <v>1500000</v>
      </c>
      <c r="K1927">
        <v>3000000</v>
      </c>
      <c r="L1927" t="s">
        <v>18</v>
      </c>
      <c r="M1927" t="s">
        <v>7</v>
      </c>
      <c r="N1927" t="b">
        <v>0</v>
      </c>
    </row>
    <row r="1928" spans="1:14" x14ac:dyDescent="0.3">
      <c r="A1928" t="s">
        <v>31</v>
      </c>
      <c r="B1928" t="s">
        <v>18</v>
      </c>
      <c r="C1928">
        <v>7</v>
      </c>
      <c r="E1928" t="s">
        <v>66</v>
      </c>
      <c r="G1928">
        <v>2</v>
      </c>
      <c r="H1928">
        <v>2</v>
      </c>
      <c r="I1928" t="s">
        <v>61</v>
      </c>
      <c r="J1928">
        <v>50000</v>
      </c>
      <c r="K1928">
        <v>100000</v>
      </c>
      <c r="L1928" t="s">
        <v>18</v>
      </c>
      <c r="M1928" t="s">
        <v>7</v>
      </c>
      <c r="N1928" t="b">
        <v>0</v>
      </c>
    </row>
    <row r="1929" spans="1:14" x14ac:dyDescent="0.3">
      <c r="A1929" t="s">
        <v>31</v>
      </c>
      <c r="B1929" t="s">
        <v>18</v>
      </c>
      <c r="C1929">
        <v>8</v>
      </c>
      <c r="E1929" t="s">
        <v>141</v>
      </c>
      <c r="G1929">
        <v>4</v>
      </c>
      <c r="H1929">
        <v>4</v>
      </c>
      <c r="I1929" t="s">
        <v>61</v>
      </c>
      <c r="J1929">
        <v>30000</v>
      </c>
      <c r="K1929">
        <v>120000</v>
      </c>
      <c r="L1929" t="s">
        <v>18</v>
      </c>
      <c r="M1929" t="s">
        <v>7</v>
      </c>
      <c r="N1929" t="b">
        <v>0</v>
      </c>
    </row>
    <row r="1930" spans="1:14" x14ac:dyDescent="0.3">
      <c r="A1930" t="s">
        <v>31</v>
      </c>
      <c r="B1930" t="s">
        <v>18</v>
      </c>
      <c r="C1930">
        <v>9</v>
      </c>
      <c r="E1930" t="s">
        <v>165</v>
      </c>
      <c r="G1930">
        <v>1</v>
      </c>
      <c r="H1930">
        <v>1</v>
      </c>
      <c r="I1930" t="s">
        <v>61</v>
      </c>
      <c r="J1930">
        <v>30000</v>
      </c>
      <c r="K1930">
        <v>30000</v>
      </c>
      <c r="L1930" t="s">
        <v>18</v>
      </c>
      <c r="M1930" t="s">
        <v>7</v>
      </c>
      <c r="N1930" t="b">
        <v>0</v>
      </c>
    </row>
    <row r="1931" spans="1:14" x14ac:dyDescent="0.3">
      <c r="A1931" t="s">
        <v>31</v>
      </c>
      <c r="B1931" t="s">
        <v>18</v>
      </c>
      <c r="C1931">
        <v>13</v>
      </c>
      <c r="E1931" t="s">
        <v>101</v>
      </c>
      <c r="H1931">
        <v>1</v>
      </c>
      <c r="I1931" t="s">
        <v>102</v>
      </c>
      <c r="J1931">
        <v>13000000</v>
      </c>
      <c r="K1931">
        <v>13000000</v>
      </c>
      <c r="L1931" t="s">
        <v>18</v>
      </c>
      <c r="M1931" t="s">
        <v>7</v>
      </c>
      <c r="N1931" t="b">
        <v>0</v>
      </c>
    </row>
    <row r="1932" spans="1:14" x14ac:dyDescent="0.3">
      <c r="A1932" t="s">
        <v>31</v>
      </c>
      <c r="B1932" t="s">
        <v>18</v>
      </c>
      <c r="C1932">
        <v>14</v>
      </c>
      <c r="E1932" t="s">
        <v>107</v>
      </c>
      <c r="H1932">
        <v>0</v>
      </c>
      <c r="I1932" t="s">
        <v>108</v>
      </c>
      <c r="K1932">
        <v>0</v>
      </c>
      <c r="L1932" t="s">
        <v>18</v>
      </c>
      <c r="M1932" t="s">
        <v>7</v>
      </c>
      <c r="N1932" t="b">
        <v>0</v>
      </c>
    </row>
    <row r="1933" spans="1:14" x14ac:dyDescent="0.3">
      <c r="A1933" t="s">
        <v>31</v>
      </c>
      <c r="B1933" t="s">
        <v>18</v>
      </c>
      <c r="E1933" t="s">
        <v>155</v>
      </c>
      <c r="F1933">
        <v>300</v>
      </c>
      <c r="G1933">
        <v>100</v>
      </c>
      <c r="H1933">
        <v>2.5</v>
      </c>
      <c r="I1933">
        <v>7.86</v>
      </c>
      <c r="K1933">
        <v>0.58950000000000002</v>
      </c>
      <c r="L1933" t="s">
        <v>18</v>
      </c>
      <c r="M1933" t="s">
        <v>7</v>
      </c>
      <c r="N1933" t="b">
        <v>0</v>
      </c>
    </row>
    <row r="1934" spans="1:14" x14ac:dyDescent="0.3">
      <c r="A1934" t="s">
        <v>182</v>
      </c>
      <c r="B1934" t="s">
        <v>183</v>
      </c>
      <c r="C1934">
        <v>1</v>
      </c>
      <c r="D1934" t="s">
        <v>44</v>
      </c>
      <c r="E1934" t="s">
        <v>45</v>
      </c>
      <c r="F1934">
        <v>2735</v>
      </c>
      <c r="G1934">
        <v>2</v>
      </c>
      <c r="H1934">
        <v>7.6580000000000004</v>
      </c>
      <c r="I1934" t="s">
        <v>46</v>
      </c>
      <c r="J1934">
        <v>8500000</v>
      </c>
      <c r="K1934">
        <v>65092999.999999993</v>
      </c>
      <c r="L1934" t="s">
        <v>183</v>
      </c>
      <c r="M1934" t="s">
        <v>7</v>
      </c>
      <c r="N1934" t="b">
        <v>0</v>
      </c>
    </row>
    <row r="1935" spans="1:14" x14ac:dyDescent="0.3">
      <c r="A1935" t="s">
        <v>182</v>
      </c>
      <c r="B1935" t="s">
        <v>183</v>
      </c>
      <c r="C1935">
        <v>2</v>
      </c>
      <c r="E1935" t="s">
        <v>47</v>
      </c>
      <c r="F1935">
        <v>2735</v>
      </c>
      <c r="G1935">
        <v>1</v>
      </c>
      <c r="H1935">
        <v>3.8290000000000002</v>
      </c>
      <c r="I1935" t="s">
        <v>46</v>
      </c>
      <c r="J1935">
        <v>8500000</v>
      </c>
      <c r="K1935">
        <v>32546499.999999996</v>
      </c>
      <c r="L1935" t="s">
        <v>183</v>
      </c>
      <c r="M1935" t="s">
        <v>7</v>
      </c>
      <c r="N1935" t="b">
        <v>0</v>
      </c>
    </row>
    <row r="1936" spans="1:14" x14ac:dyDescent="0.3">
      <c r="A1936" t="s">
        <v>182</v>
      </c>
      <c r="B1936" t="s">
        <v>183</v>
      </c>
      <c r="C1936">
        <v>3</v>
      </c>
      <c r="E1936" t="s">
        <v>184</v>
      </c>
      <c r="F1936">
        <v>2703</v>
      </c>
      <c r="G1936">
        <v>6</v>
      </c>
      <c r="H1936">
        <v>42.166800000000002</v>
      </c>
      <c r="I1936" t="s">
        <v>46</v>
      </c>
      <c r="J1936">
        <v>8500000</v>
      </c>
      <c r="K1936">
        <v>358417800</v>
      </c>
      <c r="L1936" t="s">
        <v>183</v>
      </c>
      <c r="M1936" t="s">
        <v>7</v>
      </c>
      <c r="N1936" t="b">
        <v>0</v>
      </c>
    </row>
    <row r="1937" spans="1:14" x14ac:dyDescent="0.3">
      <c r="A1937" t="s">
        <v>182</v>
      </c>
      <c r="B1937" t="s">
        <v>183</v>
      </c>
      <c r="C1937">
        <v>4</v>
      </c>
      <c r="E1937" t="s">
        <v>49</v>
      </c>
      <c r="F1937">
        <v>120</v>
      </c>
      <c r="G1937">
        <v>4</v>
      </c>
      <c r="H1937">
        <v>0.48</v>
      </c>
      <c r="I1937" t="s">
        <v>46</v>
      </c>
      <c r="J1937">
        <v>8500000</v>
      </c>
      <c r="K1937">
        <v>4080000</v>
      </c>
      <c r="L1937" t="s">
        <v>183</v>
      </c>
      <c r="M1937" t="s">
        <v>7</v>
      </c>
      <c r="N1937" t="b">
        <v>0</v>
      </c>
    </row>
    <row r="1938" spans="1:14" x14ac:dyDescent="0.3">
      <c r="A1938" t="s">
        <v>182</v>
      </c>
      <c r="B1938" t="s">
        <v>183</v>
      </c>
      <c r="C1938">
        <v>5</v>
      </c>
      <c r="E1938" t="s">
        <v>50</v>
      </c>
      <c r="F1938">
        <v>180</v>
      </c>
      <c r="G1938">
        <v>4</v>
      </c>
      <c r="H1938">
        <v>3.516696</v>
      </c>
      <c r="I1938" t="s">
        <v>46</v>
      </c>
      <c r="J1938">
        <v>8500000</v>
      </c>
      <c r="K1938">
        <v>29891916</v>
      </c>
      <c r="L1938" t="s">
        <v>183</v>
      </c>
      <c r="M1938" t="s">
        <v>7</v>
      </c>
      <c r="N1938" t="b">
        <v>0</v>
      </c>
    </row>
    <row r="1939" spans="1:14" x14ac:dyDescent="0.3">
      <c r="A1939" t="s">
        <v>182</v>
      </c>
      <c r="B1939" t="s">
        <v>183</v>
      </c>
      <c r="C1939">
        <v>6</v>
      </c>
      <c r="E1939" t="s">
        <v>51</v>
      </c>
      <c r="F1939" t="s">
        <v>173</v>
      </c>
      <c r="G1939">
        <v>12</v>
      </c>
      <c r="H1939">
        <v>101.61676799999999</v>
      </c>
      <c r="I1939" t="s">
        <v>46</v>
      </c>
      <c r="J1939">
        <v>8500000</v>
      </c>
      <c r="K1939">
        <v>863742528.00000012</v>
      </c>
      <c r="L1939" t="s">
        <v>183</v>
      </c>
      <c r="M1939" t="s">
        <v>7</v>
      </c>
      <c r="N1939" t="b">
        <v>0</v>
      </c>
    </row>
    <row r="1940" spans="1:14" x14ac:dyDescent="0.3">
      <c r="A1940" t="s">
        <v>182</v>
      </c>
      <c r="B1940" t="s">
        <v>183</v>
      </c>
      <c r="C1940">
        <v>7</v>
      </c>
      <c r="D1940" t="s">
        <v>52</v>
      </c>
      <c r="E1940" t="s">
        <v>53</v>
      </c>
      <c r="F1940">
        <v>0.13</v>
      </c>
      <c r="G1940">
        <v>13.68576</v>
      </c>
      <c r="H1940">
        <v>13.68576</v>
      </c>
      <c r="I1940" t="s">
        <v>54</v>
      </c>
      <c r="J1940">
        <v>4275000</v>
      </c>
      <c r="K1940">
        <v>58506624</v>
      </c>
      <c r="L1940" t="s">
        <v>183</v>
      </c>
      <c r="M1940" t="s">
        <v>7</v>
      </c>
      <c r="N1940" t="b">
        <v>0</v>
      </c>
    </row>
    <row r="1941" spans="1:14" x14ac:dyDescent="0.3">
      <c r="A1941" t="s">
        <v>182</v>
      </c>
      <c r="B1941" t="s">
        <v>183</v>
      </c>
      <c r="C1941">
        <v>8</v>
      </c>
      <c r="E1941" t="s">
        <v>55</v>
      </c>
      <c r="F1941">
        <v>0.35</v>
      </c>
      <c r="G1941">
        <v>6.0217344000000006</v>
      </c>
      <c r="H1941">
        <v>6.0217344000000006</v>
      </c>
      <c r="I1941" t="s">
        <v>46</v>
      </c>
      <c r="J1941">
        <v>35750000</v>
      </c>
      <c r="K1941">
        <v>215277004.80000001</v>
      </c>
      <c r="L1941" t="s">
        <v>183</v>
      </c>
      <c r="M1941" t="s">
        <v>7</v>
      </c>
      <c r="N1941" t="b">
        <v>0</v>
      </c>
    </row>
    <row r="1942" spans="1:14" x14ac:dyDescent="0.3">
      <c r="A1942" t="s">
        <v>182</v>
      </c>
      <c r="B1942" t="s">
        <v>183</v>
      </c>
      <c r="C1942">
        <v>9</v>
      </c>
      <c r="E1942" t="s">
        <v>55</v>
      </c>
      <c r="F1942">
        <v>0.2</v>
      </c>
      <c r="G1942">
        <v>0</v>
      </c>
      <c r="H1942">
        <v>0</v>
      </c>
      <c r="I1942" t="s">
        <v>46</v>
      </c>
      <c r="J1942">
        <v>45760000</v>
      </c>
      <c r="K1942">
        <v>0</v>
      </c>
      <c r="L1942" t="s">
        <v>183</v>
      </c>
      <c r="M1942" t="s">
        <v>7</v>
      </c>
      <c r="N1942" t="b">
        <v>0</v>
      </c>
    </row>
    <row r="1943" spans="1:14" x14ac:dyDescent="0.3">
      <c r="A1943" t="s">
        <v>182</v>
      </c>
      <c r="B1943" t="s">
        <v>183</v>
      </c>
      <c r="C1943">
        <v>10</v>
      </c>
      <c r="D1943" t="s">
        <v>56</v>
      </c>
      <c r="E1943" t="s">
        <v>57</v>
      </c>
      <c r="G1943">
        <v>53.653799999999997</v>
      </c>
      <c r="H1943">
        <v>53.653799999999997</v>
      </c>
      <c r="I1943" t="s">
        <v>46</v>
      </c>
      <c r="J1943">
        <v>1430000</v>
      </c>
      <c r="K1943">
        <v>76724934</v>
      </c>
      <c r="L1943" t="s">
        <v>183</v>
      </c>
      <c r="M1943" t="s">
        <v>7</v>
      </c>
      <c r="N1943" t="b">
        <v>0</v>
      </c>
    </row>
    <row r="1944" spans="1:14" x14ac:dyDescent="0.3">
      <c r="A1944" t="s">
        <v>182</v>
      </c>
      <c r="B1944" t="s">
        <v>183</v>
      </c>
      <c r="C1944">
        <v>11</v>
      </c>
      <c r="D1944" t="s">
        <v>58</v>
      </c>
      <c r="E1944" t="s">
        <v>59</v>
      </c>
      <c r="G1944">
        <v>24</v>
      </c>
      <c r="H1944">
        <v>24</v>
      </c>
      <c r="I1944" t="s">
        <v>46</v>
      </c>
      <c r="J1944">
        <v>3000000</v>
      </c>
      <c r="K1944">
        <v>72000000</v>
      </c>
      <c r="L1944" t="s">
        <v>183</v>
      </c>
      <c r="M1944" t="s">
        <v>7</v>
      </c>
      <c r="N1944" t="b">
        <v>0</v>
      </c>
    </row>
    <row r="1945" spans="1:14" x14ac:dyDescent="0.3">
      <c r="A1945" t="s">
        <v>182</v>
      </c>
      <c r="B1945" t="s">
        <v>183</v>
      </c>
      <c r="C1945">
        <v>12</v>
      </c>
      <c r="E1945" t="s">
        <v>60</v>
      </c>
      <c r="G1945">
        <v>101.61676799999999</v>
      </c>
      <c r="H1945">
        <v>101.61676799999999</v>
      </c>
      <c r="I1945" t="s">
        <v>61</v>
      </c>
      <c r="J1945">
        <v>3600000</v>
      </c>
      <c r="K1945">
        <v>365820364.80000001</v>
      </c>
      <c r="L1945" t="s">
        <v>183</v>
      </c>
      <c r="M1945" t="s">
        <v>7</v>
      </c>
      <c r="N1945" t="b">
        <v>0</v>
      </c>
    </row>
    <row r="1946" spans="1:14" x14ac:dyDescent="0.3">
      <c r="A1946" t="s">
        <v>182</v>
      </c>
      <c r="B1946" t="s">
        <v>183</v>
      </c>
      <c r="C1946">
        <v>13</v>
      </c>
      <c r="D1946" t="s">
        <v>62</v>
      </c>
      <c r="E1946" t="s">
        <v>63</v>
      </c>
      <c r="G1946">
        <v>35.64</v>
      </c>
      <c r="H1946">
        <v>35.64</v>
      </c>
      <c r="I1946" t="s">
        <v>61</v>
      </c>
      <c r="J1946">
        <v>3600000</v>
      </c>
      <c r="K1946">
        <v>128304000</v>
      </c>
      <c r="L1946" t="s">
        <v>183</v>
      </c>
      <c r="M1946" t="s">
        <v>7</v>
      </c>
      <c r="N1946" t="b">
        <v>0</v>
      </c>
    </row>
    <row r="1947" spans="1:14" x14ac:dyDescent="0.3">
      <c r="A1947" t="s">
        <v>182</v>
      </c>
      <c r="B1947" t="s">
        <v>183</v>
      </c>
      <c r="C1947">
        <v>14</v>
      </c>
      <c r="E1947" t="s">
        <v>64</v>
      </c>
      <c r="G1947">
        <v>0.6</v>
      </c>
      <c r="H1947">
        <v>0.6</v>
      </c>
      <c r="I1947" t="s">
        <v>61</v>
      </c>
      <c r="J1947">
        <v>5500000</v>
      </c>
      <c r="K1947">
        <v>3300000</v>
      </c>
      <c r="L1947" t="s">
        <v>183</v>
      </c>
      <c r="M1947" t="s">
        <v>7</v>
      </c>
      <c r="N1947" t="b">
        <v>0</v>
      </c>
    </row>
    <row r="1948" spans="1:14" x14ac:dyDescent="0.3">
      <c r="A1948" t="s">
        <v>182</v>
      </c>
      <c r="B1948" t="s">
        <v>183</v>
      </c>
      <c r="C1948">
        <v>15</v>
      </c>
      <c r="D1948" t="s">
        <v>65</v>
      </c>
      <c r="E1948" t="s">
        <v>66</v>
      </c>
      <c r="G1948" t="s">
        <v>67</v>
      </c>
      <c r="H1948" t="s">
        <v>67</v>
      </c>
      <c r="I1948" t="s">
        <v>61</v>
      </c>
      <c r="J1948">
        <v>200000</v>
      </c>
      <c r="K1948">
        <v>16000000</v>
      </c>
      <c r="L1948" t="s">
        <v>183</v>
      </c>
      <c r="M1948" t="s">
        <v>7</v>
      </c>
      <c r="N1948" t="b">
        <v>0</v>
      </c>
    </row>
    <row r="1949" spans="1:14" x14ac:dyDescent="0.3">
      <c r="A1949" t="s">
        <v>182</v>
      </c>
      <c r="B1949" t="s">
        <v>183</v>
      </c>
      <c r="C1949">
        <v>16</v>
      </c>
      <c r="E1949" t="s">
        <v>68</v>
      </c>
      <c r="G1949">
        <v>8</v>
      </c>
      <c r="H1949">
        <v>8</v>
      </c>
      <c r="I1949" t="s">
        <v>61</v>
      </c>
      <c r="J1949">
        <v>200000</v>
      </c>
      <c r="K1949">
        <v>1600000</v>
      </c>
      <c r="L1949" t="s">
        <v>183</v>
      </c>
      <c r="M1949" t="s">
        <v>7</v>
      </c>
      <c r="N1949" t="b">
        <v>0</v>
      </c>
    </row>
    <row r="1950" spans="1:14" x14ac:dyDescent="0.3">
      <c r="A1950" t="s">
        <v>182</v>
      </c>
      <c r="B1950" t="s">
        <v>183</v>
      </c>
      <c r="C1950">
        <v>17</v>
      </c>
      <c r="E1950" t="s">
        <v>69</v>
      </c>
      <c r="G1950">
        <v>88</v>
      </c>
      <c r="H1950">
        <v>88</v>
      </c>
      <c r="I1950" t="s">
        <v>61</v>
      </c>
      <c r="J1950">
        <v>200000</v>
      </c>
      <c r="K1950">
        <v>17600000</v>
      </c>
      <c r="L1950" t="s">
        <v>183</v>
      </c>
      <c r="M1950" t="s">
        <v>7</v>
      </c>
      <c r="N1950" t="b">
        <v>0</v>
      </c>
    </row>
    <row r="1951" spans="1:14" x14ac:dyDescent="0.3">
      <c r="A1951" t="s">
        <v>182</v>
      </c>
      <c r="B1951" t="s">
        <v>183</v>
      </c>
      <c r="C1951">
        <v>18</v>
      </c>
      <c r="E1951" t="s">
        <v>70</v>
      </c>
      <c r="G1951">
        <v>16</v>
      </c>
      <c r="H1951">
        <v>16</v>
      </c>
      <c r="I1951" t="s">
        <v>61</v>
      </c>
      <c r="J1951">
        <v>400000</v>
      </c>
      <c r="K1951">
        <v>6400000</v>
      </c>
      <c r="L1951" t="s">
        <v>183</v>
      </c>
      <c r="M1951" t="s">
        <v>7</v>
      </c>
      <c r="N1951" t="b">
        <v>0</v>
      </c>
    </row>
    <row r="1952" spans="1:14" x14ac:dyDescent="0.3">
      <c r="A1952" t="s">
        <v>182</v>
      </c>
      <c r="B1952" t="s">
        <v>183</v>
      </c>
      <c r="C1952">
        <v>19</v>
      </c>
      <c r="E1952" t="s">
        <v>71</v>
      </c>
      <c r="G1952">
        <v>16</v>
      </c>
      <c r="H1952">
        <v>16</v>
      </c>
      <c r="I1952" t="s">
        <v>61</v>
      </c>
      <c r="J1952">
        <v>120000</v>
      </c>
      <c r="K1952">
        <v>1920000</v>
      </c>
      <c r="L1952" t="s">
        <v>183</v>
      </c>
      <c r="M1952" t="s">
        <v>7</v>
      </c>
      <c r="N1952" t="b">
        <v>0</v>
      </c>
    </row>
    <row r="1953" spans="1:14" x14ac:dyDescent="0.3">
      <c r="A1953" t="s">
        <v>182</v>
      </c>
      <c r="B1953" t="s">
        <v>183</v>
      </c>
      <c r="C1953">
        <v>20</v>
      </c>
      <c r="E1953" t="s">
        <v>72</v>
      </c>
      <c r="G1953">
        <v>24</v>
      </c>
      <c r="H1953">
        <v>24</v>
      </c>
      <c r="I1953" t="s">
        <v>61</v>
      </c>
      <c r="J1953">
        <v>400000</v>
      </c>
      <c r="K1953">
        <v>9600000</v>
      </c>
      <c r="L1953" t="s">
        <v>183</v>
      </c>
      <c r="M1953" t="s">
        <v>7</v>
      </c>
      <c r="N1953" t="b">
        <v>0</v>
      </c>
    </row>
    <row r="1954" spans="1:14" x14ac:dyDescent="0.3">
      <c r="A1954" t="s">
        <v>182</v>
      </c>
      <c r="B1954" t="s">
        <v>183</v>
      </c>
      <c r="C1954">
        <v>21</v>
      </c>
      <c r="D1954" t="s">
        <v>73</v>
      </c>
      <c r="E1954" t="s">
        <v>74</v>
      </c>
      <c r="F1954">
        <v>132</v>
      </c>
      <c r="G1954">
        <v>24</v>
      </c>
      <c r="H1954">
        <v>14.987427840000002</v>
      </c>
      <c r="I1954" t="s">
        <v>46</v>
      </c>
      <c r="J1954">
        <v>35000000</v>
      </c>
      <c r="K1954">
        <v>524559974.4000001</v>
      </c>
      <c r="L1954" t="s">
        <v>183</v>
      </c>
      <c r="M1954" t="s">
        <v>7</v>
      </c>
      <c r="N1954" t="b">
        <v>0</v>
      </c>
    </row>
    <row r="1955" spans="1:14" x14ac:dyDescent="0.3">
      <c r="A1955" t="s">
        <v>182</v>
      </c>
      <c r="B1955" t="s">
        <v>183</v>
      </c>
      <c r="C1955">
        <v>22</v>
      </c>
      <c r="D1955" t="s">
        <v>75</v>
      </c>
      <c r="E1955" t="s">
        <v>76</v>
      </c>
      <c r="F1955" t="s">
        <v>77</v>
      </c>
      <c r="G1955">
        <v>2</v>
      </c>
      <c r="H1955">
        <v>3.8</v>
      </c>
      <c r="I1955" t="s">
        <v>46</v>
      </c>
      <c r="J1955">
        <v>5200000</v>
      </c>
      <c r="K1955">
        <v>19760000</v>
      </c>
      <c r="L1955" t="s">
        <v>183</v>
      </c>
      <c r="M1955" t="s">
        <v>7</v>
      </c>
      <c r="N1955" t="b">
        <v>0</v>
      </c>
    </row>
    <row r="1956" spans="1:14" x14ac:dyDescent="0.3">
      <c r="A1956" t="s">
        <v>182</v>
      </c>
      <c r="B1956" t="s">
        <v>183</v>
      </c>
      <c r="C1956">
        <v>23</v>
      </c>
      <c r="E1956" t="s">
        <v>78</v>
      </c>
      <c r="F1956" t="s">
        <v>79</v>
      </c>
      <c r="G1956">
        <v>2</v>
      </c>
      <c r="H1956">
        <v>1.2</v>
      </c>
      <c r="I1956" t="s">
        <v>46</v>
      </c>
      <c r="J1956">
        <v>5200000</v>
      </c>
      <c r="K1956">
        <v>6240000</v>
      </c>
      <c r="L1956" t="s">
        <v>183</v>
      </c>
      <c r="M1956" t="s">
        <v>7</v>
      </c>
      <c r="N1956" t="b">
        <v>0</v>
      </c>
    </row>
    <row r="1957" spans="1:14" x14ac:dyDescent="0.3">
      <c r="A1957" t="s">
        <v>182</v>
      </c>
      <c r="B1957" t="s">
        <v>183</v>
      </c>
      <c r="C1957">
        <v>24</v>
      </c>
      <c r="D1957" t="s">
        <v>80</v>
      </c>
      <c r="E1957" t="s">
        <v>81</v>
      </c>
      <c r="F1957" t="s">
        <v>174</v>
      </c>
      <c r="G1957">
        <v>2</v>
      </c>
      <c r="H1957">
        <v>2.1303989999999997</v>
      </c>
      <c r="I1957" t="s">
        <v>46</v>
      </c>
      <c r="J1957">
        <v>8500000</v>
      </c>
      <c r="K1957">
        <v>18108391.499999996</v>
      </c>
      <c r="L1957" t="s">
        <v>183</v>
      </c>
      <c r="M1957" t="s">
        <v>7</v>
      </c>
      <c r="N1957" t="b">
        <v>0</v>
      </c>
    </row>
    <row r="1958" spans="1:14" x14ac:dyDescent="0.3">
      <c r="A1958" t="s">
        <v>182</v>
      </c>
      <c r="B1958" t="s">
        <v>183</v>
      </c>
      <c r="C1958">
        <v>25</v>
      </c>
      <c r="D1958" t="s">
        <v>83</v>
      </c>
      <c r="E1958" t="s">
        <v>84</v>
      </c>
      <c r="F1958">
        <v>0.18</v>
      </c>
      <c r="G1958">
        <v>6</v>
      </c>
      <c r="H1958">
        <v>6</v>
      </c>
      <c r="I1958" t="s">
        <v>61</v>
      </c>
      <c r="J1958">
        <v>1014000</v>
      </c>
      <c r="K1958">
        <v>6084000</v>
      </c>
      <c r="L1958" t="s">
        <v>183</v>
      </c>
      <c r="M1958" t="s">
        <v>7</v>
      </c>
      <c r="N1958" t="b">
        <v>0</v>
      </c>
    </row>
    <row r="1959" spans="1:14" x14ac:dyDescent="0.3">
      <c r="A1959" t="s">
        <v>182</v>
      </c>
      <c r="B1959" t="s">
        <v>183</v>
      </c>
      <c r="C1959">
        <v>26</v>
      </c>
      <c r="E1959" t="s">
        <v>86</v>
      </c>
      <c r="F1959">
        <v>0.2</v>
      </c>
      <c r="G1959">
        <v>9</v>
      </c>
      <c r="H1959">
        <v>9</v>
      </c>
      <c r="I1959" t="s">
        <v>61</v>
      </c>
      <c r="J1959">
        <v>1014000</v>
      </c>
      <c r="K1959">
        <v>9126000</v>
      </c>
      <c r="L1959" t="s">
        <v>183</v>
      </c>
      <c r="M1959" t="s">
        <v>7</v>
      </c>
      <c r="N1959" t="b">
        <v>0</v>
      </c>
    </row>
    <row r="1960" spans="1:14" x14ac:dyDescent="0.3">
      <c r="A1960" t="s">
        <v>182</v>
      </c>
      <c r="B1960" t="s">
        <v>183</v>
      </c>
      <c r="C1960">
        <v>27</v>
      </c>
      <c r="D1960" t="s">
        <v>88</v>
      </c>
      <c r="E1960" t="s">
        <v>89</v>
      </c>
      <c r="F1960" t="s">
        <v>90</v>
      </c>
      <c r="G1960">
        <v>3</v>
      </c>
      <c r="H1960">
        <v>3</v>
      </c>
      <c r="I1960" t="s">
        <v>61</v>
      </c>
      <c r="J1960">
        <v>100000</v>
      </c>
      <c r="K1960">
        <v>300000</v>
      </c>
      <c r="L1960" t="s">
        <v>183</v>
      </c>
      <c r="M1960" t="s">
        <v>7</v>
      </c>
      <c r="N1960" t="b">
        <v>0</v>
      </c>
    </row>
    <row r="1961" spans="1:14" x14ac:dyDescent="0.3">
      <c r="A1961" t="s">
        <v>182</v>
      </c>
      <c r="B1961" t="s">
        <v>183</v>
      </c>
      <c r="C1961">
        <v>28</v>
      </c>
      <c r="D1961" t="s">
        <v>65</v>
      </c>
      <c r="E1961" t="s">
        <v>91</v>
      </c>
      <c r="G1961">
        <v>6</v>
      </c>
      <c r="H1961">
        <v>6</v>
      </c>
      <c r="I1961" t="s">
        <v>61</v>
      </c>
      <c r="J1961">
        <v>2400000</v>
      </c>
      <c r="K1961">
        <v>14400000</v>
      </c>
      <c r="L1961" t="s">
        <v>183</v>
      </c>
      <c r="M1961" t="s">
        <v>7</v>
      </c>
      <c r="N1961" t="b">
        <v>0</v>
      </c>
    </row>
    <row r="1962" spans="1:14" x14ac:dyDescent="0.3">
      <c r="A1962" t="s">
        <v>182</v>
      </c>
      <c r="B1962" t="s">
        <v>183</v>
      </c>
      <c r="C1962">
        <v>29</v>
      </c>
      <c r="E1962" t="s">
        <v>92</v>
      </c>
      <c r="G1962">
        <v>6</v>
      </c>
      <c r="H1962">
        <v>6</v>
      </c>
      <c r="I1962" t="s">
        <v>61</v>
      </c>
      <c r="J1962">
        <v>2400000</v>
      </c>
      <c r="K1962">
        <v>14400000</v>
      </c>
      <c r="L1962" t="s">
        <v>183</v>
      </c>
      <c r="M1962" t="s">
        <v>7</v>
      </c>
      <c r="N1962" t="b">
        <v>0</v>
      </c>
    </row>
    <row r="1963" spans="1:14" x14ac:dyDescent="0.3">
      <c r="A1963" t="s">
        <v>182</v>
      </c>
      <c r="B1963" t="s">
        <v>183</v>
      </c>
      <c r="C1963">
        <v>30</v>
      </c>
      <c r="E1963" t="s">
        <v>93</v>
      </c>
      <c r="G1963">
        <v>6</v>
      </c>
      <c r="H1963">
        <v>6</v>
      </c>
      <c r="I1963" t="s">
        <v>61</v>
      </c>
      <c r="J1963">
        <v>3000000</v>
      </c>
      <c r="K1963">
        <v>18000000</v>
      </c>
      <c r="L1963" t="s">
        <v>183</v>
      </c>
      <c r="M1963" t="s">
        <v>7</v>
      </c>
      <c r="N1963" t="b">
        <v>0</v>
      </c>
    </row>
    <row r="1964" spans="1:14" x14ac:dyDescent="0.3">
      <c r="A1964" t="s">
        <v>182</v>
      </c>
      <c r="B1964" t="s">
        <v>183</v>
      </c>
      <c r="C1964">
        <v>31</v>
      </c>
      <c r="D1964" t="s">
        <v>94</v>
      </c>
      <c r="E1964" t="s">
        <v>95</v>
      </c>
      <c r="G1964">
        <v>2</v>
      </c>
      <c r="H1964">
        <v>2</v>
      </c>
      <c r="I1964" t="s">
        <v>61</v>
      </c>
      <c r="J1964">
        <v>1300000</v>
      </c>
      <c r="K1964">
        <v>2600000</v>
      </c>
      <c r="L1964" t="s">
        <v>183</v>
      </c>
      <c r="M1964" t="s">
        <v>7</v>
      </c>
      <c r="N1964" t="b">
        <v>0</v>
      </c>
    </row>
    <row r="1965" spans="1:14" x14ac:dyDescent="0.3">
      <c r="A1965" t="s">
        <v>182</v>
      </c>
      <c r="B1965" t="s">
        <v>183</v>
      </c>
      <c r="C1965">
        <v>32</v>
      </c>
      <c r="D1965" t="s">
        <v>94</v>
      </c>
      <c r="E1965" t="s">
        <v>96</v>
      </c>
      <c r="G1965">
        <v>12</v>
      </c>
      <c r="H1965">
        <v>32.436</v>
      </c>
      <c r="I1965" t="s">
        <v>97</v>
      </c>
      <c r="J1965">
        <v>460000</v>
      </c>
      <c r="K1965">
        <v>14920560</v>
      </c>
      <c r="L1965" t="s">
        <v>183</v>
      </c>
      <c r="M1965" t="s">
        <v>7</v>
      </c>
      <c r="N1965" t="b">
        <v>0</v>
      </c>
    </row>
    <row r="1966" spans="1:14" x14ac:dyDescent="0.3">
      <c r="A1966" t="s">
        <v>182</v>
      </c>
      <c r="B1966" t="s">
        <v>183</v>
      </c>
      <c r="C1966">
        <v>33</v>
      </c>
      <c r="D1966" t="s">
        <v>98</v>
      </c>
      <c r="E1966" t="s">
        <v>99</v>
      </c>
      <c r="F1966">
        <v>50</v>
      </c>
      <c r="G1966">
        <v>24</v>
      </c>
      <c r="H1966">
        <v>2.4</v>
      </c>
      <c r="I1966" t="s">
        <v>100</v>
      </c>
      <c r="J1966">
        <v>12655280.000000002</v>
      </c>
      <c r="K1966">
        <v>30372672.000000004</v>
      </c>
      <c r="L1966" t="s">
        <v>183</v>
      </c>
      <c r="M1966" t="s">
        <v>7</v>
      </c>
      <c r="N1966" t="b">
        <v>0</v>
      </c>
    </row>
    <row r="1967" spans="1:14" x14ac:dyDescent="0.3">
      <c r="A1967" t="s">
        <v>182</v>
      </c>
      <c r="B1967" t="s">
        <v>183</v>
      </c>
      <c r="C1967">
        <v>28</v>
      </c>
      <c r="E1967" t="s">
        <v>101</v>
      </c>
      <c r="H1967">
        <v>12</v>
      </c>
      <c r="I1967" t="s">
        <v>102</v>
      </c>
      <c r="J1967">
        <v>13000000</v>
      </c>
      <c r="K1967">
        <v>156000000</v>
      </c>
      <c r="L1967" t="s">
        <v>183</v>
      </c>
      <c r="M1967" t="s">
        <v>7</v>
      </c>
      <c r="N1967" t="b">
        <v>0</v>
      </c>
    </row>
    <row r="1968" spans="1:14" x14ac:dyDescent="0.3">
      <c r="A1968" t="s">
        <v>182</v>
      </c>
      <c r="B1968" t="s">
        <v>8</v>
      </c>
      <c r="C1968">
        <v>1</v>
      </c>
      <c r="D1968" t="s">
        <v>44</v>
      </c>
      <c r="E1968" t="s">
        <v>45</v>
      </c>
      <c r="F1968">
        <v>0.76800000000000002</v>
      </c>
      <c r="G1968">
        <v>2</v>
      </c>
      <c r="H1968">
        <v>2.1503999999999999</v>
      </c>
      <c r="I1968" t="s">
        <v>46</v>
      </c>
      <c r="J1968">
        <v>8500000</v>
      </c>
      <c r="K1968">
        <v>18278400</v>
      </c>
      <c r="L1968" t="s">
        <v>8</v>
      </c>
      <c r="M1968" t="s">
        <v>7</v>
      </c>
      <c r="N1968" t="b">
        <v>0</v>
      </c>
    </row>
    <row r="1969" spans="1:14" x14ac:dyDescent="0.3">
      <c r="A1969" t="s">
        <v>182</v>
      </c>
      <c r="B1969" t="s">
        <v>8</v>
      </c>
      <c r="C1969">
        <v>2</v>
      </c>
      <c r="E1969" t="s">
        <v>47</v>
      </c>
      <c r="F1969">
        <v>0.76800000000000002</v>
      </c>
      <c r="G1969">
        <v>1</v>
      </c>
      <c r="H1969">
        <v>1.0751999999999999</v>
      </c>
      <c r="I1969" t="s">
        <v>46</v>
      </c>
      <c r="J1969">
        <v>8500000</v>
      </c>
      <c r="K1969">
        <v>9139200</v>
      </c>
      <c r="L1969" t="s">
        <v>8</v>
      </c>
      <c r="M1969" t="s">
        <v>7</v>
      </c>
      <c r="N1969" t="b">
        <v>0</v>
      </c>
    </row>
    <row r="1970" spans="1:14" x14ac:dyDescent="0.3">
      <c r="A1970" t="s">
        <v>182</v>
      </c>
      <c r="B1970" t="s">
        <v>8</v>
      </c>
      <c r="C1970">
        <v>3</v>
      </c>
      <c r="E1970" t="s">
        <v>184</v>
      </c>
      <c r="F1970">
        <v>0.70299999999999996</v>
      </c>
      <c r="G1970">
        <v>6</v>
      </c>
      <c r="H1970">
        <v>10.966799999999999</v>
      </c>
      <c r="I1970" t="s">
        <v>46</v>
      </c>
      <c r="J1970">
        <v>8500000</v>
      </c>
      <c r="K1970">
        <v>93217800</v>
      </c>
      <c r="L1970" t="s">
        <v>8</v>
      </c>
      <c r="M1970" t="s">
        <v>7</v>
      </c>
      <c r="N1970" t="b">
        <v>0</v>
      </c>
    </row>
    <row r="1971" spans="1:14" x14ac:dyDescent="0.3">
      <c r="A1971" t="s">
        <v>182</v>
      </c>
      <c r="B1971" t="s">
        <v>8</v>
      </c>
      <c r="C1971">
        <v>4</v>
      </c>
      <c r="E1971" t="s">
        <v>49</v>
      </c>
      <c r="F1971">
        <v>120</v>
      </c>
      <c r="G1971">
        <v>4</v>
      </c>
      <c r="H1971">
        <v>0.48</v>
      </c>
      <c r="I1971" t="s">
        <v>46</v>
      </c>
      <c r="J1971">
        <v>8500000</v>
      </c>
      <c r="K1971">
        <v>4080000</v>
      </c>
      <c r="L1971" t="s">
        <v>8</v>
      </c>
      <c r="M1971" t="s">
        <v>7</v>
      </c>
      <c r="N1971" t="b">
        <v>0</v>
      </c>
    </row>
    <row r="1972" spans="1:14" x14ac:dyDescent="0.3">
      <c r="A1972" t="s">
        <v>182</v>
      </c>
      <c r="B1972" t="s">
        <v>8</v>
      </c>
      <c r="C1972">
        <v>5</v>
      </c>
      <c r="E1972" t="s">
        <v>50</v>
      </c>
      <c r="F1972">
        <v>180</v>
      </c>
      <c r="G1972">
        <v>4</v>
      </c>
      <c r="H1972">
        <v>3.516696</v>
      </c>
      <c r="I1972" t="s">
        <v>46</v>
      </c>
      <c r="J1972">
        <v>8500000</v>
      </c>
      <c r="K1972">
        <v>29891916</v>
      </c>
      <c r="L1972" t="s">
        <v>8</v>
      </c>
      <c r="M1972" t="s">
        <v>7</v>
      </c>
      <c r="N1972" t="b">
        <v>0</v>
      </c>
    </row>
    <row r="1973" spans="1:14" x14ac:dyDescent="0.3">
      <c r="A1973" t="s">
        <v>182</v>
      </c>
      <c r="B1973" t="s">
        <v>8</v>
      </c>
      <c r="C1973">
        <v>6</v>
      </c>
      <c r="E1973" t="s">
        <v>51</v>
      </c>
      <c r="F1973">
        <v>0.96299999999999997</v>
      </c>
      <c r="G1973">
        <v>12</v>
      </c>
      <c r="H1973">
        <v>32.948467199999996</v>
      </c>
      <c r="I1973" t="s">
        <v>46</v>
      </c>
      <c r="J1973">
        <v>8500000</v>
      </c>
      <c r="K1973">
        <v>280061971.19999999</v>
      </c>
      <c r="L1973" t="s">
        <v>8</v>
      </c>
      <c r="M1973" t="s">
        <v>7</v>
      </c>
      <c r="N1973" t="b">
        <v>0</v>
      </c>
    </row>
    <row r="1974" spans="1:14" x14ac:dyDescent="0.3">
      <c r="A1974" t="s">
        <v>182</v>
      </c>
      <c r="B1974" t="s">
        <v>8</v>
      </c>
      <c r="C1974">
        <v>7</v>
      </c>
      <c r="D1974" t="s">
        <v>52</v>
      </c>
      <c r="E1974" t="s">
        <v>53</v>
      </c>
      <c r="F1974">
        <v>0.13</v>
      </c>
      <c r="G1974">
        <v>4.4375039999999997</v>
      </c>
      <c r="H1974">
        <v>4.4375039999999997</v>
      </c>
      <c r="I1974" t="s">
        <v>54</v>
      </c>
      <c r="J1974">
        <v>4275000</v>
      </c>
      <c r="K1974">
        <v>18970329.600000001</v>
      </c>
      <c r="L1974" t="s">
        <v>8</v>
      </c>
      <c r="M1974" t="s">
        <v>7</v>
      </c>
      <c r="N1974" t="b">
        <v>0</v>
      </c>
    </row>
    <row r="1975" spans="1:14" x14ac:dyDescent="0.3">
      <c r="A1975" t="s">
        <v>182</v>
      </c>
      <c r="B1975" t="s">
        <v>8</v>
      </c>
      <c r="C1975">
        <v>8</v>
      </c>
      <c r="E1975" t="s">
        <v>55</v>
      </c>
      <c r="F1975">
        <v>0.35</v>
      </c>
      <c r="G1975">
        <v>0</v>
      </c>
      <c r="H1975">
        <v>0</v>
      </c>
      <c r="I1975" t="s">
        <v>46</v>
      </c>
      <c r="J1975">
        <v>35750000</v>
      </c>
      <c r="K1975">
        <v>0</v>
      </c>
      <c r="L1975" t="s">
        <v>8</v>
      </c>
      <c r="M1975" t="s">
        <v>7</v>
      </c>
      <c r="N1975" t="b">
        <v>0</v>
      </c>
    </row>
    <row r="1976" spans="1:14" x14ac:dyDescent="0.3">
      <c r="A1976" t="s">
        <v>182</v>
      </c>
      <c r="B1976" t="s">
        <v>8</v>
      </c>
      <c r="C1976">
        <v>9</v>
      </c>
      <c r="E1976" t="s">
        <v>55</v>
      </c>
      <c r="F1976">
        <v>0.2</v>
      </c>
      <c r="G1976">
        <v>2.2187519999999998</v>
      </c>
      <c r="H1976">
        <v>2.2187519999999998</v>
      </c>
      <c r="I1976" t="s">
        <v>46</v>
      </c>
      <c r="J1976">
        <v>45760000</v>
      </c>
      <c r="K1976">
        <v>101530091.52</v>
      </c>
      <c r="L1976" t="s">
        <v>8</v>
      </c>
      <c r="M1976" t="s">
        <v>7</v>
      </c>
      <c r="N1976" t="b">
        <v>0</v>
      </c>
    </row>
    <row r="1977" spans="1:14" x14ac:dyDescent="0.3">
      <c r="A1977" t="s">
        <v>182</v>
      </c>
      <c r="B1977" t="s">
        <v>8</v>
      </c>
      <c r="C1977">
        <v>10</v>
      </c>
      <c r="D1977" t="s">
        <v>56</v>
      </c>
      <c r="E1977" t="s">
        <v>57</v>
      </c>
      <c r="G1977">
        <v>14.192399999999999</v>
      </c>
      <c r="H1977">
        <v>14.192399999999999</v>
      </c>
      <c r="I1977" t="s">
        <v>61</v>
      </c>
      <c r="J1977">
        <v>1430000</v>
      </c>
      <c r="K1977">
        <v>20295132</v>
      </c>
      <c r="L1977" t="s">
        <v>8</v>
      </c>
      <c r="M1977" t="s">
        <v>7</v>
      </c>
      <c r="N1977" t="b">
        <v>0</v>
      </c>
    </row>
    <row r="1978" spans="1:14" x14ac:dyDescent="0.3">
      <c r="A1978" t="s">
        <v>182</v>
      </c>
      <c r="B1978" t="s">
        <v>8</v>
      </c>
      <c r="C1978">
        <v>11</v>
      </c>
      <c r="D1978" t="s">
        <v>58</v>
      </c>
      <c r="E1978" t="s">
        <v>59</v>
      </c>
      <c r="G1978">
        <v>24</v>
      </c>
      <c r="H1978">
        <v>24</v>
      </c>
      <c r="I1978" t="s">
        <v>46</v>
      </c>
      <c r="J1978">
        <v>3000000</v>
      </c>
      <c r="K1978">
        <v>72000000</v>
      </c>
      <c r="L1978" t="s">
        <v>8</v>
      </c>
      <c r="M1978" t="s">
        <v>7</v>
      </c>
      <c r="N1978" t="b">
        <v>0</v>
      </c>
    </row>
    <row r="1979" spans="1:14" x14ac:dyDescent="0.3">
      <c r="A1979" t="s">
        <v>182</v>
      </c>
      <c r="B1979" t="s">
        <v>8</v>
      </c>
      <c r="C1979">
        <v>12</v>
      </c>
      <c r="E1979" t="s">
        <v>60</v>
      </c>
      <c r="G1979">
        <v>32.948467199999996</v>
      </c>
      <c r="H1979">
        <v>32.948467199999996</v>
      </c>
      <c r="I1979" t="s">
        <v>61</v>
      </c>
      <c r="J1979">
        <v>3600000</v>
      </c>
      <c r="K1979">
        <v>118614481.92</v>
      </c>
      <c r="L1979" t="s">
        <v>8</v>
      </c>
      <c r="M1979" t="s">
        <v>7</v>
      </c>
      <c r="N1979" t="b">
        <v>0</v>
      </c>
    </row>
    <row r="1980" spans="1:14" x14ac:dyDescent="0.3">
      <c r="A1980" t="s">
        <v>182</v>
      </c>
      <c r="B1980" t="s">
        <v>8</v>
      </c>
      <c r="C1980">
        <v>13</v>
      </c>
      <c r="D1980" t="s">
        <v>62</v>
      </c>
      <c r="E1980" t="s">
        <v>63</v>
      </c>
      <c r="G1980">
        <v>11.555999999999999</v>
      </c>
      <c r="H1980">
        <v>11.555999999999999</v>
      </c>
      <c r="I1980" t="s">
        <v>61</v>
      </c>
      <c r="J1980">
        <v>3600000</v>
      </c>
      <c r="K1980">
        <v>41601600</v>
      </c>
      <c r="L1980" t="s">
        <v>8</v>
      </c>
      <c r="M1980" t="s">
        <v>7</v>
      </c>
      <c r="N1980" t="b">
        <v>0</v>
      </c>
    </row>
    <row r="1981" spans="1:14" x14ac:dyDescent="0.3">
      <c r="A1981" t="s">
        <v>182</v>
      </c>
      <c r="B1981" t="s">
        <v>8</v>
      </c>
      <c r="C1981">
        <v>14</v>
      </c>
      <c r="E1981" t="s">
        <v>64</v>
      </c>
      <c r="G1981">
        <v>0.6</v>
      </c>
      <c r="H1981">
        <v>0.6</v>
      </c>
      <c r="I1981" t="s">
        <v>61</v>
      </c>
      <c r="J1981">
        <v>5500000</v>
      </c>
      <c r="K1981">
        <v>3300000</v>
      </c>
      <c r="L1981" t="s">
        <v>8</v>
      </c>
      <c r="M1981" t="s">
        <v>7</v>
      </c>
      <c r="N1981" t="b">
        <v>0</v>
      </c>
    </row>
    <row r="1982" spans="1:14" x14ac:dyDescent="0.3">
      <c r="A1982" t="s">
        <v>182</v>
      </c>
      <c r="B1982" t="s">
        <v>8</v>
      </c>
      <c r="C1982">
        <v>15</v>
      </c>
      <c r="D1982" t="s">
        <v>65</v>
      </c>
      <c r="E1982" t="s">
        <v>66</v>
      </c>
      <c r="G1982">
        <v>20</v>
      </c>
      <c r="H1982">
        <v>20</v>
      </c>
      <c r="I1982" t="s">
        <v>61</v>
      </c>
      <c r="J1982">
        <v>200000</v>
      </c>
      <c r="K1982">
        <v>4000000</v>
      </c>
      <c r="L1982" t="s">
        <v>8</v>
      </c>
      <c r="M1982" t="s">
        <v>7</v>
      </c>
      <c r="N1982" t="b">
        <v>0</v>
      </c>
    </row>
    <row r="1983" spans="1:14" x14ac:dyDescent="0.3">
      <c r="A1983" t="s">
        <v>182</v>
      </c>
      <c r="B1983" t="s">
        <v>8</v>
      </c>
      <c r="C1983">
        <v>16</v>
      </c>
      <c r="E1983" t="s">
        <v>68</v>
      </c>
      <c r="G1983">
        <v>8</v>
      </c>
      <c r="H1983">
        <v>8</v>
      </c>
      <c r="I1983" t="s">
        <v>61</v>
      </c>
      <c r="J1983">
        <v>200000</v>
      </c>
      <c r="K1983">
        <v>1600000</v>
      </c>
      <c r="L1983" t="s">
        <v>8</v>
      </c>
      <c r="M1983" t="s">
        <v>7</v>
      </c>
      <c r="N1983" t="b">
        <v>0</v>
      </c>
    </row>
    <row r="1984" spans="1:14" x14ac:dyDescent="0.3">
      <c r="A1984" t="s">
        <v>182</v>
      </c>
      <c r="B1984" t="s">
        <v>8</v>
      </c>
      <c r="C1984">
        <v>17</v>
      </c>
      <c r="E1984" t="s">
        <v>69</v>
      </c>
      <c r="G1984">
        <v>28</v>
      </c>
      <c r="H1984">
        <v>28</v>
      </c>
      <c r="I1984" t="s">
        <v>61</v>
      </c>
      <c r="J1984">
        <v>200000</v>
      </c>
      <c r="K1984">
        <v>5600000</v>
      </c>
      <c r="L1984" t="s">
        <v>8</v>
      </c>
      <c r="M1984" t="s">
        <v>7</v>
      </c>
      <c r="N1984" t="b">
        <v>0</v>
      </c>
    </row>
    <row r="1985" spans="1:14" x14ac:dyDescent="0.3">
      <c r="A1985" t="s">
        <v>182</v>
      </c>
      <c r="B1985" t="s">
        <v>8</v>
      </c>
      <c r="C1985">
        <v>18</v>
      </c>
      <c r="E1985" t="s">
        <v>70</v>
      </c>
      <c r="G1985">
        <v>16</v>
      </c>
      <c r="H1985">
        <v>16</v>
      </c>
      <c r="I1985" t="s">
        <v>61</v>
      </c>
      <c r="J1985">
        <v>400000</v>
      </c>
      <c r="K1985">
        <v>6400000</v>
      </c>
      <c r="L1985" t="s">
        <v>8</v>
      </c>
      <c r="M1985" t="s">
        <v>7</v>
      </c>
      <c r="N1985" t="b">
        <v>0</v>
      </c>
    </row>
    <row r="1986" spans="1:14" x14ac:dyDescent="0.3">
      <c r="A1986" t="s">
        <v>182</v>
      </c>
      <c r="B1986" t="s">
        <v>8</v>
      </c>
      <c r="C1986">
        <v>19</v>
      </c>
      <c r="E1986" t="s">
        <v>71</v>
      </c>
      <c r="G1986">
        <v>16</v>
      </c>
      <c r="H1986">
        <v>16</v>
      </c>
      <c r="I1986" t="s">
        <v>61</v>
      </c>
      <c r="J1986">
        <v>120000</v>
      </c>
      <c r="K1986">
        <v>1920000</v>
      </c>
      <c r="L1986" t="s">
        <v>8</v>
      </c>
      <c r="M1986" t="s">
        <v>7</v>
      </c>
      <c r="N1986" t="b">
        <v>0</v>
      </c>
    </row>
    <row r="1987" spans="1:14" x14ac:dyDescent="0.3">
      <c r="A1987" t="s">
        <v>182</v>
      </c>
      <c r="B1987" t="s">
        <v>8</v>
      </c>
      <c r="C1987">
        <v>20</v>
      </c>
      <c r="E1987" t="s">
        <v>72</v>
      </c>
      <c r="G1987">
        <v>24</v>
      </c>
      <c r="H1987">
        <v>24</v>
      </c>
      <c r="I1987" t="s">
        <v>61</v>
      </c>
      <c r="J1987">
        <v>400000</v>
      </c>
      <c r="K1987">
        <v>9600000</v>
      </c>
      <c r="L1987" t="s">
        <v>8</v>
      </c>
      <c r="M1987" t="s">
        <v>7</v>
      </c>
      <c r="N1987" t="b">
        <v>0</v>
      </c>
    </row>
    <row r="1988" spans="1:14" x14ac:dyDescent="0.3">
      <c r="A1988" t="s">
        <v>182</v>
      </c>
      <c r="B1988" t="s">
        <v>8</v>
      </c>
      <c r="C1988">
        <v>21</v>
      </c>
      <c r="D1988" t="s">
        <v>73</v>
      </c>
      <c r="E1988" t="s">
        <v>74</v>
      </c>
      <c r="F1988">
        <v>132</v>
      </c>
      <c r="G1988">
        <v>24</v>
      </c>
      <c r="H1988">
        <v>14.987427840000002</v>
      </c>
      <c r="I1988" t="s">
        <v>46</v>
      </c>
      <c r="J1988">
        <v>35000000</v>
      </c>
      <c r="K1988">
        <v>524559974.4000001</v>
      </c>
      <c r="L1988" t="s">
        <v>8</v>
      </c>
      <c r="M1988" t="s">
        <v>7</v>
      </c>
      <c r="N1988" t="b">
        <v>0</v>
      </c>
    </row>
    <row r="1989" spans="1:14" x14ac:dyDescent="0.3">
      <c r="A1989" t="s">
        <v>182</v>
      </c>
      <c r="B1989" t="s">
        <v>8</v>
      </c>
      <c r="C1989">
        <v>22</v>
      </c>
      <c r="D1989" t="s">
        <v>75</v>
      </c>
      <c r="E1989" t="s">
        <v>76</v>
      </c>
      <c r="F1989" t="s">
        <v>77</v>
      </c>
      <c r="G1989">
        <v>2</v>
      </c>
      <c r="H1989">
        <v>3.8</v>
      </c>
      <c r="I1989" t="s">
        <v>46</v>
      </c>
      <c r="J1989">
        <v>5200000</v>
      </c>
      <c r="K1989">
        <v>19760000</v>
      </c>
      <c r="L1989" t="s">
        <v>8</v>
      </c>
      <c r="M1989" t="s">
        <v>7</v>
      </c>
      <c r="N1989" t="b">
        <v>0</v>
      </c>
    </row>
    <row r="1990" spans="1:14" x14ac:dyDescent="0.3">
      <c r="A1990" t="s">
        <v>182</v>
      </c>
      <c r="B1990" t="s">
        <v>8</v>
      </c>
      <c r="C1990">
        <v>23</v>
      </c>
      <c r="E1990" t="s">
        <v>78</v>
      </c>
      <c r="F1990" t="s">
        <v>79</v>
      </c>
      <c r="G1990">
        <v>2</v>
      </c>
      <c r="H1990">
        <v>1.2</v>
      </c>
      <c r="I1990" t="s">
        <v>46</v>
      </c>
      <c r="J1990">
        <v>5200000</v>
      </c>
      <c r="K1990">
        <v>6240000</v>
      </c>
      <c r="L1990" t="s">
        <v>8</v>
      </c>
      <c r="M1990" t="s">
        <v>7</v>
      </c>
      <c r="N1990" t="b">
        <v>0</v>
      </c>
    </row>
    <row r="1991" spans="1:14" x14ac:dyDescent="0.3">
      <c r="A1991" t="s">
        <v>182</v>
      </c>
      <c r="B1991" t="s">
        <v>8</v>
      </c>
      <c r="C1991">
        <v>24</v>
      </c>
      <c r="D1991" t="s">
        <v>80</v>
      </c>
      <c r="E1991" t="s">
        <v>81</v>
      </c>
      <c r="F1991" t="s">
        <v>82</v>
      </c>
      <c r="G1991">
        <v>2</v>
      </c>
      <c r="H1991">
        <v>2.1303989999999997</v>
      </c>
      <c r="I1991" t="s">
        <v>46</v>
      </c>
      <c r="J1991">
        <v>8500000</v>
      </c>
      <c r="K1991">
        <v>18108391.499999996</v>
      </c>
      <c r="L1991" t="s">
        <v>8</v>
      </c>
      <c r="M1991" t="s">
        <v>7</v>
      </c>
      <c r="N1991" t="b">
        <v>0</v>
      </c>
    </row>
    <row r="1992" spans="1:14" x14ac:dyDescent="0.3">
      <c r="A1992" t="s">
        <v>182</v>
      </c>
      <c r="B1992" t="s">
        <v>8</v>
      </c>
      <c r="C1992">
        <v>25</v>
      </c>
      <c r="D1992" t="s">
        <v>83</v>
      </c>
      <c r="E1992" t="s">
        <v>84</v>
      </c>
      <c r="F1992">
        <v>0.18</v>
      </c>
      <c r="G1992">
        <v>6</v>
      </c>
      <c r="H1992">
        <v>6</v>
      </c>
      <c r="I1992" t="s">
        <v>61</v>
      </c>
      <c r="J1992">
        <v>1014000</v>
      </c>
      <c r="K1992">
        <v>6084000</v>
      </c>
      <c r="L1992" t="s">
        <v>8</v>
      </c>
      <c r="M1992" t="s">
        <v>7</v>
      </c>
      <c r="N1992" t="b">
        <v>0</v>
      </c>
    </row>
    <row r="1993" spans="1:14" x14ac:dyDescent="0.3">
      <c r="A1993" t="s">
        <v>182</v>
      </c>
      <c r="B1993" t="s">
        <v>8</v>
      </c>
      <c r="C1993">
        <v>26</v>
      </c>
      <c r="E1993" t="s">
        <v>86</v>
      </c>
      <c r="F1993">
        <v>0.2</v>
      </c>
      <c r="G1993">
        <v>9</v>
      </c>
      <c r="H1993">
        <v>9</v>
      </c>
      <c r="I1993" t="s">
        <v>61</v>
      </c>
      <c r="J1993">
        <v>1014000</v>
      </c>
      <c r="K1993">
        <v>9126000</v>
      </c>
      <c r="L1993" t="s">
        <v>8</v>
      </c>
      <c r="M1993" t="s">
        <v>7</v>
      </c>
      <c r="N1993" t="b">
        <v>0</v>
      </c>
    </row>
    <row r="1994" spans="1:14" x14ac:dyDescent="0.3">
      <c r="A1994" t="s">
        <v>182</v>
      </c>
      <c r="B1994" t="s">
        <v>8</v>
      </c>
      <c r="C1994">
        <v>27</v>
      </c>
      <c r="D1994" t="s">
        <v>88</v>
      </c>
      <c r="E1994" t="s">
        <v>89</v>
      </c>
      <c r="F1994" t="s">
        <v>90</v>
      </c>
      <c r="G1994">
        <v>3</v>
      </c>
      <c r="H1994">
        <v>3</v>
      </c>
      <c r="I1994" t="s">
        <v>61</v>
      </c>
      <c r="J1994">
        <v>100000</v>
      </c>
      <c r="K1994">
        <v>300000</v>
      </c>
      <c r="L1994" t="s">
        <v>8</v>
      </c>
      <c r="M1994" t="s">
        <v>7</v>
      </c>
      <c r="N1994" t="b">
        <v>0</v>
      </c>
    </row>
    <row r="1995" spans="1:14" x14ac:dyDescent="0.3">
      <c r="A1995" t="s">
        <v>182</v>
      </c>
      <c r="B1995" t="s">
        <v>8</v>
      </c>
      <c r="C1995">
        <v>28</v>
      </c>
      <c r="D1995" t="s">
        <v>65</v>
      </c>
      <c r="E1995" t="s">
        <v>91</v>
      </c>
      <c r="G1995">
        <v>6</v>
      </c>
      <c r="H1995">
        <v>6</v>
      </c>
      <c r="I1995" t="s">
        <v>61</v>
      </c>
      <c r="J1995">
        <v>2400000</v>
      </c>
      <c r="K1995">
        <v>14400000</v>
      </c>
      <c r="L1995" t="s">
        <v>8</v>
      </c>
      <c r="M1995" t="s">
        <v>7</v>
      </c>
      <c r="N1995" t="b">
        <v>0</v>
      </c>
    </row>
    <row r="1996" spans="1:14" x14ac:dyDescent="0.3">
      <c r="A1996" t="s">
        <v>182</v>
      </c>
      <c r="B1996" t="s">
        <v>8</v>
      </c>
      <c r="C1996">
        <v>29</v>
      </c>
      <c r="E1996" t="s">
        <v>92</v>
      </c>
      <c r="G1996">
        <v>6</v>
      </c>
      <c r="H1996">
        <v>6</v>
      </c>
      <c r="I1996" t="s">
        <v>61</v>
      </c>
      <c r="J1996">
        <v>2400000</v>
      </c>
      <c r="K1996">
        <v>14400000</v>
      </c>
      <c r="L1996" t="s">
        <v>8</v>
      </c>
      <c r="M1996" t="s">
        <v>7</v>
      </c>
      <c r="N1996" t="b">
        <v>0</v>
      </c>
    </row>
    <row r="1997" spans="1:14" x14ac:dyDescent="0.3">
      <c r="A1997" t="s">
        <v>182</v>
      </c>
      <c r="B1997" t="s">
        <v>8</v>
      </c>
      <c r="C1997">
        <v>30</v>
      </c>
      <c r="E1997" t="s">
        <v>93</v>
      </c>
      <c r="G1997">
        <v>6</v>
      </c>
      <c r="H1997">
        <v>6</v>
      </c>
      <c r="I1997" t="s">
        <v>61</v>
      </c>
      <c r="J1997">
        <v>3000000</v>
      </c>
      <c r="K1997">
        <v>18000000</v>
      </c>
      <c r="L1997" t="s">
        <v>8</v>
      </c>
      <c r="M1997" t="s">
        <v>7</v>
      </c>
      <c r="N1997" t="b">
        <v>0</v>
      </c>
    </row>
    <row r="1998" spans="1:14" x14ac:dyDescent="0.3">
      <c r="A1998" t="s">
        <v>182</v>
      </c>
      <c r="B1998" t="s">
        <v>8</v>
      </c>
      <c r="C1998">
        <v>31</v>
      </c>
      <c r="D1998" t="s">
        <v>104</v>
      </c>
      <c r="E1998" t="s">
        <v>105</v>
      </c>
      <c r="G1998">
        <v>1</v>
      </c>
      <c r="H1998">
        <v>6</v>
      </c>
      <c r="I1998" t="s">
        <v>61</v>
      </c>
      <c r="J1998">
        <v>30000000</v>
      </c>
      <c r="K1998">
        <v>180000000</v>
      </c>
      <c r="L1998" t="s">
        <v>8</v>
      </c>
      <c r="M1998" t="s">
        <v>7</v>
      </c>
      <c r="N1998" t="b">
        <v>0</v>
      </c>
    </row>
    <row r="1999" spans="1:14" x14ac:dyDescent="0.3">
      <c r="A1999" t="s">
        <v>182</v>
      </c>
      <c r="B1999" t="s">
        <v>8</v>
      </c>
      <c r="C1999">
        <v>32</v>
      </c>
      <c r="E1999" t="s">
        <v>106</v>
      </c>
      <c r="G1999">
        <v>1</v>
      </c>
      <c r="H1999">
        <v>12</v>
      </c>
      <c r="J1999">
        <v>19000000</v>
      </c>
      <c r="K1999">
        <v>228000000</v>
      </c>
      <c r="L1999" t="s">
        <v>8</v>
      </c>
      <c r="M1999" t="s">
        <v>7</v>
      </c>
      <c r="N1999" t="b">
        <v>0</v>
      </c>
    </row>
    <row r="2000" spans="1:14" x14ac:dyDescent="0.3">
      <c r="A2000" t="s">
        <v>182</v>
      </c>
      <c r="B2000" t="s">
        <v>8</v>
      </c>
      <c r="C2000">
        <v>33</v>
      </c>
      <c r="D2000" t="s">
        <v>94</v>
      </c>
      <c r="E2000" t="s">
        <v>95</v>
      </c>
      <c r="G2000">
        <v>2</v>
      </c>
      <c r="H2000">
        <v>2</v>
      </c>
      <c r="I2000" t="s">
        <v>61</v>
      </c>
      <c r="J2000">
        <v>1300000</v>
      </c>
      <c r="K2000">
        <v>2600000</v>
      </c>
      <c r="L2000" t="s">
        <v>8</v>
      </c>
      <c r="M2000" t="s">
        <v>7</v>
      </c>
      <c r="N2000" t="b">
        <v>0</v>
      </c>
    </row>
    <row r="2001" spans="1:14" x14ac:dyDescent="0.3">
      <c r="A2001" t="s">
        <v>182</v>
      </c>
      <c r="B2001" t="s">
        <v>8</v>
      </c>
      <c r="C2001">
        <v>34</v>
      </c>
      <c r="D2001" t="s">
        <v>94</v>
      </c>
      <c r="E2001" t="s">
        <v>96</v>
      </c>
      <c r="G2001">
        <v>12</v>
      </c>
      <c r="H2001">
        <v>8.4359999999999999</v>
      </c>
      <c r="I2001" t="s">
        <v>97</v>
      </c>
      <c r="J2001">
        <v>460000</v>
      </c>
      <c r="K2001">
        <v>3880560</v>
      </c>
      <c r="L2001" t="s">
        <v>8</v>
      </c>
      <c r="M2001" t="s">
        <v>7</v>
      </c>
      <c r="N2001" t="b">
        <v>0</v>
      </c>
    </row>
    <row r="2002" spans="1:14" x14ac:dyDescent="0.3">
      <c r="A2002" t="s">
        <v>182</v>
      </c>
      <c r="B2002" t="s">
        <v>8</v>
      </c>
      <c r="C2002">
        <v>35</v>
      </c>
      <c r="D2002" t="s">
        <v>98</v>
      </c>
      <c r="E2002" t="s">
        <v>99</v>
      </c>
      <c r="F2002">
        <v>50</v>
      </c>
      <c r="G2002">
        <v>24</v>
      </c>
      <c r="H2002">
        <v>2.4</v>
      </c>
      <c r="I2002" t="s">
        <v>100</v>
      </c>
      <c r="J2002">
        <v>12655280.000000002</v>
      </c>
      <c r="K2002">
        <v>30372672.000000004</v>
      </c>
      <c r="L2002" t="s">
        <v>8</v>
      </c>
      <c r="M2002" t="s">
        <v>7</v>
      </c>
      <c r="N2002" t="b">
        <v>0</v>
      </c>
    </row>
    <row r="2003" spans="1:14" x14ac:dyDescent="0.3">
      <c r="A2003" t="s">
        <v>182</v>
      </c>
      <c r="B2003" t="s">
        <v>8</v>
      </c>
      <c r="C2003">
        <v>28</v>
      </c>
      <c r="E2003" t="s">
        <v>101</v>
      </c>
      <c r="H2003">
        <v>12</v>
      </c>
      <c r="I2003" t="s">
        <v>102</v>
      </c>
      <c r="J2003">
        <v>13000000</v>
      </c>
      <c r="K2003">
        <v>156000000</v>
      </c>
      <c r="L2003" t="s">
        <v>8</v>
      </c>
      <c r="M2003" t="s">
        <v>7</v>
      </c>
      <c r="N2003" t="b">
        <v>0</v>
      </c>
    </row>
    <row r="2004" spans="1:14" x14ac:dyDescent="0.3">
      <c r="A2004" t="s">
        <v>182</v>
      </c>
      <c r="B2004" t="s">
        <v>8</v>
      </c>
      <c r="C2004">
        <v>29</v>
      </c>
      <c r="E2004" t="s">
        <v>107</v>
      </c>
      <c r="H2004">
        <v>0</v>
      </c>
      <c r="I2004" t="s">
        <v>108</v>
      </c>
      <c r="K2004">
        <v>0</v>
      </c>
      <c r="L2004" t="s">
        <v>8</v>
      </c>
      <c r="M2004" t="s">
        <v>7</v>
      </c>
      <c r="N2004" t="b">
        <v>0</v>
      </c>
    </row>
    <row r="2005" spans="1:14" x14ac:dyDescent="0.3">
      <c r="A2005" t="s">
        <v>182</v>
      </c>
      <c r="B2005" t="s">
        <v>9</v>
      </c>
      <c r="C2005">
        <v>1</v>
      </c>
      <c r="D2005" t="s">
        <v>44</v>
      </c>
      <c r="E2005" t="s">
        <v>45</v>
      </c>
      <c r="F2005">
        <v>0.33500000000000002</v>
      </c>
      <c r="G2005">
        <v>2</v>
      </c>
      <c r="H2005">
        <v>0.93799999999999994</v>
      </c>
      <c r="I2005" t="s">
        <v>46</v>
      </c>
      <c r="J2005">
        <v>8500000</v>
      </c>
      <c r="K2005">
        <v>7972999.9999999981</v>
      </c>
      <c r="L2005" t="s">
        <v>9</v>
      </c>
      <c r="M2005" t="s">
        <v>7</v>
      </c>
      <c r="N2005" t="b">
        <v>0</v>
      </c>
    </row>
    <row r="2006" spans="1:14" x14ac:dyDescent="0.3">
      <c r="A2006" t="s">
        <v>182</v>
      </c>
      <c r="B2006" t="s">
        <v>9</v>
      </c>
      <c r="C2006">
        <v>2</v>
      </c>
      <c r="E2006" t="s">
        <v>47</v>
      </c>
      <c r="F2006">
        <v>0.33500000000000002</v>
      </c>
      <c r="G2006">
        <v>1</v>
      </c>
      <c r="H2006">
        <v>0.46899999999999997</v>
      </c>
      <c r="I2006" t="s">
        <v>46</v>
      </c>
      <c r="J2006">
        <v>8500000</v>
      </c>
      <c r="K2006">
        <v>3986499.9999999991</v>
      </c>
      <c r="L2006" t="s">
        <v>9</v>
      </c>
      <c r="M2006" t="s">
        <v>7</v>
      </c>
      <c r="N2006" t="b">
        <v>0</v>
      </c>
    </row>
    <row r="2007" spans="1:14" x14ac:dyDescent="0.3">
      <c r="A2007" t="s">
        <v>182</v>
      </c>
      <c r="B2007" t="s">
        <v>9</v>
      </c>
      <c r="C2007">
        <v>3</v>
      </c>
      <c r="E2007" t="s">
        <v>184</v>
      </c>
      <c r="F2007">
        <v>0.33500000000000002</v>
      </c>
      <c r="G2007">
        <v>6</v>
      </c>
      <c r="H2007">
        <v>5.2260000000000009</v>
      </c>
      <c r="I2007" t="s">
        <v>46</v>
      </c>
      <c r="J2007">
        <v>8500000</v>
      </c>
      <c r="K2007">
        <v>44421000.000000007</v>
      </c>
      <c r="L2007" t="s">
        <v>9</v>
      </c>
      <c r="M2007" t="s">
        <v>7</v>
      </c>
      <c r="N2007" t="b">
        <v>0</v>
      </c>
    </row>
    <row r="2008" spans="1:14" x14ac:dyDescent="0.3">
      <c r="A2008" t="s">
        <v>182</v>
      </c>
      <c r="B2008" t="s">
        <v>9</v>
      </c>
      <c r="C2008">
        <v>4</v>
      </c>
      <c r="E2008" t="s">
        <v>49</v>
      </c>
      <c r="F2008">
        <v>120</v>
      </c>
      <c r="G2008">
        <v>4</v>
      </c>
      <c r="H2008">
        <v>0.48</v>
      </c>
      <c r="I2008" t="s">
        <v>46</v>
      </c>
      <c r="J2008">
        <v>8500000</v>
      </c>
      <c r="K2008">
        <v>4080000</v>
      </c>
      <c r="L2008" t="s">
        <v>9</v>
      </c>
      <c r="M2008" t="s">
        <v>7</v>
      </c>
      <c r="N2008" t="b">
        <v>0</v>
      </c>
    </row>
    <row r="2009" spans="1:14" x14ac:dyDescent="0.3">
      <c r="A2009" t="s">
        <v>182</v>
      </c>
      <c r="B2009" t="s">
        <v>9</v>
      </c>
      <c r="C2009">
        <v>5</v>
      </c>
      <c r="E2009" t="s">
        <v>50</v>
      </c>
      <c r="F2009">
        <v>180</v>
      </c>
      <c r="G2009">
        <v>4</v>
      </c>
      <c r="H2009">
        <v>3.516696</v>
      </c>
      <c r="I2009" t="s">
        <v>46</v>
      </c>
      <c r="J2009">
        <v>8500000</v>
      </c>
      <c r="K2009">
        <v>29891916</v>
      </c>
      <c r="L2009" t="s">
        <v>9</v>
      </c>
      <c r="M2009" t="s">
        <v>7</v>
      </c>
      <c r="N2009" t="b">
        <v>0</v>
      </c>
    </row>
    <row r="2010" spans="1:14" x14ac:dyDescent="0.3">
      <c r="A2010" t="s">
        <v>182</v>
      </c>
      <c r="B2010" t="s">
        <v>9</v>
      </c>
      <c r="C2010">
        <v>6</v>
      </c>
      <c r="E2010" t="s">
        <v>51</v>
      </c>
      <c r="F2010">
        <v>0.55800000000000005</v>
      </c>
      <c r="G2010">
        <v>12</v>
      </c>
      <c r="H2010">
        <v>19.09163520000001</v>
      </c>
      <c r="I2010" t="s">
        <v>46</v>
      </c>
      <c r="J2010">
        <v>8500000</v>
      </c>
      <c r="K2010">
        <v>162278899.20000005</v>
      </c>
      <c r="L2010" t="s">
        <v>9</v>
      </c>
      <c r="M2010" t="s">
        <v>7</v>
      </c>
      <c r="N2010" t="b">
        <v>0</v>
      </c>
    </row>
    <row r="2011" spans="1:14" x14ac:dyDescent="0.3">
      <c r="A2011" t="s">
        <v>182</v>
      </c>
      <c r="B2011" t="s">
        <v>9</v>
      </c>
      <c r="C2011">
        <v>7</v>
      </c>
      <c r="D2011" t="s">
        <v>52</v>
      </c>
      <c r="E2011" t="s">
        <v>53</v>
      </c>
      <c r="F2011">
        <v>0.13</v>
      </c>
      <c r="G2011">
        <v>2.5712640000000002</v>
      </c>
      <c r="H2011">
        <v>2.5712640000000002</v>
      </c>
      <c r="I2011" t="s">
        <v>54</v>
      </c>
      <c r="J2011">
        <v>4275000</v>
      </c>
      <c r="K2011">
        <v>10992153.6</v>
      </c>
      <c r="L2011" t="s">
        <v>9</v>
      </c>
      <c r="M2011" t="s">
        <v>7</v>
      </c>
      <c r="N2011" t="b">
        <v>0</v>
      </c>
    </row>
    <row r="2012" spans="1:14" x14ac:dyDescent="0.3">
      <c r="A2012" t="s">
        <v>182</v>
      </c>
      <c r="B2012" t="s">
        <v>9</v>
      </c>
      <c r="C2012">
        <v>8</v>
      </c>
      <c r="E2012" t="s">
        <v>55</v>
      </c>
      <c r="F2012">
        <v>0.35</v>
      </c>
      <c r="G2012">
        <v>0</v>
      </c>
      <c r="H2012">
        <v>0</v>
      </c>
      <c r="I2012" t="s">
        <v>46</v>
      </c>
      <c r="J2012">
        <v>35750000</v>
      </c>
      <c r="K2012">
        <v>0</v>
      </c>
      <c r="L2012" t="s">
        <v>9</v>
      </c>
      <c r="M2012" t="s">
        <v>7</v>
      </c>
      <c r="N2012" t="b">
        <v>0</v>
      </c>
    </row>
    <row r="2013" spans="1:14" x14ac:dyDescent="0.3">
      <c r="A2013" t="s">
        <v>182</v>
      </c>
      <c r="B2013" t="s">
        <v>9</v>
      </c>
      <c r="C2013">
        <v>9</v>
      </c>
      <c r="E2013" t="s">
        <v>55</v>
      </c>
      <c r="F2013">
        <v>0.2</v>
      </c>
      <c r="G2013">
        <v>1.2856320000000001</v>
      </c>
      <c r="H2013">
        <v>1.2856320000000001</v>
      </c>
      <c r="I2013" t="s">
        <v>46</v>
      </c>
      <c r="J2013">
        <v>45760000</v>
      </c>
      <c r="K2013">
        <v>58830520.320000008</v>
      </c>
      <c r="L2013" t="s">
        <v>9</v>
      </c>
      <c r="M2013" t="s">
        <v>7</v>
      </c>
      <c r="N2013" t="b">
        <v>0</v>
      </c>
    </row>
    <row r="2014" spans="1:14" x14ac:dyDescent="0.3">
      <c r="A2014" t="s">
        <v>182</v>
      </c>
      <c r="B2014" t="s">
        <v>9</v>
      </c>
      <c r="C2014">
        <v>10</v>
      </c>
      <c r="D2014" t="s">
        <v>56</v>
      </c>
      <c r="E2014" t="s">
        <v>57</v>
      </c>
      <c r="G2014">
        <v>6.6330000000000009</v>
      </c>
      <c r="H2014">
        <v>6.6330000000000009</v>
      </c>
      <c r="I2014" t="s">
        <v>61</v>
      </c>
      <c r="J2014">
        <v>1430000</v>
      </c>
      <c r="K2014">
        <v>9485190.0000000019</v>
      </c>
      <c r="L2014" t="s">
        <v>9</v>
      </c>
      <c r="M2014" t="s">
        <v>7</v>
      </c>
      <c r="N2014" t="b">
        <v>0</v>
      </c>
    </row>
    <row r="2015" spans="1:14" x14ac:dyDescent="0.3">
      <c r="A2015" t="s">
        <v>182</v>
      </c>
      <c r="B2015" t="s">
        <v>9</v>
      </c>
      <c r="C2015">
        <v>11</v>
      </c>
      <c r="D2015" t="s">
        <v>58</v>
      </c>
      <c r="E2015" t="s">
        <v>59</v>
      </c>
      <c r="G2015">
        <v>24</v>
      </c>
      <c r="H2015">
        <v>24</v>
      </c>
      <c r="I2015" t="s">
        <v>46</v>
      </c>
      <c r="J2015">
        <v>3000000</v>
      </c>
      <c r="K2015">
        <v>72000000</v>
      </c>
      <c r="L2015" t="s">
        <v>9</v>
      </c>
      <c r="M2015" t="s">
        <v>7</v>
      </c>
      <c r="N2015" t="b">
        <v>0</v>
      </c>
    </row>
    <row r="2016" spans="1:14" x14ac:dyDescent="0.3">
      <c r="A2016" t="s">
        <v>182</v>
      </c>
      <c r="B2016" t="s">
        <v>9</v>
      </c>
      <c r="C2016">
        <v>12</v>
      </c>
      <c r="E2016" t="s">
        <v>60</v>
      </c>
      <c r="G2016">
        <v>19.09163520000001</v>
      </c>
      <c r="H2016">
        <v>19.09163520000001</v>
      </c>
      <c r="I2016" t="s">
        <v>61</v>
      </c>
      <c r="J2016">
        <v>3600000</v>
      </c>
      <c r="K2016">
        <v>68729886.720000029</v>
      </c>
      <c r="L2016" t="s">
        <v>9</v>
      </c>
      <c r="M2016" t="s">
        <v>7</v>
      </c>
      <c r="N2016" t="b">
        <v>0</v>
      </c>
    </row>
    <row r="2017" spans="1:14" x14ac:dyDescent="0.3">
      <c r="A2017" t="s">
        <v>182</v>
      </c>
      <c r="B2017" t="s">
        <v>9</v>
      </c>
      <c r="C2017">
        <v>13</v>
      </c>
      <c r="D2017" t="s">
        <v>62</v>
      </c>
      <c r="E2017" t="s">
        <v>63</v>
      </c>
      <c r="G2017">
        <v>6.6960000000000006</v>
      </c>
      <c r="H2017">
        <v>6.6960000000000006</v>
      </c>
      <c r="I2017" t="s">
        <v>61</v>
      </c>
      <c r="J2017">
        <v>3600000</v>
      </c>
      <c r="K2017">
        <v>24105600.000000004</v>
      </c>
      <c r="L2017" t="s">
        <v>9</v>
      </c>
      <c r="M2017" t="s">
        <v>7</v>
      </c>
      <c r="N2017" t="b">
        <v>0</v>
      </c>
    </row>
    <row r="2018" spans="1:14" x14ac:dyDescent="0.3">
      <c r="A2018" t="s">
        <v>182</v>
      </c>
      <c r="B2018" t="s">
        <v>9</v>
      </c>
      <c r="C2018">
        <v>14</v>
      </c>
      <c r="E2018" t="s">
        <v>64</v>
      </c>
      <c r="G2018">
        <v>0.6</v>
      </c>
      <c r="H2018">
        <v>0.6</v>
      </c>
      <c r="I2018" t="s">
        <v>61</v>
      </c>
      <c r="J2018">
        <v>5500000</v>
      </c>
      <c r="K2018">
        <v>3300000</v>
      </c>
      <c r="L2018" t="s">
        <v>9</v>
      </c>
      <c r="M2018" t="s">
        <v>7</v>
      </c>
      <c r="N2018" t="b">
        <v>0</v>
      </c>
    </row>
    <row r="2019" spans="1:14" x14ac:dyDescent="0.3">
      <c r="A2019" t="s">
        <v>182</v>
      </c>
      <c r="B2019" t="s">
        <v>9</v>
      </c>
      <c r="C2019">
        <v>15</v>
      </c>
      <c r="D2019" t="s">
        <v>65</v>
      </c>
      <c r="E2019" t="s">
        <v>66</v>
      </c>
      <c r="G2019">
        <v>20</v>
      </c>
      <c r="H2019">
        <v>20</v>
      </c>
      <c r="I2019" t="s">
        <v>61</v>
      </c>
      <c r="J2019">
        <v>200000</v>
      </c>
      <c r="K2019">
        <v>4000000</v>
      </c>
      <c r="L2019" t="s">
        <v>9</v>
      </c>
      <c r="M2019" t="s">
        <v>7</v>
      </c>
      <c r="N2019" t="b">
        <v>0</v>
      </c>
    </row>
    <row r="2020" spans="1:14" x14ac:dyDescent="0.3">
      <c r="A2020" t="s">
        <v>182</v>
      </c>
      <c r="B2020" t="s">
        <v>9</v>
      </c>
      <c r="C2020">
        <v>16</v>
      </c>
      <c r="E2020" t="s">
        <v>68</v>
      </c>
      <c r="G2020">
        <v>8</v>
      </c>
      <c r="H2020">
        <v>8</v>
      </c>
      <c r="I2020" t="s">
        <v>61</v>
      </c>
      <c r="J2020">
        <v>200000</v>
      </c>
      <c r="K2020">
        <v>1600000</v>
      </c>
      <c r="L2020" t="s">
        <v>9</v>
      </c>
      <c r="M2020" t="s">
        <v>7</v>
      </c>
      <c r="N2020" t="b">
        <v>0</v>
      </c>
    </row>
    <row r="2021" spans="1:14" x14ac:dyDescent="0.3">
      <c r="A2021" t="s">
        <v>182</v>
      </c>
      <c r="B2021" t="s">
        <v>9</v>
      </c>
      <c r="C2021">
        <v>17</v>
      </c>
      <c r="E2021" t="s">
        <v>69</v>
      </c>
      <c r="G2021">
        <v>16</v>
      </c>
      <c r="H2021">
        <v>16</v>
      </c>
      <c r="I2021" t="s">
        <v>61</v>
      </c>
      <c r="J2021">
        <v>200000</v>
      </c>
      <c r="K2021">
        <v>3200000</v>
      </c>
      <c r="L2021" t="s">
        <v>9</v>
      </c>
      <c r="M2021" t="s">
        <v>7</v>
      </c>
      <c r="N2021" t="b">
        <v>0</v>
      </c>
    </row>
    <row r="2022" spans="1:14" x14ac:dyDescent="0.3">
      <c r="A2022" t="s">
        <v>182</v>
      </c>
      <c r="B2022" t="s">
        <v>9</v>
      </c>
      <c r="C2022">
        <v>18</v>
      </c>
      <c r="E2022" t="s">
        <v>70</v>
      </c>
      <c r="G2022">
        <v>16</v>
      </c>
      <c r="H2022">
        <v>16</v>
      </c>
      <c r="I2022" t="s">
        <v>61</v>
      </c>
      <c r="J2022">
        <v>400000</v>
      </c>
      <c r="K2022">
        <v>6400000</v>
      </c>
      <c r="L2022" t="s">
        <v>9</v>
      </c>
      <c r="M2022" t="s">
        <v>7</v>
      </c>
      <c r="N2022" t="b">
        <v>0</v>
      </c>
    </row>
    <row r="2023" spans="1:14" x14ac:dyDescent="0.3">
      <c r="A2023" t="s">
        <v>182</v>
      </c>
      <c r="B2023" t="s">
        <v>9</v>
      </c>
      <c r="C2023">
        <v>19</v>
      </c>
      <c r="E2023" t="s">
        <v>71</v>
      </c>
      <c r="G2023">
        <v>16</v>
      </c>
      <c r="H2023">
        <v>16</v>
      </c>
      <c r="I2023" t="s">
        <v>61</v>
      </c>
      <c r="J2023">
        <v>120000</v>
      </c>
      <c r="K2023">
        <v>1920000</v>
      </c>
      <c r="L2023" t="s">
        <v>9</v>
      </c>
      <c r="M2023" t="s">
        <v>7</v>
      </c>
      <c r="N2023" t="b">
        <v>0</v>
      </c>
    </row>
    <row r="2024" spans="1:14" x14ac:dyDescent="0.3">
      <c r="A2024" t="s">
        <v>182</v>
      </c>
      <c r="B2024" t="s">
        <v>9</v>
      </c>
      <c r="C2024">
        <v>20</v>
      </c>
      <c r="E2024" t="s">
        <v>72</v>
      </c>
      <c r="G2024">
        <v>24</v>
      </c>
      <c r="H2024">
        <v>24</v>
      </c>
      <c r="I2024" t="s">
        <v>61</v>
      </c>
      <c r="J2024">
        <v>400000</v>
      </c>
      <c r="K2024">
        <v>9600000</v>
      </c>
      <c r="L2024" t="s">
        <v>9</v>
      </c>
      <c r="M2024" t="s">
        <v>7</v>
      </c>
      <c r="N2024" t="b">
        <v>0</v>
      </c>
    </row>
    <row r="2025" spans="1:14" x14ac:dyDescent="0.3">
      <c r="A2025" t="s">
        <v>182</v>
      </c>
      <c r="B2025" t="s">
        <v>9</v>
      </c>
      <c r="C2025">
        <v>21</v>
      </c>
      <c r="D2025" t="s">
        <v>73</v>
      </c>
      <c r="E2025" t="s">
        <v>74</v>
      </c>
      <c r="F2025">
        <v>132</v>
      </c>
      <c r="G2025">
        <v>24</v>
      </c>
      <c r="H2025">
        <v>14.987427840000002</v>
      </c>
      <c r="I2025" t="s">
        <v>46</v>
      </c>
      <c r="J2025">
        <v>35000000</v>
      </c>
      <c r="K2025">
        <v>524559974.4000001</v>
      </c>
      <c r="L2025" t="s">
        <v>9</v>
      </c>
      <c r="M2025" t="s">
        <v>7</v>
      </c>
      <c r="N2025" t="b">
        <v>0</v>
      </c>
    </row>
    <row r="2026" spans="1:14" x14ac:dyDescent="0.3">
      <c r="A2026" t="s">
        <v>182</v>
      </c>
      <c r="B2026" t="s">
        <v>9</v>
      </c>
      <c r="C2026">
        <v>22</v>
      </c>
      <c r="D2026" t="s">
        <v>75</v>
      </c>
      <c r="E2026" t="s">
        <v>76</v>
      </c>
      <c r="F2026" t="s">
        <v>77</v>
      </c>
      <c r="G2026">
        <v>2</v>
      </c>
      <c r="H2026">
        <v>3.8</v>
      </c>
      <c r="I2026" t="s">
        <v>46</v>
      </c>
      <c r="J2026">
        <v>5200000</v>
      </c>
      <c r="K2026">
        <v>19760000</v>
      </c>
      <c r="L2026" t="s">
        <v>9</v>
      </c>
      <c r="M2026" t="s">
        <v>7</v>
      </c>
      <c r="N2026" t="b">
        <v>0</v>
      </c>
    </row>
    <row r="2027" spans="1:14" x14ac:dyDescent="0.3">
      <c r="A2027" t="s">
        <v>182</v>
      </c>
      <c r="B2027" t="s">
        <v>9</v>
      </c>
      <c r="C2027">
        <v>23</v>
      </c>
      <c r="E2027" t="s">
        <v>78</v>
      </c>
      <c r="F2027" t="s">
        <v>79</v>
      </c>
      <c r="G2027">
        <v>2</v>
      </c>
      <c r="H2027">
        <v>1.2</v>
      </c>
      <c r="I2027" t="s">
        <v>46</v>
      </c>
      <c r="J2027">
        <v>5200000</v>
      </c>
      <c r="K2027">
        <v>6240000</v>
      </c>
      <c r="L2027" t="s">
        <v>9</v>
      </c>
      <c r="M2027" t="s">
        <v>7</v>
      </c>
      <c r="N2027" t="b">
        <v>0</v>
      </c>
    </row>
    <row r="2028" spans="1:14" x14ac:dyDescent="0.3">
      <c r="A2028" t="s">
        <v>182</v>
      </c>
      <c r="B2028" t="s">
        <v>9</v>
      </c>
      <c r="C2028">
        <v>24</v>
      </c>
      <c r="D2028" t="s">
        <v>80</v>
      </c>
      <c r="E2028" t="s">
        <v>81</v>
      </c>
      <c r="F2028" t="s">
        <v>82</v>
      </c>
      <c r="G2028">
        <v>2</v>
      </c>
      <c r="H2028">
        <v>2.1303989999999997</v>
      </c>
      <c r="I2028" t="s">
        <v>46</v>
      </c>
      <c r="J2028">
        <v>8500000</v>
      </c>
      <c r="K2028">
        <v>18108391.499999996</v>
      </c>
      <c r="L2028" t="s">
        <v>9</v>
      </c>
      <c r="M2028" t="s">
        <v>7</v>
      </c>
      <c r="N2028" t="b">
        <v>0</v>
      </c>
    </row>
    <row r="2029" spans="1:14" x14ac:dyDescent="0.3">
      <c r="A2029" t="s">
        <v>182</v>
      </c>
      <c r="B2029" t="s">
        <v>9</v>
      </c>
      <c r="C2029">
        <v>25</v>
      </c>
      <c r="D2029" t="s">
        <v>83</v>
      </c>
      <c r="E2029" t="s">
        <v>84</v>
      </c>
      <c r="F2029">
        <v>0.18</v>
      </c>
      <c r="G2029">
        <v>6</v>
      </c>
      <c r="H2029">
        <v>6</v>
      </c>
      <c r="I2029" t="s">
        <v>61</v>
      </c>
      <c r="J2029">
        <v>1014000</v>
      </c>
      <c r="K2029">
        <v>6084000</v>
      </c>
      <c r="L2029" t="s">
        <v>9</v>
      </c>
      <c r="M2029" t="s">
        <v>7</v>
      </c>
      <c r="N2029" t="b">
        <v>0</v>
      </c>
    </row>
    <row r="2030" spans="1:14" x14ac:dyDescent="0.3">
      <c r="A2030" t="s">
        <v>182</v>
      </c>
      <c r="B2030" t="s">
        <v>9</v>
      </c>
      <c r="C2030">
        <v>26</v>
      </c>
      <c r="E2030" t="s">
        <v>86</v>
      </c>
      <c r="F2030">
        <v>0.2</v>
      </c>
      <c r="G2030">
        <v>9</v>
      </c>
      <c r="H2030">
        <v>9</v>
      </c>
      <c r="I2030" t="s">
        <v>61</v>
      </c>
      <c r="J2030">
        <v>1014000</v>
      </c>
      <c r="K2030">
        <v>9126000</v>
      </c>
      <c r="L2030" t="s">
        <v>9</v>
      </c>
      <c r="M2030" t="s">
        <v>7</v>
      </c>
      <c r="N2030" t="b">
        <v>0</v>
      </c>
    </row>
    <row r="2031" spans="1:14" x14ac:dyDescent="0.3">
      <c r="A2031" t="s">
        <v>182</v>
      </c>
      <c r="B2031" t="s">
        <v>9</v>
      </c>
      <c r="C2031">
        <v>27</v>
      </c>
      <c r="D2031" t="s">
        <v>88</v>
      </c>
      <c r="E2031" t="s">
        <v>89</v>
      </c>
      <c r="F2031" t="s">
        <v>90</v>
      </c>
      <c r="G2031">
        <v>3</v>
      </c>
      <c r="H2031">
        <v>3</v>
      </c>
      <c r="I2031" t="s">
        <v>61</v>
      </c>
      <c r="J2031">
        <v>100000</v>
      </c>
      <c r="K2031">
        <v>300000</v>
      </c>
      <c r="L2031" t="s">
        <v>9</v>
      </c>
      <c r="M2031" t="s">
        <v>7</v>
      </c>
      <c r="N2031" t="b">
        <v>0</v>
      </c>
    </row>
    <row r="2032" spans="1:14" x14ac:dyDescent="0.3">
      <c r="A2032" t="s">
        <v>182</v>
      </c>
      <c r="B2032" t="s">
        <v>9</v>
      </c>
      <c r="C2032">
        <v>28</v>
      </c>
      <c r="D2032" t="s">
        <v>65</v>
      </c>
      <c r="E2032" t="s">
        <v>91</v>
      </c>
      <c r="G2032">
        <v>6</v>
      </c>
      <c r="H2032">
        <v>6</v>
      </c>
      <c r="I2032" t="s">
        <v>61</v>
      </c>
      <c r="J2032">
        <v>2400000</v>
      </c>
      <c r="K2032">
        <v>14400000</v>
      </c>
      <c r="L2032" t="s">
        <v>9</v>
      </c>
      <c r="M2032" t="s">
        <v>7</v>
      </c>
      <c r="N2032" t="b">
        <v>0</v>
      </c>
    </row>
    <row r="2033" spans="1:14" x14ac:dyDescent="0.3">
      <c r="A2033" t="s">
        <v>182</v>
      </c>
      <c r="B2033" t="s">
        <v>9</v>
      </c>
      <c r="C2033">
        <v>29</v>
      </c>
      <c r="E2033" t="s">
        <v>92</v>
      </c>
      <c r="G2033">
        <v>6</v>
      </c>
      <c r="H2033">
        <v>6</v>
      </c>
      <c r="I2033" t="s">
        <v>61</v>
      </c>
      <c r="J2033">
        <v>2400000</v>
      </c>
      <c r="K2033">
        <v>14400000</v>
      </c>
      <c r="L2033" t="s">
        <v>9</v>
      </c>
      <c r="M2033" t="s">
        <v>7</v>
      </c>
      <c r="N2033" t="b">
        <v>0</v>
      </c>
    </row>
    <row r="2034" spans="1:14" x14ac:dyDescent="0.3">
      <c r="A2034" t="s">
        <v>182</v>
      </c>
      <c r="B2034" t="s">
        <v>9</v>
      </c>
      <c r="C2034">
        <v>30</v>
      </c>
      <c r="E2034" t="s">
        <v>93</v>
      </c>
      <c r="G2034">
        <v>6</v>
      </c>
      <c r="H2034">
        <v>6</v>
      </c>
      <c r="I2034" t="s">
        <v>61</v>
      </c>
      <c r="J2034">
        <v>3000000</v>
      </c>
      <c r="K2034">
        <v>18000000</v>
      </c>
      <c r="L2034" t="s">
        <v>9</v>
      </c>
      <c r="M2034" t="s">
        <v>7</v>
      </c>
      <c r="N2034" t="b">
        <v>0</v>
      </c>
    </row>
    <row r="2035" spans="1:14" x14ac:dyDescent="0.3">
      <c r="A2035" t="s">
        <v>182</v>
      </c>
      <c r="B2035" t="s">
        <v>9</v>
      </c>
      <c r="C2035">
        <v>31</v>
      </c>
      <c r="D2035" t="s">
        <v>104</v>
      </c>
      <c r="E2035" t="s">
        <v>105</v>
      </c>
      <c r="G2035">
        <v>1</v>
      </c>
      <c r="H2035">
        <v>6</v>
      </c>
      <c r="I2035" t="s">
        <v>61</v>
      </c>
      <c r="J2035">
        <v>30000000</v>
      </c>
      <c r="K2035">
        <v>180000000</v>
      </c>
      <c r="L2035" t="s">
        <v>9</v>
      </c>
      <c r="M2035" t="s">
        <v>7</v>
      </c>
      <c r="N2035" t="b">
        <v>0</v>
      </c>
    </row>
    <row r="2036" spans="1:14" x14ac:dyDescent="0.3">
      <c r="A2036" t="s">
        <v>182</v>
      </c>
      <c r="B2036" t="s">
        <v>9</v>
      </c>
      <c r="C2036">
        <v>32</v>
      </c>
      <c r="E2036" t="s">
        <v>106</v>
      </c>
      <c r="G2036">
        <v>1</v>
      </c>
      <c r="H2036">
        <v>0</v>
      </c>
      <c r="I2036" t="s">
        <v>61</v>
      </c>
      <c r="J2036">
        <v>19000000</v>
      </c>
      <c r="K2036">
        <v>0</v>
      </c>
      <c r="L2036" t="s">
        <v>9</v>
      </c>
      <c r="M2036" t="s">
        <v>7</v>
      </c>
      <c r="N2036" t="b">
        <v>0</v>
      </c>
    </row>
    <row r="2037" spans="1:14" x14ac:dyDescent="0.3">
      <c r="A2037" t="s">
        <v>182</v>
      </c>
      <c r="B2037" t="s">
        <v>9</v>
      </c>
      <c r="C2037">
        <v>33</v>
      </c>
      <c r="D2037" t="s">
        <v>94</v>
      </c>
      <c r="E2037" t="s">
        <v>95</v>
      </c>
      <c r="G2037">
        <v>2</v>
      </c>
      <c r="H2037">
        <v>2</v>
      </c>
      <c r="I2037" t="s">
        <v>61</v>
      </c>
      <c r="J2037">
        <v>1300000</v>
      </c>
      <c r="K2037">
        <v>2600000</v>
      </c>
      <c r="L2037" t="s">
        <v>9</v>
      </c>
      <c r="M2037" t="s">
        <v>7</v>
      </c>
      <c r="N2037" t="b">
        <v>0</v>
      </c>
    </row>
    <row r="2038" spans="1:14" x14ac:dyDescent="0.3">
      <c r="A2038" t="s">
        <v>182</v>
      </c>
      <c r="B2038" t="s">
        <v>9</v>
      </c>
      <c r="C2038">
        <v>34</v>
      </c>
      <c r="D2038" t="s">
        <v>94</v>
      </c>
      <c r="E2038" t="s">
        <v>96</v>
      </c>
      <c r="G2038">
        <v>12</v>
      </c>
      <c r="H2038">
        <v>4.0200000000000005</v>
      </c>
      <c r="I2038" t="s">
        <v>97</v>
      </c>
      <c r="J2038">
        <v>460000</v>
      </c>
      <c r="K2038">
        <v>1849200</v>
      </c>
      <c r="L2038" t="s">
        <v>9</v>
      </c>
      <c r="M2038" t="s">
        <v>7</v>
      </c>
      <c r="N2038" t="b">
        <v>0</v>
      </c>
    </row>
    <row r="2039" spans="1:14" x14ac:dyDescent="0.3">
      <c r="A2039" t="s">
        <v>182</v>
      </c>
      <c r="B2039" t="s">
        <v>9</v>
      </c>
      <c r="C2039">
        <v>35</v>
      </c>
      <c r="D2039" t="s">
        <v>98</v>
      </c>
      <c r="E2039" t="s">
        <v>99</v>
      </c>
      <c r="F2039">
        <v>50</v>
      </c>
      <c r="G2039">
        <v>24</v>
      </c>
      <c r="H2039">
        <v>2.4</v>
      </c>
      <c r="I2039" t="s">
        <v>100</v>
      </c>
      <c r="J2039">
        <v>12655280.000000002</v>
      </c>
      <c r="K2039">
        <v>30372672.000000004</v>
      </c>
      <c r="L2039" t="s">
        <v>9</v>
      </c>
      <c r="M2039" t="s">
        <v>7</v>
      </c>
      <c r="N2039" t="b">
        <v>0</v>
      </c>
    </row>
    <row r="2040" spans="1:14" x14ac:dyDescent="0.3">
      <c r="A2040" t="s">
        <v>182</v>
      </c>
      <c r="B2040" t="s">
        <v>9</v>
      </c>
      <c r="C2040">
        <v>28</v>
      </c>
      <c r="E2040" t="s">
        <v>101</v>
      </c>
      <c r="H2040">
        <v>10</v>
      </c>
      <c r="I2040" t="s">
        <v>102</v>
      </c>
      <c r="J2040">
        <v>13000000</v>
      </c>
      <c r="K2040">
        <v>130000000</v>
      </c>
      <c r="L2040" t="s">
        <v>9</v>
      </c>
      <c r="M2040" t="s">
        <v>7</v>
      </c>
      <c r="N2040" t="b">
        <v>0</v>
      </c>
    </row>
    <row r="2041" spans="1:14" x14ac:dyDescent="0.3">
      <c r="A2041" t="s">
        <v>182</v>
      </c>
      <c r="B2041" t="s">
        <v>9</v>
      </c>
      <c r="C2041">
        <v>29</v>
      </c>
      <c r="E2041" t="s">
        <v>107</v>
      </c>
      <c r="H2041">
        <v>0</v>
      </c>
      <c r="I2041" t="s">
        <v>108</v>
      </c>
      <c r="K2041">
        <v>0</v>
      </c>
      <c r="L2041" t="s">
        <v>9</v>
      </c>
      <c r="M2041" t="s">
        <v>7</v>
      </c>
      <c r="N2041" t="b">
        <v>0</v>
      </c>
    </row>
    <row r="2042" spans="1:14" x14ac:dyDescent="0.3">
      <c r="A2042" t="s">
        <v>182</v>
      </c>
      <c r="B2042" t="s">
        <v>10</v>
      </c>
      <c r="C2042">
        <v>1</v>
      </c>
      <c r="D2042" t="s">
        <v>44</v>
      </c>
      <c r="E2042" t="s">
        <v>45</v>
      </c>
      <c r="F2042">
        <v>168</v>
      </c>
      <c r="G2042">
        <v>2</v>
      </c>
      <c r="H2042">
        <v>0.47039999999999998</v>
      </c>
      <c r="I2042" t="s">
        <v>46</v>
      </c>
      <c r="J2042">
        <v>8500000</v>
      </c>
      <c r="K2042">
        <v>3998400</v>
      </c>
      <c r="L2042" t="s">
        <v>10</v>
      </c>
      <c r="M2042" t="s">
        <v>7</v>
      </c>
      <c r="N2042" t="b">
        <v>0</v>
      </c>
    </row>
    <row r="2043" spans="1:14" x14ac:dyDescent="0.3">
      <c r="A2043" t="s">
        <v>182</v>
      </c>
      <c r="B2043" t="s">
        <v>10</v>
      </c>
      <c r="C2043">
        <v>2</v>
      </c>
      <c r="E2043" t="s">
        <v>47</v>
      </c>
      <c r="F2043">
        <v>168</v>
      </c>
      <c r="G2043">
        <v>1</v>
      </c>
      <c r="H2043">
        <v>0.23519999999999999</v>
      </c>
      <c r="I2043" t="s">
        <v>46</v>
      </c>
      <c r="J2043">
        <v>8500000</v>
      </c>
      <c r="K2043">
        <v>1999200</v>
      </c>
      <c r="L2043" t="s">
        <v>10</v>
      </c>
      <c r="M2043" t="s">
        <v>7</v>
      </c>
      <c r="N2043" t="b">
        <v>0</v>
      </c>
    </row>
    <row r="2044" spans="1:14" x14ac:dyDescent="0.3">
      <c r="A2044" t="s">
        <v>182</v>
      </c>
      <c r="B2044" t="s">
        <v>10</v>
      </c>
      <c r="C2044">
        <v>3</v>
      </c>
      <c r="E2044" t="s">
        <v>184</v>
      </c>
      <c r="F2044">
        <v>168</v>
      </c>
      <c r="G2044">
        <v>6</v>
      </c>
      <c r="H2044">
        <v>2.6208</v>
      </c>
      <c r="I2044" t="s">
        <v>46</v>
      </c>
      <c r="J2044">
        <v>8500000</v>
      </c>
      <c r="K2044">
        <v>22276800</v>
      </c>
      <c r="L2044" t="s">
        <v>10</v>
      </c>
      <c r="M2044" t="s">
        <v>7</v>
      </c>
      <c r="N2044" t="b">
        <v>0</v>
      </c>
    </row>
    <row r="2045" spans="1:14" x14ac:dyDescent="0.3">
      <c r="A2045" t="s">
        <v>182</v>
      </c>
      <c r="B2045" t="s">
        <v>10</v>
      </c>
      <c r="C2045">
        <v>4</v>
      </c>
      <c r="E2045" t="s">
        <v>49</v>
      </c>
      <c r="F2045">
        <v>120</v>
      </c>
      <c r="G2045">
        <v>4</v>
      </c>
      <c r="H2045">
        <v>0.48</v>
      </c>
      <c r="I2045" t="s">
        <v>46</v>
      </c>
      <c r="J2045">
        <v>8500000</v>
      </c>
      <c r="K2045">
        <v>4080000</v>
      </c>
      <c r="L2045" t="s">
        <v>10</v>
      </c>
      <c r="M2045" t="s">
        <v>7</v>
      </c>
      <c r="N2045" t="b">
        <v>0</v>
      </c>
    </row>
    <row r="2046" spans="1:14" x14ac:dyDescent="0.3">
      <c r="A2046" t="s">
        <v>182</v>
      </c>
      <c r="B2046" t="s">
        <v>10</v>
      </c>
      <c r="C2046">
        <v>5</v>
      </c>
      <c r="E2046" t="s">
        <v>50</v>
      </c>
      <c r="F2046">
        <v>180</v>
      </c>
      <c r="G2046">
        <v>2</v>
      </c>
      <c r="H2046">
        <v>1.758348</v>
      </c>
      <c r="I2046" t="s">
        <v>46</v>
      </c>
      <c r="J2046">
        <v>8500000</v>
      </c>
      <c r="K2046">
        <v>14945958</v>
      </c>
      <c r="L2046" t="s">
        <v>10</v>
      </c>
      <c r="M2046" t="s">
        <v>7</v>
      </c>
      <c r="N2046" t="b">
        <v>0</v>
      </c>
    </row>
    <row r="2047" spans="1:14" x14ac:dyDescent="0.3">
      <c r="A2047" t="s">
        <v>182</v>
      </c>
      <c r="B2047" t="s">
        <v>10</v>
      </c>
      <c r="C2047">
        <v>6</v>
      </c>
      <c r="E2047" t="s">
        <v>51</v>
      </c>
      <c r="F2047">
        <v>0.58799999999999997</v>
      </c>
      <c r="G2047">
        <v>12</v>
      </c>
      <c r="H2047">
        <v>20.118067199999999</v>
      </c>
      <c r="I2047" t="s">
        <v>46</v>
      </c>
      <c r="J2047">
        <v>8500000</v>
      </c>
      <c r="K2047">
        <v>171003571.19999999</v>
      </c>
      <c r="L2047" t="s">
        <v>10</v>
      </c>
      <c r="M2047" t="s">
        <v>7</v>
      </c>
      <c r="N2047" t="b">
        <v>0</v>
      </c>
    </row>
    <row r="2048" spans="1:14" x14ac:dyDescent="0.3">
      <c r="A2048" t="s">
        <v>182</v>
      </c>
      <c r="B2048" t="s">
        <v>10</v>
      </c>
      <c r="C2048">
        <v>7</v>
      </c>
      <c r="D2048" t="s">
        <v>52</v>
      </c>
      <c r="E2048" t="s">
        <v>53</v>
      </c>
      <c r="F2048">
        <v>0.13</v>
      </c>
      <c r="G2048">
        <v>2.7095039999999999</v>
      </c>
      <c r="H2048">
        <v>2.7095039999999999</v>
      </c>
      <c r="I2048" t="s">
        <v>54</v>
      </c>
      <c r="J2048">
        <v>4275000</v>
      </c>
      <c r="K2048">
        <v>11583129.6</v>
      </c>
      <c r="L2048" t="s">
        <v>10</v>
      </c>
      <c r="M2048" t="s">
        <v>7</v>
      </c>
      <c r="N2048" t="b">
        <v>0</v>
      </c>
    </row>
    <row r="2049" spans="1:14" x14ac:dyDescent="0.3">
      <c r="A2049" t="s">
        <v>182</v>
      </c>
      <c r="B2049" t="s">
        <v>10</v>
      </c>
      <c r="C2049">
        <v>8</v>
      </c>
      <c r="E2049" t="s">
        <v>55</v>
      </c>
      <c r="F2049">
        <v>0.35</v>
      </c>
      <c r="G2049">
        <v>0</v>
      </c>
      <c r="H2049">
        <v>0</v>
      </c>
      <c r="I2049" t="s">
        <v>46</v>
      </c>
      <c r="J2049">
        <v>35750000</v>
      </c>
      <c r="K2049">
        <v>0</v>
      </c>
      <c r="L2049" t="s">
        <v>10</v>
      </c>
      <c r="M2049" t="s">
        <v>7</v>
      </c>
      <c r="N2049" t="b">
        <v>0</v>
      </c>
    </row>
    <row r="2050" spans="1:14" x14ac:dyDescent="0.3">
      <c r="A2050" t="s">
        <v>182</v>
      </c>
      <c r="B2050" t="s">
        <v>10</v>
      </c>
      <c r="C2050">
        <v>9</v>
      </c>
      <c r="E2050" t="s">
        <v>55</v>
      </c>
      <c r="F2050">
        <v>0.2</v>
      </c>
      <c r="G2050">
        <v>1.354752</v>
      </c>
      <c r="H2050">
        <v>1.354752</v>
      </c>
      <c r="I2050" t="s">
        <v>46</v>
      </c>
      <c r="J2050">
        <v>45760000</v>
      </c>
      <c r="K2050">
        <v>61993451.520000003</v>
      </c>
      <c r="L2050" t="s">
        <v>10</v>
      </c>
      <c r="M2050" t="s">
        <v>7</v>
      </c>
      <c r="N2050" t="b">
        <v>0</v>
      </c>
    </row>
    <row r="2051" spans="1:14" x14ac:dyDescent="0.3">
      <c r="A2051" t="s">
        <v>182</v>
      </c>
      <c r="B2051" t="s">
        <v>10</v>
      </c>
      <c r="C2051">
        <v>10</v>
      </c>
      <c r="D2051" t="s">
        <v>56</v>
      </c>
      <c r="E2051" t="s">
        <v>57</v>
      </c>
      <c r="G2051">
        <v>3.3264</v>
      </c>
      <c r="H2051">
        <v>3.3264</v>
      </c>
      <c r="I2051" t="s">
        <v>46</v>
      </c>
      <c r="J2051">
        <v>1430000</v>
      </c>
      <c r="K2051">
        <v>4756752</v>
      </c>
      <c r="L2051" t="s">
        <v>10</v>
      </c>
      <c r="M2051" t="s">
        <v>7</v>
      </c>
      <c r="N2051" t="b">
        <v>0</v>
      </c>
    </row>
    <row r="2052" spans="1:14" x14ac:dyDescent="0.3">
      <c r="A2052" t="s">
        <v>182</v>
      </c>
      <c r="B2052" t="s">
        <v>10</v>
      </c>
      <c r="C2052">
        <v>11</v>
      </c>
      <c r="D2052" t="s">
        <v>58</v>
      </c>
      <c r="E2052" t="s">
        <v>59</v>
      </c>
      <c r="G2052">
        <v>24</v>
      </c>
      <c r="H2052">
        <v>24</v>
      </c>
      <c r="I2052" t="s">
        <v>46</v>
      </c>
      <c r="J2052">
        <v>3000000</v>
      </c>
      <c r="K2052">
        <v>72000000</v>
      </c>
      <c r="L2052" t="s">
        <v>10</v>
      </c>
      <c r="M2052" t="s">
        <v>7</v>
      </c>
      <c r="N2052" t="b">
        <v>0</v>
      </c>
    </row>
    <row r="2053" spans="1:14" x14ac:dyDescent="0.3">
      <c r="A2053" t="s">
        <v>182</v>
      </c>
      <c r="B2053" t="s">
        <v>10</v>
      </c>
      <c r="C2053">
        <v>12</v>
      </c>
      <c r="E2053" t="s">
        <v>60</v>
      </c>
      <c r="G2053">
        <v>20.118067199999999</v>
      </c>
      <c r="H2053">
        <v>20.118067199999999</v>
      </c>
      <c r="I2053" t="s">
        <v>61</v>
      </c>
      <c r="J2053">
        <v>3600000</v>
      </c>
      <c r="K2053">
        <v>72425041.920000002</v>
      </c>
      <c r="L2053" t="s">
        <v>10</v>
      </c>
      <c r="M2053" t="s">
        <v>7</v>
      </c>
      <c r="N2053" t="b">
        <v>0</v>
      </c>
    </row>
    <row r="2054" spans="1:14" x14ac:dyDescent="0.3">
      <c r="A2054" t="s">
        <v>182</v>
      </c>
      <c r="B2054" t="s">
        <v>10</v>
      </c>
      <c r="C2054">
        <v>13</v>
      </c>
      <c r="D2054" t="s">
        <v>62</v>
      </c>
      <c r="E2054" t="s">
        <v>63</v>
      </c>
      <c r="G2054">
        <v>7.0559999999999992</v>
      </c>
      <c r="H2054">
        <v>7.0559999999999992</v>
      </c>
      <c r="I2054" t="s">
        <v>61</v>
      </c>
      <c r="J2054">
        <v>3600000</v>
      </c>
      <c r="K2054">
        <v>25401599.999999996</v>
      </c>
      <c r="L2054" t="s">
        <v>10</v>
      </c>
      <c r="M2054" t="s">
        <v>7</v>
      </c>
      <c r="N2054" t="b">
        <v>0</v>
      </c>
    </row>
    <row r="2055" spans="1:14" x14ac:dyDescent="0.3">
      <c r="A2055" t="s">
        <v>182</v>
      </c>
      <c r="B2055" t="s">
        <v>10</v>
      </c>
      <c r="C2055">
        <v>14</v>
      </c>
      <c r="E2055" t="s">
        <v>64</v>
      </c>
      <c r="G2055">
        <v>0.6</v>
      </c>
      <c r="H2055">
        <v>0.6</v>
      </c>
      <c r="I2055" t="s">
        <v>61</v>
      </c>
      <c r="J2055">
        <v>5500000</v>
      </c>
      <c r="K2055">
        <v>3300000</v>
      </c>
      <c r="L2055" t="s">
        <v>10</v>
      </c>
      <c r="M2055" t="s">
        <v>7</v>
      </c>
      <c r="N2055" t="b">
        <v>0</v>
      </c>
    </row>
    <row r="2056" spans="1:14" x14ac:dyDescent="0.3">
      <c r="A2056" t="s">
        <v>182</v>
      </c>
      <c r="B2056" t="s">
        <v>10</v>
      </c>
      <c r="C2056">
        <v>15</v>
      </c>
      <c r="D2056" t="s">
        <v>65</v>
      </c>
      <c r="E2056" t="s">
        <v>66</v>
      </c>
      <c r="G2056" t="s">
        <v>67</v>
      </c>
      <c r="H2056">
        <v>8</v>
      </c>
      <c r="I2056" t="s">
        <v>61</v>
      </c>
      <c r="J2056">
        <v>200000</v>
      </c>
      <c r="K2056">
        <v>1600000</v>
      </c>
      <c r="L2056" t="s">
        <v>10</v>
      </c>
      <c r="M2056" t="s">
        <v>7</v>
      </c>
      <c r="N2056" t="b">
        <v>0</v>
      </c>
    </row>
    <row r="2057" spans="1:14" x14ac:dyDescent="0.3">
      <c r="A2057" t="s">
        <v>182</v>
      </c>
      <c r="B2057" t="s">
        <v>10</v>
      </c>
      <c r="C2057">
        <v>16</v>
      </c>
      <c r="E2057" t="s">
        <v>68</v>
      </c>
      <c r="G2057">
        <v>8</v>
      </c>
      <c r="H2057">
        <v>8</v>
      </c>
      <c r="I2057" t="s">
        <v>61</v>
      </c>
      <c r="J2057">
        <v>200000</v>
      </c>
      <c r="K2057">
        <v>1600000</v>
      </c>
      <c r="L2057" t="s">
        <v>10</v>
      </c>
      <c r="M2057" t="s">
        <v>7</v>
      </c>
      <c r="N2057" t="b">
        <v>0</v>
      </c>
    </row>
    <row r="2058" spans="1:14" x14ac:dyDescent="0.3">
      <c r="A2058" t="s">
        <v>182</v>
      </c>
      <c r="B2058" t="s">
        <v>10</v>
      </c>
      <c r="C2058">
        <v>17</v>
      </c>
      <c r="E2058" t="s">
        <v>69</v>
      </c>
      <c r="G2058">
        <v>88</v>
      </c>
      <c r="H2058">
        <v>16</v>
      </c>
      <c r="I2058" t="s">
        <v>61</v>
      </c>
      <c r="J2058">
        <v>200000</v>
      </c>
      <c r="K2058">
        <v>3200000</v>
      </c>
      <c r="L2058" t="s">
        <v>10</v>
      </c>
      <c r="M2058" t="s">
        <v>7</v>
      </c>
      <c r="N2058" t="b">
        <v>0</v>
      </c>
    </row>
    <row r="2059" spans="1:14" x14ac:dyDescent="0.3">
      <c r="A2059" t="s">
        <v>182</v>
      </c>
      <c r="B2059" t="s">
        <v>10</v>
      </c>
      <c r="C2059">
        <v>18</v>
      </c>
      <c r="E2059" t="s">
        <v>70</v>
      </c>
      <c r="G2059">
        <v>16</v>
      </c>
      <c r="H2059">
        <v>16</v>
      </c>
      <c r="I2059" t="s">
        <v>61</v>
      </c>
      <c r="J2059">
        <v>400000</v>
      </c>
      <c r="K2059">
        <v>6400000</v>
      </c>
      <c r="L2059" t="s">
        <v>10</v>
      </c>
      <c r="M2059" t="s">
        <v>7</v>
      </c>
      <c r="N2059" t="b">
        <v>0</v>
      </c>
    </row>
    <row r="2060" spans="1:14" x14ac:dyDescent="0.3">
      <c r="A2060" t="s">
        <v>182</v>
      </c>
      <c r="B2060" t="s">
        <v>10</v>
      </c>
      <c r="C2060">
        <v>19</v>
      </c>
      <c r="E2060" t="s">
        <v>71</v>
      </c>
      <c r="G2060">
        <v>16</v>
      </c>
      <c r="H2060">
        <v>16</v>
      </c>
      <c r="I2060" t="s">
        <v>61</v>
      </c>
      <c r="J2060">
        <v>120000</v>
      </c>
      <c r="K2060">
        <v>1920000</v>
      </c>
      <c r="L2060" t="s">
        <v>10</v>
      </c>
      <c r="M2060" t="s">
        <v>7</v>
      </c>
      <c r="N2060" t="b">
        <v>0</v>
      </c>
    </row>
    <row r="2061" spans="1:14" x14ac:dyDescent="0.3">
      <c r="A2061" t="s">
        <v>182</v>
      </c>
      <c r="B2061" t="s">
        <v>10</v>
      </c>
      <c r="C2061">
        <v>20</v>
      </c>
      <c r="E2061" t="s">
        <v>72</v>
      </c>
      <c r="G2061">
        <v>24</v>
      </c>
      <c r="H2061">
        <v>24</v>
      </c>
      <c r="I2061" t="s">
        <v>61</v>
      </c>
      <c r="J2061">
        <v>400000</v>
      </c>
      <c r="K2061">
        <v>9600000</v>
      </c>
      <c r="L2061" t="s">
        <v>10</v>
      </c>
      <c r="M2061" t="s">
        <v>7</v>
      </c>
      <c r="N2061" t="b">
        <v>0</v>
      </c>
    </row>
    <row r="2062" spans="1:14" x14ac:dyDescent="0.3">
      <c r="A2062" t="s">
        <v>182</v>
      </c>
      <c r="B2062" t="s">
        <v>10</v>
      </c>
      <c r="C2062">
        <v>21</v>
      </c>
      <c r="D2062" t="s">
        <v>73</v>
      </c>
      <c r="E2062" t="s">
        <v>74</v>
      </c>
      <c r="F2062">
        <v>132</v>
      </c>
      <c r="G2062">
        <v>24</v>
      </c>
      <c r="H2062">
        <v>14.987427840000002</v>
      </c>
      <c r="I2062" t="s">
        <v>46</v>
      </c>
      <c r="J2062">
        <v>35000000</v>
      </c>
      <c r="K2062">
        <v>524559974.4000001</v>
      </c>
      <c r="L2062" t="s">
        <v>10</v>
      </c>
      <c r="M2062" t="s">
        <v>7</v>
      </c>
      <c r="N2062" t="b">
        <v>0</v>
      </c>
    </row>
    <row r="2063" spans="1:14" x14ac:dyDescent="0.3">
      <c r="A2063" t="s">
        <v>182</v>
      </c>
      <c r="B2063" t="s">
        <v>10</v>
      </c>
      <c r="C2063">
        <v>22</v>
      </c>
      <c r="D2063" t="s">
        <v>75</v>
      </c>
      <c r="E2063" t="s">
        <v>76</v>
      </c>
      <c r="F2063" t="s">
        <v>77</v>
      </c>
      <c r="G2063">
        <v>2</v>
      </c>
      <c r="H2063">
        <v>3.8</v>
      </c>
      <c r="I2063" t="s">
        <v>46</v>
      </c>
      <c r="J2063">
        <v>5200000</v>
      </c>
      <c r="K2063">
        <v>19760000</v>
      </c>
      <c r="L2063" t="s">
        <v>10</v>
      </c>
      <c r="M2063" t="s">
        <v>7</v>
      </c>
      <c r="N2063" t="b">
        <v>0</v>
      </c>
    </row>
    <row r="2064" spans="1:14" x14ac:dyDescent="0.3">
      <c r="A2064" t="s">
        <v>182</v>
      </c>
      <c r="B2064" t="s">
        <v>10</v>
      </c>
      <c r="C2064">
        <v>23</v>
      </c>
      <c r="E2064" t="s">
        <v>78</v>
      </c>
      <c r="F2064" t="s">
        <v>79</v>
      </c>
      <c r="G2064">
        <v>2</v>
      </c>
      <c r="H2064">
        <v>1.2</v>
      </c>
      <c r="I2064" t="s">
        <v>46</v>
      </c>
      <c r="J2064">
        <v>5200000</v>
      </c>
      <c r="K2064">
        <v>6240000</v>
      </c>
      <c r="L2064" t="s">
        <v>10</v>
      </c>
      <c r="M2064" t="s">
        <v>7</v>
      </c>
      <c r="N2064" t="b">
        <v>0</v>
      </c>
    </row>
    <row r="2065" spans="1:14" x14ac:dyDescent="0.3">
      <c r="A2065" t="s">
        <v>182</v>
      </c>
      <c r="B2065" t="s">
        <v>10</v>
      </c>
      <c r="C2065">
        <v>24</v>
      </c>
      <c r="D2065" t="s">
        <v>80</v>
      </c>
      <c r="E2065" t="s">
        <v>81</v>
      </c>
      <c r="F2065" t="s">
        <v>82</v>
      </c>
      <c r="G2065">
        <v>2</v>
      </c>
      <c r="H2065">
        <v>2.1303989999999997</v>
      </c>
      <c r="I2065" t="s">
        <v>46</v>
      </c>
      <c r="J2065">
        <v>8500000</v>
      </c>
      <c r="K2065">
        <v>18108391.499999996</v>
      </c>
      <c r="L2065" t="s">
        <v>10</v>
      </c>
      <c r="M2065" t="s">
        <v>7</v>
      </c>
      <c r="N2065" t="b">
        <v>0</v>
      </c>
    </row>
    <row r="2066" spans="1:14" x14ac:dyDescent="0.3">
      <c r="A2066" t="s">
        <v>182</v>
      </c>
      <c r="B2066" t="s">
        <v>10</v>
      </c>
      <c r="C2066">
        <v>25</v>
      </c>
      <c r="D2066" t="s">
        <v>83</v>
      </c>
      <c r="E2066" t="s">
        <v>84</v>
      </c>
      <c r="F2066">
        <v>0.18</v>
      </c>
      <c r="G2066">
        <v>6</v>
      </c>
      <c r="H2066">
        <v>6</v>
      </c>
      <c r="I2066" t="s">
        <v>61</v>
      </c>
      <c r="J2066">
        <v>1014000</v>
      </c>
      <c r="K2066">
        <v>6084000</v>
      </c>
      <c r="L2066" t="s">
        <v>10</v>
      </c>
      <c r="M2066" t="s">
        <v>7</v>
      </c>
      <c r="N2066" t="b">
        <v>0</v>
      </c>
    </row>
    <row r="2067" spans="1:14" x14ac:dyDescent="0.3">
      <c r="A2067" t="s">
        <v>182</v>
      </c>
      <c r="B2067" t="s">
        <v>10</v>
      </c>
      <c r="C2067">
        <v>26</v>
      </c>
      <c r="E2067" t="s">
        <v>86</v>
      </c>
      <c r="F2067">
        <v>0.2</v>
      </c>
      <c r="G2067">
        <v>9</v>
      </c>
      <c r="H2067">
        <v>9</v>
      </c>
      <c r="I2067" t="s">
        <v>61</v>
      </c>
      <c r="J2067">
        <v>1014000</v>
      </c>
      <c r="K2067">
        <v>9126000</v>
      </c>
      <c r="L2067" t="s">
        <v>10</v>
      </c>
      <c r="M2067" t="s">
        <v>7</v>
      </c>
      <c r="N2067" t="b">
        <v>0</v>
      </c>
    </row>
    <row r="2068" spans="1:14" x14ac:dyDescent="0.3">
      <c r="A2068" t="s">
        <v>182</v>
      </c>
      <c r="B2068" t="s">
        <v>10</v>
      </c>
      <c r="C2068">
        <v>27</v>
      </c>
      <c r="D2068" t="s">
        <v>88</v>
      </c>
      <c r="E2068" t="s">
        <v>89</v>
      </c>
      <c r="F2068" t="s">
        <v>90</v>
      </c>
      <c r="G2068">
        <v>3</v>
      </c>
      <c r="H2068">
        <v>3</v>
      </c>
      <c r="I2068" t="s">
        <v>61</v>
      </c>
      <c r="J2068">
        <v>100000</v>
      </c>
      <c r="K2068">
        <v>300000</v>
      </c>
      <c r="L2068" t="s">
        <v>10</v>
      </c>
      <c r="M2068" t="s">
        <v>7</v>
      </c>
      <c r="N2068" t="b">
        <v>0</v>
      </c>
    </row>
    <row r="2069" spans="1:14" x14ac:dyDescent="0.3">
      <c r="A2069" t="s">
        <v>182</v>
      </c>
      <c r="B2069" t="s">
        <v>10</v>
      </c>
      <c r="C2069">
        <v>28</v>
      </c>
      <c r="D2069" t="s">
        <v>65</v>
      </c>
      <c r="E2069" t="s">
        <v>91</v>
      </c>
      <c r="G2069">
        <v>6</v>
      </c>
      <c r="H2069">
        <v>6</v>
      </c>
      <c r="I2069" t="s">
        <v>61</v>
      </c>
      <c r="J2069">
        <v>2400000</v>
      </c>
      <c r="K2069">
        <v>14400000</v>
      </c>
      <c r="L2069" t="s">
        <v>10</v>
      </c>
      <c r="M2069" t="s">
        <v>7</v>
      </c>
      <c r="N2069" t="b">
        <v>0</v>
      </c>
    </row>
    <row r="2070" spans="1:14" x14ac:dyDescent="0.3">
      <c r="A2070" t="s">
        <v>182</v>
      </c>
      <c r="B2070" t="s">
        <v>10</v>
      </c>
      <c r="C2070">
        <v>29</v>
      </c>
      <c r="E2070" t="s">
        <v>92</v>
      </c>
      <c r="G2070">
        <v>7.0659999999999998</v>
      </c>
      <c r="H2070">
        <v>7.0659999999999998</v>
      </c>
      <c r="I2070" t="s">
        <v>61</v>
      </c>
      <c r="J2070">
        <v>2400000</v>
      </c>
      <c r="K2070">
        <v>16958400</v>
      </c>
      <c r="L2070" t="s">
        <v>10</v>
      </c>
      <c r="M2070" t="s">
        <v>7</v>
      </c>
      <c r="N2070" t="b">
        <v>0</v>
      </c>
    </row>
    <row r="2071" spans="1:14" x14ac:dyDescent="0.3">
      <c r="A2071" t="s">
        <v>182</v>
      </c>
      <c r="B2071" t="s">
        <v>10</v>
      </c>
      <c r="C2071">
        <v>30</v>
      </c>
      <c r="E2071" t="s">
        <v>93</v>
      </c>
      <c r="G2071">
        <v>6</v>
      </c>
      <c r="H2071">
        <v>6</v>
      </c>
      <c r="I2071" t="s">
        <v>61</v>
      </c>
      <c r="J2071">
        <v>3000000</v>
      </c>
      <c r="K2071">
        <v>18000000</v>
      </c>
      <c r="L2071" t="s">
        <v>10</v>
      </c>
      <c r="M2071" t="s">
        <v>7</v>
      </c>
      <c r="N2071" t="b">
        <v>0</v>
      </c>
    </row>
    <row r="2072" spans="1:14" x14ac:dyDescent="0.3">
      <c r="A2072" t="s">
        <v>182</v>
      </c>
      <c r="B2072" t="s">
        <v>10</v>
      </c>
      <c r="C2072">
        <v>31</v>
      </c>
      <c r="D2072" t="s">
        <v>94</v>
      </c>
      <c r="E2072" t="s">
        <v>95</v>
      </c>
      <c r="G2072">
        <v>2</v>
      </c>
      <c r="H2072">
        <v>2</v>
      </c>
      <c r="I2072" t="s">
        <v>61</v>
      </c>
      <c r="J2072">
        <v>1300000</v>
      </c>
      <c r="K2072">
        <v>2600000</v>
      </c>
      <c r="L2072" t="s">
        <v>10</v>
      </c>
      <c r="M2072" t="s">
        <v>7</v>
      </c>
      <c r="N2072" t="b">
        <v>0</v>
      </c>
    </row>
    <row r="2073" spans="1:14" x14ac:dyDescent="0.3">
      <c r="A2073" t="s">
        <v>182</v>
      </c>
      <c r="B2073" t="s">
        <v>10</v>
      </c>
      <c r="C2073">
        <v>32</v>
      </c>
      <c r="D2073" t="s">
        <v>94</v>
      </c>
      <c r="E2073" t="s">
        <v>96</v>
      </c>
      <c r="G2073">
        <v>12</v>
      </c>
      <c r="H2073">
        <v>2.016</v>
      </c>
      <c r="I2073" t="s">
        <v>97</v>
      </c>
      <c r="J2073">
        <v>460000</v>
      </c>
      <c r="K2073">
        <v>927360</v>
      </c>
      <c r="L2073" t="s">
        <v>10</v>
      </c>
      <c r="M2073" t="s">
        <v>7</v>
      </c>
      <c r="N2073" t="b">
        <v>0</v>
      </c>
    </row>
    <row r="2074" spans="1:14" x14ac:dyDescent="0.3">
      <c r="A2074" t="s">
        <v>182</v>
      </c>
      <c r="B2074" t="s">
        <v>10</v>
      </c>
      <c r="C2074">
        <v>33</v>
      </c>
      <c r="D2074" t="s">
        <v>98</v>
      </c>
      <c r="E2074" t="s">
        <v>99</v>
      </c>
      <c r="F2074">
        <v>50</v>
      </c>
      <c r="G2074">
        <v>24</v>
      </c>
      <c r="H2074">
        <v>2.4</v>
      </c>
      <c r="I2074" t="s">
        <v>100</v>
      </c>
      <c r="J2074">
        <v>12655280.000000002</v>
      </c>
      <c r="K2074">
        <v>30372672.000000004</v>
      </c>
      <c r="L2074" t="s">
        <v>10</v>
      </c>
      <c r="M2074" t="s">
        <v>7</v>
      </c>
      <c r="N2074" t="b">
        <v>0</v>
      </c>
    </row>
    <row r="2075" spans="1:14" x14ac:dyDescent="0.3">
      <c r="A2075" t="s">
        <v>182</v>
      </c>
      <c r="B2075" t="s">
        <v>10</v>
      </c>
      <c r="C2075">
        <v>28</v>
      </c>
      <c r="E2075" t="s">
        <v>101</v>
      </c>
      <c r="H2075">
        <v>8</v>
      </c>
      <c r="I2075" t="s">
        <v>102</v>
      </c>
      <c r="J2075">
        <v>13000000</v>
      </c>
      <c r="K2075">
        <v>104000000</v>
      </c>
      <c r="L2075" t="s">
        <v>10</v>
      </c>
      <c r="M2075" t="s">
        <v>7</v>
      </c>
      <c r="N2075" t="b">
        <v>0</v>
      </c>
    </row>
    <row r="2076" spans="1:14" x14ac:dyDescent="0.3">
      <c r="A2076" t="s">
        <v>182</v>
      </c>
      <c r="B2076" t="s">
        <v>10</v>
      </c>
      <c r="C2076">
        <v>29</v>
      </c>
      <c r="E2076" t="s">
        <v>107</v>
      </c>
      <c r="H2076">
        <v>0</v>
      </c>
      <c r="I2076" t="s">
        <v>108</v>
      </c>
      <c r="K2076">
        <v>0</v>
      </c>
      <c r="L2076" t="s">
        <v>10</v>
      </c>
      <c r="M2076" t="s">
        <v>7</v>
      </c>
      <c r="N2076" t="b">
        <v>0</v>
      </c>
    </row>
    <row r="2077" spans="1:14" x14ac:dyDescent="0.3">
      <c r="A2077" t="s">
        <v>182</v>
      </c>
      <c r="B2077" t="s">
        <v>11</v>
      </c>
      <c r="C2077">
        <v>1</v>
      </c>
      <c r="D2077" t="s">
        <v>75</v>
      </c>
      <c r="E2077" t="s">
        <v>109</v>
      </c>
      <c r="G2077">
        <v>1</v>
      </c>
      <c r="H2077">
        <v>9</v>
      </c>
      <c r="I2077" t="s">
        <v>46</v>
      </c>
      <c r="J2077">
        <v>5200000</v>
      </c>
      <c r="K2077">
        <v>46800000</v>
      </c>
      <c r="L2077" t="s">
        <v>11</v>
      </c>
      <c r="M2077" t="s">
        <v>7</v>
      </c>
      <c r="N2077" t="b">
        <v>0</v>
      </c>
    </row>
    <row r="2078" spans="1:14" x14ac:dyDescent="0.3">
      <c r="A2078" t="s">
        <v>182</v>
      </c>
      <c r="B2078" t="s">
        <v>11</v>
      </c>
      <c r="C2078">
        <v>4</v>
      </c>
      <c r="D2078" t="s">
        <v>110</v>
      </c>
      <c r="E2078" t="s">
        <v>111</v>
      </c>
      <c r="G2078">
        <v>4</v>
      </c>
      <c r="H2078">
        <v>0.5</v>
      </c>
      <c r="I2078" t="s">
        <v>46</v>
      </c>
      <c r="J2078">
        <v>22000000</v>
      </c>
      <c r="K2078">
        <v>11000000</v>
      </c>
      <c r="L2078" t="s">
        <v>11</v>
      </c>
      <c r="M2078" t="s">
        <v>7</v>
      </c>
      <c r="N2078" t="b">
        <v>0</v>
      </c>
    </row>
    <row r="2079" spans="1:14" x14ac:dyDescent="0.3">
      <c r="A2079" t="s">
        <v>182</v>
      </c>
      <c r="B2079" t="s">
        <v>11</v>
      </c>
      <c r="C2079">
        <v>5</v>
      </c>
      <c r="E2079" t="s">
        <v>112</v>
      </c>
      <c r="G2079">
        <v>20</v>
      </c>
      <c r="H2079">
        <v>20</v>
      </c>
      <c r="I2079" t="s">
        <v>61</v>
      </c>
      <c r="J2079">
        <v>26000</v>
      </c>
      <c r="K2079">
        <v>520000</v>
      </c>
      <c r="L2079" t="s">
        <v>11</v>
      </c>
      <c r="M2079" t="s">
        <v>7</v>
      </c>
      <c r="N2079" t="b">
        <v>0</v>
      </c>
    </row>
    <row r="2080" spans="1:14" x14ac:dyDescent="0.3">
      <c r="A2080" t="s">
        <v>182</v>
      </c>
      <c r="B2080" t="s">
        <v>11</v>
      </c>
      <c r="C2080">
        <v>6</v>
      </c>
      <c r="E2080" t="s">
        <v>113</v>
      </c>
      <c r="G2080">
        <v>6</v>
      </c>
      <c r="H2080">
        <v>6</v>
      </c>
      <c r="I2080" t="s">
        <v>61</v>
      </c>
      <c r="J2080">
        <v>195000</v>
      </c>
      <c r="K2080">
        <v>1170000</v>
      </c>
      <c r="L2080" t="s">
        <v>11</v>
      </c>
      <c r="M2080" t="s">
        <v>7</v>
      </c>
      <c r="N2080" t="b">
        <v>0</v>
      </c>
    </row>
    <row r="2081" spans="1:14" x14ac:dyDescent="0.3">
      <c r="A2081" t="s">
        <v>182</v>
      </c>
      <c r="B2081" t="s">
        <v>11</v>
      </c>
      <c r="C2081">
        <v>7</v>
      </c>
      <c r="E2081" t="s">
        <v>114</v>
      </c>
      <c r="G2081">
        <v>20</v>
      </c>
      <c r="H2081">
        <v>20</v>
      </c>
      <c r="I2081" t="s">
        <v>61</v>
      </c>
      <c r="J2081">
        <v>13000</v>
      </c>
      <c r="K2081">
        <v>260000</v>
      </c>
      <c r="L2081" t="s">
        <v>11</v>
      </c>
      <c r="M2081" t="s">
        <v>7</v>
      </c>
      <c r="N2081" t="b">
        <v>0</v>
      </c>
    </row>
    <row r="2082" spans="1:14" x14ac:dyDescent="0.3">
      <c r="A2082" t="s">
        <v>182</v>
      </c>
      <c r="B2082" t="s">
        <v>11</v>
      </c>
      <c r="C2082">
        <v>8</v>
      </c>
      <c r="E2082" t="s">
        <v>115</v>
      </c>
      <c r="G2082">
        <v>20</v>
      </c>
      <c r="H2082">
        <v>20</v>
      </c>
      <c r="I2082" t="s">
        <v>61</v>
      </c>
      <c r="J2082">
        <v>75000</v>
      </c>
      <c r="K2082">
        <v>1500000</v>
      </c>
      <c r="L2082" t="s">
        <v>11</v>
      </c>
      <c r="M2082" t="s">
        <v>7</v>
      </c>
      <c r="N2082" t="b">
        <v>0</v>
      </c>
    </row>
    <row r="2083" spans="1:14" x14ac:dyDescent="0.3">
      <c r="A2083" t="s">
        <v>182</v>
      </c>
      <c r="B2083" t="s">
        <v>11</v>
      </c>
      <c r="C2083">
        <v>9</v>
      </c>
      <c r="E2083" t="s">
        <v>116</v>
      </c>
      <c r="G2083">
        <v>1</v>
      </c>
      <c r="H2083">
        <v>1</v>
      </c>
      <c r="I2083" t="s">
        <v>61</v>
      </c>
      <c r="J2083">
        <v>11250000</v>
      </c>
      <c r="K2083">
        <v>11250000</v>
      </c>
      <c r="L2083" t="s">
        <v>11</v>
      </c>
      <c r="M2083" t="s">
        <v>7</v>
      </c>
      <c r="N2083" t="b">
        <v>0</v>
      </c>
    </row>
    <row r="2084" spans="1:14" x14ac:dyDescent="0.3">
      <c r="A2084" t="s">
        <v>182</v>
      </c>
      <c r="B2084" t="s">
        <v>11</v>
      </c>
      <c r="C2084">
        <v>10</v>
      </c>
      <c r="E2084" t="s">
        <v>117</v>
      </c>
      <c r="G2084">
        <v>1</v>
      </c>
      <c r="H2084">
        <v>1</v>
      </c>
      <c r="I2084" t="s">
        <v>61</v>
      </c>
      <c r="J2084">
        <v>7500000</v>
      </c>
      <c r="K2084">
        <v>7500000</v>
      </c>
      <c r="L2084" t="s">
        <v>11</v>
      </c>
      <c r="M2084" t="s">
        <v>7</v>
      </c>
      <c r="N2084" t="b">
        <v>0</v>
      </c>
    </row>
    <row r="2085" spans="1:14" x14ac:dyDescent="0.3">
      <c r="A2085" t="s">
        <v>182</v>
      </c>
      <c r="B2085" t="s">
        <v>11</v>
      </c>
      <c r="C2085">
        <v>11</v>
      </c>
      <c r="E2085" t="s">
        <v>118</v>
      </c>
      <c r="G2085">
        <v>2</v>
      </c>
      <c r="H2085">
        <v>2</v>
      </c>
      <c r="I2085" t="s">
        <v>61</v>
      </c>
      <c r="J2085">
        <v>150000</v>
      </c>
      <c r="K2085">
        <v>300000</v>
      </c>
      <c r="L2085" t="s">
        <v>11</v>
      </c>
      <c r="M2085" t="s">
        <v>7</v>
      </c>
      <c r="N2085" t="b">
        <v>0</v>
      </c>
    </row>
    <row r="2086" spans="1:14" x14ac:dyDescent="0.3">
      <c r="A2086" t="s">
        <v>182</v>
      </c>
      <c r="B2086" t="s">
        <v>11</v>
      </c>
      <c r="C2086">
        <v>12</v>
      </c>
      <c r="E2086" t="s">
        <v>119</v>
      </c>
      <c r="G2086">
        <v>2</v>
      </c>
      <c r="H2086">
        <v>2</v>
      </c>
      <c r="I2086" t="s">
        <v>61</v>
      </c>
      <c r="J2086">
        <v>100000</v>
      </c>
      <c r="K2086">
        <v>200000</v>
      </c>
      <c r="L2086" t="s">
        <v>11</v>
      </c>
      <c r="M2086" t="s">
        <v>7</v>
      </c>
      <c r="N2086" t="b">
        <v>0</v>
      </c>
    </row>
    <row r="2087" spans="1:14" x14ac:dyDescent="0.3">
      <c r="A2087" t="s">
        <v>182</v>
      </c>
      <c r="B2087" t="s">
        <v>11</v>
      </c>
      <c r="C2087">
        <v>13</v>
      </c>
      <c r="E2087" t="s">
        <v>120</v>
      </c>
      <c r="G2087">
        <v>4</v>
      </c>
      <c r="H2087">
        <v>4</v>
      </c>
      <c r="I2087" t="s">
        <v>61</v>
      </c>
      <c r="J2087">
        <v>50000</v>
      </c>
      <c r="K2087">
        <v>200000</v>
      </c>
      <c r="L2087" t="s">
        <v>11</v>
      </c>
      <c r="M2087" t="s">
        <v>7</v>
      </c>
      <c r="N2087" t="b">
        <v>0</v>
      </c>
    </row>
    <row r="2088" spans="1:14" x14ac:dyDescent="0.3">
      <c r="A2088" t="s">
        <v>182</v>
      </c>
      <c r="B2088" t="s">
        <v>11</v>
      </c>
      <c r="C2088">
        <v>14</v>
      </c>
      <c r="E2088" t="s">
        <v>121</v>
      </c>
      <c r="G2088">
        <v>2</v>
      </c>
      <c r="H2088">
        <v>2</v>
      </c>
      <c r="I2088" t="s">
        <v>61</v>
      </c>
      <c r="J2088">
        <v>100000</v>
      </c>
      <c r="K2088">
        <v>200000</v>
      </c>
      <c r="L2088" t="s">
        <v>11</v>
      </c>
      <c r="M2088" t="s">
        <v>7</v>
      </c>
      <c r="N2088" t="b">
        <v>0</v>
      </c>
    </row>
    <row r="2089" spans="1:14" x14ac:dyDescent="0.3">
      <c r="A2089" t="s">
        <v>182</v>
      </c>
      <c r="B2089" t="s">
        <v>11</v>
      </c>
      <c r="C2089">
        <v>15</v>
      </c>
      <c r="E2089" t="s">
        <v>122</v>
      </c>
      <c r="G2089">
        <v>1</v>
      </c>
      <c r="H2089">
        <v>0.1</v>
      </c>
      <c r="I2089" t="s">
        <v>46</v>
      </c>
      <c r="J2089">
        <v>4200000</v>
      </c>
      <c r="K2089">
        <v>420000</v>
      </c>
      <c r="L2089" t="s">
        <v>11</v>
      </c>
      <c r="M2089" t="s">
        <v>7</v>
      </c>
      <c r="N2089" t="b">
        <v>0</v>
      </c>
    </row>
    <row r="2090" spans="1:14" x14ac:dyDescent="0.3">
      <c r="A2090" t="s">
        <v>182</v>
      </c>
      <c r="B2090" t="s">
        <v>11</v>
      </c>
      <c r="C2090">
        <v>16</v>
      </c>
      <c r="E2090" t="s">
        <v>123</v>
      </c>
      <c r="G2090">
        <v>1</v>
      </c>
      <c r="H2090">
        <v>0.3</v>
      </c>
      <c r="I2090" t="s">
        <v>97</v>
      </c>
      <c r="K2090">
        <v>0</v>
      </c>
      <c r="L2090" t="s">
        <v>11</v>
      </c>
      <c r="M2090" t="s">
        <v>7</v>
      </c>
      <c r="N2090" t="b">
        <v>0</v>
      </c>
    </row>
    <row r="2091" spans="1:14" x14ac:dyDescent="0.3">
      <c r="A2091" t="s">
        <v>182</v>
      </c>
      <c r="B2091" t="s">
        <v>11</v>
      </c>
      <c r="C2091">
        <v>17</v>
      </c>
      <c r="E2091" t="s">
        <v>124</v>
      </c>
      <c r="G2091">
        <v>1</v>
      </c>
      <c r="H2091">
        <v>0.15</v>
      </c>
      <c r="I2091" t="s">
        <v>97</v>
      </c>
      <c r="K2091">
        <v>0</v>
      </c>
      <c r="L2091" t="s">
        <v>11</v>
      </c>
      <c r="M2091" t="s">
        <v>7</v>
      </c>
      <c r="N2091" t="b">
        <v>0</v>
      </c>
    </row>
    <row r="2092" spans="1:14" x14ac:dyDescent="0.3">
      <c r="A2092" t="s">
        <v>182</v>
      </c>
      <c r="B2092" t="s">
        <v>11</v>
      </c>
      <c r="C2092">
        <v>18</v>
      </c>
      <c r="E2092" t="s">
        <v>125</v>
      </c>
      <c r="G2092">
        <v>1</v>
      </c>
      <c r="I2092" t="s">
        <v>61</v>
      </c>
      <c r="K2092">
        <v>0</v>
      </c>
      <c r="L2092" t="s">
        <v>11</v>
      </c>
      <c r="M2092" t="s">
        <v>7</v>
      </c>
      <c r="N2092" t="b">
        <v>0</v>
      </c>
    </row>
    <row r="2093" spans="1:14" x14ac:dyDescent="0.3">
      <c r="A2093" t="s">
        <v>182</v>
      </c>
      <c r="B2093" t="s">
        <v>11</v>
      </c>
      <c r="C2093">
        <v>19</v>
      </c>
      <c r="E2093" t="s">
        <v>126</v>
      </c>
      <c r="G2093">
        <v>1</v>
      </c>
      <c r="I2093" t="s">
        <v>61</v>
      </c>
      <c r="K2093">
        <v>0</v>
      </c>
      <c r="L2093" t="s">
        <v>11</v>
      </c>
      <c r="M2093" t="s">
        <v>7</v>
      </c>
      <c r="N2093" t="b">
        <v>0</v>
      </c>
    </row>
    <row r="2094" spans="1:14" x14ac:dyDescent="0.3">
      <c r="A2094" t="s">
        <v>182</v>
      </c>
      <c r="B2094" t="s">
        <v>11</v>
      </c>
      <c r="C2094">
        <v>20</v>
      </c>
      <c r="E2094" t="s">
        <v>127</v>
      </c>
      <c r="G2094">
        <v>1</v>
      </c>
      <c r="I2094" t="s">
        <v>61</v>
      </c>
      <c r="K2094">
        <v>0</v>
      </c>
      <c r="L2094" t="s">
        <v>11</v>
      </c>
      <c r="M2094" t="s">
        <v>7</v>
      </c>
      <c r="N2094" t="b">
        <v>0</v>
      </c>
    </row>
    <row r="2095" spans="1:14" x14ac:dyDescent="0.3">
      <c r="A2095" t="s">
        <v>182</v>
      </c>
      <c r="B2095" t="s">
        <v>11</v>
      </c>
      <c r="C2095">
        <v>21</v>
      </c>
      <c r="E2095" t="s">
        <v>128</v>
      </c>
      <c r="G2095">
        <v>1</v>
      </c>
      <c r="H2095">
        <v>1</v>
      </c>
      <c r="I2095" t="s">
        <v>61</v>
      </c>
      <c r="J2095">
        <v>74000000</v>
      </c>
      <c r="K2095">
        <v>74000000</v>
      </c>
      <c r="L2095" t="s">
        <v>11</v>
      </c>
      <c r="M2095" t="s">
        <v>7</v>
      </c>
      <c r="N2095" t="b">
        <v>0</v>
      </c>
    </row>
    <row r="2096" spans="1:14" x14ac:dyDescent="0.3">
      <c r="A2096" t="s">
        <v>182</v>
      </c>
      <c r="B2096" t="s">
        <v>11</v>
      </c>
      <c r="C2096">
        <v>7</v>
      </c>
      <c r="E2096" t="s">
        <v>101</v>
      </c>
      <c r="H2096">
        <v>5</v>
      </c>
      <c r="I2096" t="s">
        <v>102</v>
      </c>
      <c r="J2096">
        <v>13000000</v>
      </c>
      <c r="K2096">
        <v>65000000</v>
      </c>
      <c r="L2096" t="s">
        <v>11</v>
      </c>
      <c r="M2096" t="s">
        <v>7</v>
      </c>
      <c r="N2096" t="b">
        <v>0</v>
      </c>
    </row>
    <row r="2097" spans="1:14" x14ac:dyDescent="0.3">
      <c r="A2097" t="s">
        <v>182</v>
      </c>
      <c r="B2097" t="s">
        <v>11</v>
      </c>
      <c r="C2097">
        <v>8</v>
      </c>
      <c r="E2097" t="s">
        <v>107</v>
      </c>
      <c r="H2097">
        <v>0</v>
      </c>
      <c r="I2097" t="s">
        <v>108</v>
      </c>
      <c r="K2097">
        <v>0</v>
      </c>
      <c r="L2097" t="s">
        <v>11</v>
      </c>
      <c r="M2097" t="s">
        <v>7</v>
      </c>
      <c r="N2097" t="b">
        <v>0</v>
      </c>
    </row>
    <row r="2098" spans="1:14" x14ac:dyDescent="0.3">
      <c r="A2098" t="s">
        <v>182</v>
      </c>
      <c r="B2098" t="s">
        <v>12</v>
      </c>
      <c r="C2098">
        <v>1</v>
      </c>
      <c r="D2098" t="s">
        <v>129</v>
      </c>
      <c r="E2098" t="s">
        <v>130</v>
      </c>
      <c r="G2098">
        <v>1</v>
      </c>
      <c r="H2098">
        <v>11</v>
      </c>
      <c r="I2098" t="s">
        <v>131</v>
      </c>
      <c r="J2098">
        <v>34500000</v>
      </c>
      <c r="K2098">
        <v>379500000</v>
      </c>
      <c r="L2098" t="s">
        <v>12</v>
      </c>
      <c r="M2098" t="s">
        <v>7</v>
      </c>
      <c r="N2098" t="b">
        <v>0</v>
      </c>
    </row>
    <row r="2099" spans="1:14" x14ac:dyDescent="0.3">
      <c r="A2099" t="s">
        <v>182</v>
      </c>
      <c r="B2099" t="s">
        <v>12</v>
      </c>
      <c r="D2099" t="s">
        <v>58</v>
      </c>
      <c r="E2099" t="s">
        <v>60</v>
      </c>
      <c r="G2099">
        <v>0</v>
      </c>
      <c r="H2099">
        <v>32</v>
      </c>
      <c r="I2099" t="s">
        <v>46</v>
      </c>
      <c r="J2099">
        <v>3600000</v>
      </c>
      <c r="K2099">
        <v>115200000</v>
      </c>
      <c r="L2099" t="s">
        <v>12</v>
      </c>
      <c r="M2099" t="s">
        <v>7</v>
      </c>
      <c r="N2099" t="b">
        <v>0</v>
      </c>
    </row>
    <row r="2100" spans="1:14" x14ac:dyDescent="0.3">
      <c r="A2100" t="s">
        <v>182</v>
      </c>
      <c r="B2100" t="s">
        <v>12</v>
      </c>
      <c r="C2100">
        <v>3</v>
      </c>
      <c r="E2100" t="s">
        <v>132</v>
      </c>
      <c r="G2100">
        <v>16</v>
      </c>
      <c r="I2100" t="s">
        <v>61</v>
      </c>
      <c r="J2100">
        <v>50000</v>
      </c>
      <c r="K2100">
        <v>800000</v>
      </c>
      <c r="L2100" t="s">
        <v>12</v>
      </c>
      <c r="M2100" t="s">
        <v>7</v>
      </c>
      <c r="N2100" t="b">
        <v>0</v>
      </c>
    </row>
    <row r="2101" spans="1:14" x14ac:dyDescent="0.3">
      <c r="A2101" t="s">
        <v>182</v>
      </c>
      <c r="B2101" t="s">
        <v>12</v>
      </c>
      <c r="C2101">
        <v>4</v>
      </c>
      <c r="E2101" t="s">
        <v>133</v>
      </c>
      <c r="G2101">
        <v>16</v>
      </c>
      <c r="I2101" t="s">
        <v>61</v>
      </c>
      <c r="J2101">
        <v>15000</v>
      </c>
      <c r="K2101">
        <v>240000</v>
      </c>
      <c r="L2101" t="s">
        <v>12</v>
      </c>
      <c r="M2101" t="s">
        <v>7</v>
      </c>
      <c r="N2101" t="b">
        <v>0</v>
      </c>
    </row>
    <row r="2102" spans="1:14" x14ac:dyDescent="0.3">
      <c r="A2102" t="s">
        <v>182</v>
      </c>
      <c r="B2102" t="s">
        <v>12</v>
      </c>
      <c r="C2102">
        <v>5</v>
      </c>
      <c r="E2102" t="s">
        <v>134</v>
      </c>
      <c r="G2102">
        <v>32</v>
      </c>
      <c r="I2102" t="s">
        <v>61</v>
      </c>
      <c r="J2102">
        <v>5000</v>
      </c>
      <c r="K2102">
        <v>160000</v>
      </c>
      <c r="L2102" t="s">
        <v>12</v>
      </c>
      <c r="M2102" t="s">
        <v>7</v>
      </c>
      <c r="N2102" t="b">
        <v>0</v>
      </c>
    </row>
    <row r="2103" spans="1:14" x14ac:dyDescent="0.3">
      <c r="A2103" t="s">
        <v>182</v>
      </c>
      <c r="B2103" t="s">
        <v>12</v>
      </c>
      <c r="C2103">
        <v>6</v>
      </c>
      <c r="E2103" t="s">
        <v>135</v>
      </c>
      <c r="G2103">
        <v>16</v>
      </c>
      <c r="I2103" t="s">
        <v>61</v>
      </c>
      <c r="J2103">
        <v>5000</v>
      </c>
      <c r="K2103">
        <v>80000</v>
      </c>
      <c r="L2103" t="s">
        <v>12</v>
      </c>
      <c r="M2103" t="s">
        <v>7</v>
      </c>
      <c r="N2103" t="b">
        <v>0</v>
      </c>
    </row>
    <row r="2104" spans="1:14" x14ac:dyDescent="0.3">
      <c r="A2104" t="s">
        <v>182</v>
      </c>
      <c r="B2104" t="s">
        <v>12</v>
      </c>
      <c r="C2104">
        <v>7</v>
      </c>
      <c r="E2104" t="s">
        <v>101</v>
      </c>
      <c r="H2104">
        <v>1</v>
      </c>
      <c r="I2104" t="s">
        <v>102</v>
      </c>
      <c r="J2104">
        <v>13000000</v>
      </c>
      <c r="K2104">
        <v>13000000</v>
      </c>
      <c r="L2104" t="s">
        <v>12</v>
      </c>
      <c r="M2104" t="s">
        <v>7</v>
      </c>
      <c r="N2104" t="b">
        <v>0</v>
      </c>
    </row>
    <row r="2105" spans="1:14" x14ac:dyDescent="0.3">
      <c r="A2105" t="s">
        <v>182</v>
      </c>
      <c r="B2105" t="s">
        <v>12</v>
      </c>
      <c r="C2105">
        <v>8</v>
      </c>
      <c r="E2105" t="s">
        <v>107</v>
      </c>
      <c r="H2105">
        <v>0</v>
      </c>
      <c r="I2105" t="s">
        <v>108</v>
      </c>
      <c r="K2105">
        <v>0</v>
      </c>
      <c r="L2105" t="s">
        <v>12</v>
      </c>
      <c r="M2105" t="s">
        <v>7</v>
      </c>
      <c r="N2105" t="b">
        <v>0</v>
      </c>
    </row>
    <row r="2106" spans="1:14" x14ac:dyDescent="0.3">
      <c r="A2106" t="s">
        <v>182</v>
      </c>
      <c r="B2106" t="s">
        <v>13</v>
      </c>
      <c r="C2106">
        <v>1</v>
      </c>
      <c r="D2106" t="s">
        <v>73</v>
      </c>
      <c r="E2106" t="s">
        <v>136</v>
      </c>
      <c r="G2106">
        <v>1</v>
      </c>
      <c r="H2106">
        <v>32</v>
      </c>
      <c r="I2106" t="s">
        <v>46</v>
      </c>
      <c r="J2106">
        <v>8500000</v>
      </c>
      <c r="K2106">
        <v>272000000</v>
      </c>
      <c r="L2106" t="s">
        <v>13</v>
      </c>
      <c r="M2106" t="s">
        <v>7</v>
      </c>
      <c r="N2106" t="b">
        <v>0</v>
      </c>
    </row>
    <row r="2107" spans="1:14" x14ac:dyDescent="0.3">
      <c r="A2107" t="s">
        <v>182</v>
      </c>
      <c r="B2107" t="s">
        <v>13</v>
      </c>
      <c r="D2107" t="s">
        <v>58</v>
      </c>
      <c r="E2107" t="s">
        <v>60</v>
      </c>
      <c r="G2107">
        <v>0</v>
      </c>
      <c r="H2107">
        <v>32</v>
      </c>
      <c r="I2107" t="s">
        <v>46</v>
      </c>
      <c r="J2107">
        <v>3600000</v>
      </c>
      <c r="K2107">
        <v>115200000</v>
      </c>
      <c r="L2107" t="s">
        <v>13</v>
      </c>
      <c r="M2107" t="s">
        <v>7</v>
      </c>
      <c r="N2107" t="b">
        <v>0</v>
      </c>
    </row>
    <row r="2108" spans="1:14" x14ac:dyDescent="0.3">
      <c r="A2108" t="s">
        <v>182</v>
      </c>
      <c r="B2108" t="s">
        <v>13</v>
      </c>
      <c r="C2108">
        <v>3</v>
      </c>
      <c r="E2108" t="s">
        <v>132</v>
      </c>
      <c r="G2108">
        <v>4</v>
      </c>
      <c r="I2108" t="s">
        <v>61</v>
      </c>
      <c r="J2108">
        <v>50000</v>
      </c>
      <c r="K2108">
        <v>200000</v>
      </c>
      <c r="L2108" t="s">
        <v>13</v>
      </c>
      <c r="M2108" t="s">
        <v>7</v>
      </c>
      <c r="N2108" t="b">
        <v>0</v>
      </c>
    </row>
    <row r="2109" spans="1:14" x14ac:dyDescent="0.3">
      <c r="A2109" t="s">
        <v>182</v>
      </c>
      <c r="B2109" t="s">
        <v>13</v>
      </c>
      <c r="C2109">
        <v>4</v>
      </c>
      <c r="E2109" t="s">
        <v>133</v>
      </c>
      <c r="G2109">
        <v>4</v>
      </c>
      <c r="I2109" t="s">
        <v>61</v>
      </c>
      <c r="J2109">
        <v>15000</v>
      </c>
      <c r="K2109">
        <v>60000</v>
      </c>
      <c r="L2109" t="s">
        <v>13</v>
      </c>
      <c r="M2109" t="s">
        <v>7</v>
      </c>
      <c r="N2109" t="b">
        <v>0</v>
      </c>
    </row>
    <row r="2110" spans="1:14" x14ac:dyDescent="0.3">
      <c r="A2110" t="s">
        <v>182</v>
      </c>
      <c r="B2110" t="s">
        <v>13</v>
      </c>
      <c r="C2110">
        <v>5</v>
      </c>
      <c r="E2110" t="s">
        <v>134</v>
      </c>
      <c r="G2110">
        <v>8</v>
      </c>
      <c r="I2110" t="s">
        <v>61</v>
      </c>
      <c r="J2110">
        <v>5000</v>
      </c>
      <c r="K2110">
        <v>40000</v>
      </c>
      <c r="L2110" t="s">
        <v>13</v>
      </c>
      <c r="M2110" t="s">
        <v>7</v>
      </c>
      <c r="N2110" t="b">
        <v>0</v>
      </c>
    </row>
    <row r="2111" spans="1:14" x14ac:dyDescent="0.3">
      <c r="A2111" t="s">
        <v>182</v>
      </c>
      <c r="B2111" t="s">
        <v>13</v>
      </c>
      <c r="C2111">
        <v>6</v>
      </c>
      <c r="E2111" t="s">
        <v>135</v>
      </c>
      <c r="G2111">
        <v>4</v>
      </c>
      <c r="I2111" t="s">
        <v>61</v>
      </c>
      <c r="J2111">
        <v>5000</v>
      </c>
      <c r="K2111">
        <v>20000</v>
      </c>
      <c r="L2111" t="s">
        <v>13</v>
      </c>
      <c r="M2111" t="s">
        <v>7</v>
      </c>
      <c r="N2111" t="b">
        <v>0</v>
      </c>
    </row>
    <row r="2112" spans="1:14" x14ac:dyDescent="0.3">
      <c r="A2112" t="s">
        <v>182</v>
      </c>
      <c r="B2112" t="s">
        <v>13</v>
      </c>
      <c r="C2112">
        <v>7</v>
      </c>
      <c r="E2112" t="s">
        <v>101</v>
      </c>
      <c r="H2112">
        <v>5</v>
      </c>
      <c r="I2112" t="s">
        <v>102</v>
      </c>
      <c r="J2112">
        <v>13000000</v>
      </c>
      <c r="K2112">
        <v>65000000</v>
      </c>
      <c r="L2112" t="s">
        <v>13</v>
      </c>
      <c r="M2112" t="s">
        <v>7</v>
      </c>
      <c r="N2112" t="b">
        <v>0</v>
      </c>
    </row>
    <row r="2113" spans="1:14" x14ac:dyDescent="0.3">
      <c r="A2113" t="s">
        <v>182</v>
      </c>
      <c r="B2113" t="s">
        <v>13</v>
      </c>
      <c r="C2113">
        <v>8</v>
      </c>
      <c r="E2113" t="s">
        <v>107</v>
      </c>
      <c r="H2113">
        <v>0</v>
      </c>
      <c r="I2113" t="s">
        <v>108</v>
      </c>
      <c r="K2113">
        <v>0</v>
      </c>
      <c r="L2113" t="s">
        <v>13</v>
      </c>
      <c r="M2113" t="s">
        <v>7</v>
      </c>
      <c r="N2113" t="b">
        <v>0</v>
      </c>
    </row>
    <row r="2114" spans="1:14" x14ac:dyDescent="0.3">
      <c r="A2114" t="s">
        <v>182</v>
      </c>
      <c r="B2114" t="s">
        <v>14</v>
      </c>
      <c r="C2114">
        <v>1</v>
      </c>
      <c r="D2114" t="s">
        <v>73</v>
      </c>
      <c r="E2114" t="s">
        <v>137</v>
      </c>
      <c r="G2114">
        <v>1</v>
      </c>
      <c r="H2114">
        <v>32</v>
      </c>
      <c r="I2114" t="s">
        <v>46</v>
      </c>
      <c r="J2114">
        <v>8500000</v>
      </c>
      <c r="K2114">
        <v>272000000</v>
      </c>
      <c r="L2114" t="s">
        <v>14</v>
      </c>
      <c r="M2114" t="s">
        <v>7</v>
      </c>
      <c r="N2114" t="b">
        <v>0</v>
      </c>
    </row>
    <row r="2115" spans="1:14" x14ac:dyDescent="0.3">
      <c r="A2115" t="s">
        <v>182</v>
      </c>
      <c r="B2115" t="s">
        <v>14</v>
      </c>
      <c r="D2115" t="s">
        <v>58</v>
      </c>
      <c r="E2115" t="s">
        <v>60</v>
      </c>
      <c r="G2115">
        <v>0</v>
      </c>
      <c r="H2115">
        <v>32</v>
      </c>
      <c r="I2115" t="s">
        <v>46</v>
      </c>
      <c r="J2115">
        <v>3600000</v>
      </c>
      <c r="K2115">
        <v>115200000</v>
      </c>
      <c r="L2115" t="s">
        <v>14</v>
      </c>
      <c r="M2115" t="s">
        <v>7</v>
      </c>
      <c r="N2115" t="b">
        <v>0</v>
      </c>
    </row>
    <row r="2116" spans="1:14" x14ac:dyDescent="0.3">
      <c r="A2116" t="s">
        <v>182</v>
      </c>
      <c r="B2116" t="s">
        <v>14</v>
      </c>
      <c r="C2116">
        <v>3</v>
      </c>
      <c r="E2116" t="s">
        <v>132</v>
      </c>
      <c r="G2116">
        <v>16</v>
      </c>
      <c r="I2116" t="s">
        <v>61</v>
      </c>
      <c r="J2116">
        <v>50000</v>
      </c>
      <c r="K2116">
        <v>800000</v>
      </c>
      <c r="L2116" t="s">
        <v>14</v>
      </c>
      <c r="M2116" t="s">
        <v>7</v>
      </c>
      <c r="N2116" t="b">
        <v>0</v>
      </c>
    </row>
    <row r="2117" spans="1:14" x14ac:dyDescent="0.3">
      <c r="A2117" t="s">
        <v>182</v>
      </c>
      <c r="B2117" t="s">
        <v>14</v>
      </c>
      <c r="C2117">
        <v>4</v>
      </c>
      <c r="E2117" t="s">
        <v>133</v>
      </c>
      <c r="G2117">
        <v>16</v>
      </c>
      <c r="I2117" t="s">
        <v>61</v>
      </c>
      <c r="J2117">
        <v>15000</v>
      </c>
      <c r="K2117">
        <v>240000</v>
      </c>
      <c r="L2117" t="s">
        <v>14</v>
      </c>
      <c r="M2117" t="s">
        <v>7</v>
      </c>
      <c r="N2117" t="b">
        <v>0</v>
      </c>
    </row>
    <row r="2118" spans="1:14" x14ac:dyDescent="0.3">
      <c r="A2118" t="s">
        <v>182</v>
      </c>
      <c r="B2118" t="s">
        <v>14</v>
      </c>
      <c r="C2118">
        <v>5</v>
      </c>
      <c r="E2118" t="s">
        <v>134</v>
      </c>
      <c r="G2118">
        <v>32</v>
      </c>
      <c r="I2118" t="s">
        <v>61</v>
      </c>
      <c r="J2118">
        <v>5000</v>
      </c>
      <c r="K2118">
        <v>160000</v>
      </c>
      <c r="L2118" t="s">
        <v>14</v>
      </c>
      <c r="M2118" t="s">
        <v>7</v>
      </c>
      <c r="N2118" t="b">
        <v>0</v>
      </c>
    </row>
    <row r="2119" spans="1:14" x14ac:dyDescent="0.3">
      <c r="A2119" t="s">
        <v>182</v>
      </c>
      <c r="B2119" t="s">
        <v>14</v>
      </c>
      <c r="C2119">
        <v>6</v>
      </c>
      <c r="E2119" t="s">
        <v>135</v>
      </c>
      <c r="G2119">
        <v>16</v>
      </c>
      <c r="I2119" t="s">
        <v>61</v>
      </c>
      <c r="J2119">
        <v>5000</v>
      </c>
      <c r="K2119">
        <v>80000</v>
      </c>
      <c r="L2119" t="s">
        <v>14</v>
      </c>
      <c r="M2119" t="s">
        <v>7</v>
      </c>
      <c r="N2119" t="b">
        <v>0</v>
      </c>
    </row>
    <row r="2120" spans="1:14" x14ac:dyDescent="0.3">
      <c r="A2120" t="s">
        <v>182</v>
      </c>
      <c r="B2120" t="s">
        <v>14</v>
      </c>
      <c r="C2120">
        <v>7</v>
      </c>
      <c r="E2120" t="s">
        <v>101</v>
      </c>
      <c r="H2120">
        <v>5</v>
      </c>
      <c r="I2120" t="s">
        <v>102</v>
      </c>
      <c r="J2120">
        <v>13000000</v>
      </c>
      <c r="K2120">
        <v>65000000</v>
      </c>
      <c r="L2120" t="s">
        <v>14</v>
      </c>
      <c r="M2120" t="s">
        <v>7</v>
      </c>
      <c r="N2120" t="b">
        <v>0</v>
      </c>
    </row>
    <row r="2121" spans="1:14" x14ac:dyDescent="0.3">
      <c r="A2121" t="s">
        <v>182</v>
      </c>
      <c r="B2121" t="s">
        <v>14</v>
      </c>
      <c r="C2121">
        <v>8</v>
      </c>
      <c r="E2121" t="s">
        <v>107</v>
      </c>
      <c r="H2121">
        <v>0</v>
      </c>
      <c r="I2121" t="s">
        <v>108</v>
      </c>
      <c r="K2121">
        <v>0</v>
      </c>
      <c r="L2121" t="s">
        <v>14</v>
      </c>
      <c r="M2121" t="s">
        <v>7</v>
      </c>
      <c r="N2121" t="b">
        <v>0</v>
      </c>
    </row>
    <row r="2122" spans="1:14" x14ac:dyDescent="0.3">
      <c r="A2122" t="s">
        <v>182</v>
      </c>
      <c r="B2122" t="s">
        <v>15</v>
      </c>
      <c r="C2122">
        <v>1</v>
      </c>
      <c r="D2122" t="s">
        <v>75</v>
      </c>
      <c r="E2122" t="s">
        <v>138</v>
      </c>
      <c r="G2122">
        <v>1</v>
      </c>
      <c r="H2122">
        <v>25</v>
      </c>
      <c r="I2122" t="s">
        <v>46</v>
      </c>
      <c r="J2122">
        <v>5200000</v>
      </c>
      <c r="K2122">
        <v>130000000</v>
      </c>
      <c r="L2122" t="s">
        <v>15</v>
      </c>
      <c r="M2122" t="s">
        <v>7</v>
      </c>
      <c r="N2122" t="b">
        <v>0</v>
      </c>
    </row>
    <row r="2123" spans="1:14" x14ac:dyDescent="0.3">
      <c r="A2123" t="s">
        <v>182</v>
      </c>
      <c r="B2123" t="s">
        <v>15</v>
      </c>
      <c r="D2123" t="s">
        <v>75</v>
      </c>
      <c r="E2123" t="s">
        <v>139</v>
      </c>
      <c r="G2123">
        <v>1</v>
      </c>
      <c r="I2123" t="s">
        <v>46</v>
      </c>
      <c r="K2123">
        <v>0</v>
      </c>
      <c r="L2123" t="s">
        <v>15</v>
      </c>
      <c r="M2123" t="s">
        <v>7</v>
      </c>
      <c r="N2123" t="b">
        <v>0</v>
      </c>
    </row>
    <row r="2124" spans="1:14" x14ac:dyDescent="0.3">
      <c r="A2124" t="s">
        <v>182</v>
      </c>
      <c r="B2124" t="s">
        <v>15</v>
      </c>
      <c r="C2124">
        <v>3</v>
      </c>
      <c r="E2124" t="s">
        <v>140</v>
      </c>
      <c r="G2124">
        <v>32</v>
      </c>
      <c r="I2124" t="s">
        <v>61</v>
      </c>
      <c r="J2124">
        <v>10000</v>
      </c>
      <c r="K2124">
        <v>320000</v>
      </c>
      <c r="L2124" t="s">
        <v>15</v>
      </c>
      <c r="M2124" t="s">
        <v>7</v>
      </c>
      <c r="N2124" t="b">
        <v>0</v>
      </c>
    </row>
    <row r="2125" spans="1:14" x14ac:dyDescent="0.3">
      <c r="A2125" t="s">
        <v>182</v>
      </c>
      <c r="B2125" t="s">
        <v>15</v>
      </c>
      <c r="C2125">
        <v>4</v>
      </c>
      <c r="E2125" t="s">
        <v>69</v>
      </c>
      <c r="G2125">
        <v>32</v>
      </c>
      <c r="I2125" t="s">
        <v>61</v>
      </c>
      <c r="J2125">
        <v>60000</v>
      </c>
      <c r="K2125">
        <v>1920000</v>
      </c>
      <c r="L2125" t="s">
        <v>15</v>
      </c>
      <c r="M2125" t="s">
        <v>7</v>
      </c>
      <c r="N2125" t="b">
        <v>0</v>
      </c>
    </row>
    <row r="2126" spans="1:14" x14ac:dyDescent="0.3">
      <c r="A2126" t="s">
        <v>182</v>
      </c>
      <c r="B2126" t="s">
        <v>15</v>
      </c>
      <c r="C2126">
        <v>5</v>
      </c>
      <c r="E2126" t="s">
        <v>141</v>
      </c>
      <c r="G2126">
        <v>32</v>
      </c>
      <c r="I2126" t="s">
        <v>61</v>
      </c>
      <c r="J2126">
        <v>60000</v>
      </c>
      <c r="K2126">
        <v>1920000</v>
      </c>
      <c r="L2126" t="s">
        <v>15</v>
      </c>
      <c r="M2126" t="s">
        <v>7</v>
      </c>
      <c r="N2126" t="b">
        <v>0</v>
      </c>
    </row>
    <row r="2127" spans="1:14" x14ac:dyDescent="0.3">
      <c r="A2127" t="s">
        <v>182</v>
      </c>
      <c r="B2127" t="s">
        <v>15</v>
      </c>
      <c r="C2127">
        <v>6</v>
      </c>
      <c r="E2127" t="s">
        <v>140</v>
      </c>
      <c r="G2127">
        <v>12</v>
      </c>
      <c r="I2127" t="s">
        <v>61</v>
      </c>
      <c r="J2127">
        <v>10000</v>
      </c>
      <c r="K2127">
        <v>120000</v>
      </c>
      <c r="L2127" t="s">
        <v>15</v>
      </c>
      <c r="M2127" t="s">
        <v>7</v>
      </c>
      <c r="N2127" t="b">
        <v>0</v>
      </c>
    </row>
    <row r="2128" spans="1:14" x14ac:dyDescent="0.3">
      <c r="A2128" t="s">
        <v>182</v>
      </c>
      <c r="B2128" t="s">
        <v>15</v>
      </c>
      <c r="C2128">
        <v>7</v>
      </c>
      <c r="E2128" t="s">
        <v>142</v>
      </c>
      <c r="G2128">
        <v>12</v>
      </c>
      <c r="I2128" t="s">
        <v>61</v>
      </c>
      <c r="J2128">
        <v>10000</v>
      </c>
      <c r="K2128">
        <v>120000</v>
      </c>
      <c r="L2128" t="s">
        <v>15</v>
      </c>
      <c r="M2128" t="s">
        <v>7</v>
      </c>
      <c r="N2128" t="b">
        <v>0</v>
      </c>
    </row>
    <row r="2129" spans="1:14" x14ac:dyDescent="0.3">
      <c r="A2129" t="s">
        <v>182</v>
      </c>
      <c r="B2129" t="s">
        <v>15</v>
      </c>
      <c r="C2129">
        <v>8</v>
      </c>
      <c r="E2129" t="s">
        <v>114</v>
      </c>
      <c r="G2129">
        <v>12</v>
      </c>
      <c r="I2129" t="s">
        <v>61</v>
      </c>
      <c r="J2129">
        <v>60000</v>
      </c>
      <c r="K2129">
        <v>720000</v>
      </c>
      <c r="L2129" t="s">
        <v>15</v>
      </c>
      <c r="M2129" t="s">
        <v>7</v>
      </c>
      <c r="N2129" t="b">
        <v>0</v>
      </c>
    </row>
    <row r="2130" spans="1:14" x14ac:dyDescent="0.3">
      <c r="A2130" t="s">
        <v>182</v>
      </c>
      <c r="B2130" t="s">
        <v>15</v>
      </c>
      <c r="C2130">
        <v>9</v>
      </c>
      <c r="E2130" t="s">
        <v>143</v>
      </c>
      <c r="G2130">
        <v>32</v>
      </c>
      <c r="I2130" t="s">
        <v>61</v>
      </c>
      <c r="J2130">
        <v>10000</v>
      </c>
      <c r="K2130">
        <v>320000</v>
      </c>
      <c r="L2130" t="s">
        <v>15</v>
      </c>
      <c r="M2130" t="s">
        <v>7</v>
      </c>
      <c r="N2130" t="b">
        <v>0</v>
      </c>
    </row>
    <row r="2131" spans="1:14" x14ac:dyDescent="0.3">
      <c r="A2131" t="s">
        <v>182</v>
      </c>
      <c r="B2131" t="s">
        <v>15</v>
      </c>
      <c r="C2131">
        <v>10</v>
      </c>
      <c r="E2131" t="s">
        <v>57</v>
      </c>
      <c r="G2131">
        <v>25</v>
      </c>
      <c r="I2131" t="s">
        <v>46</v>
      </c>
      <c r="J2131">
        <v>1430000</v>
      </c>
      <c r="K2131">
        <v>35750000</v>
      </c>
      <c r="L2131" t="s">
        <v>15</v>
      </c>
      <c r="M2131" t="s">
        <v>7</v>
      </c>
      <c r="N2131" t="b">
        <v>0</v>
      </c>
    </row>
    <row r="2132" spans="1:14" x14ac:dyDescent="0.3">
      <c r="A2132" t="s">
        <v>182</v>
      </c>
      <c r="B2132" t="s">
        <v>15</v>
      </c>
      <c r="E2132" t="s">
        <v>96</v>
      </c>
      <c r="G2132">
        <v>1</v>
      </c>
      <c r="H2132">
        <v>6</v>
      </c>
      <c r="I2132" t="s">
        <v>97</v>
      </c>
      <c r="J2132">
        <v>460000</v>
      </c>
      <c r="K2132">
        <v>2760000</v>
      </c>
      <c r="L2132" t="s">
        <v>15</v>
      </c>
      <c r="M2132" t="s">
        <v>7</v>
      </c>
      <c r="N2132" t="b">
        <v>0</v>
      </c>
    </row>
    <row r="2133" spans="1:14" x14ac:dyDescent="0.3">
      <c r="A2133" t="s">
        <v>182</v>
      </c>
      <c r="B2133" t="s">
        <v>15</v>
      </c>
      <c r="C2133">
        <v>11</v>
      </c>
      <c r="E2133" t="s">
        <v>101</v>
      </c>
      <c r="H2133">
        <v>5</v>
      </c>
      <c r="I2133" t="s">
        <v>102</v>
      </c>
      <c r="J2133">
        <v>13000000</v>
      </c>
      <c r="K2133">
        <v>65000000</v>
      </c>
      <c r="L2133" t="s">
        <v>15</v>
      </c>
      <c r="M2133" t="s">
        <v>7</v>
      </c>
      <c r="N2133" t="b">
        <v>0</v>
      </c>
    </row>
    <row r="2134" spans="1:14" x14ac:dyDescent="0.3">
      <c r="A2134" t="s">
        <v>182</v>
      </c>
      <c r="B2134" t="s">
        <v>15</v>
      </c>
      <c r="C2134">
        <v>12</v>
      </c>
      <c r="E2134" t="s">
        <v>107</v>
      </c>
      <c r="H2134">
        <v>0</v>
      </c>
      <c r="I2134" t="s">
        <v>108</v>
      </c>
      <c r="K2134">
        <v>0</v>
      </c>
      <c r="L2134" t="s">
        <v>15</v>
      </c>
      <c r="M2134" t="s">
        <v>7</v>
      </c>
      <c r="N2134" t="b">
        <v>0</v>
      </c>
    </row>
    <row r="2135" spans="1:14" x14ac:dyDescent="0.3">
      <c r="A2135" t="s">
        <v>182</v>
      </c>
      <c r="B2135" t="s">
        <v>16</v>
      </c>
      <c r="C2135">
        <v>1</v>
      </c>
      <c r="D2135" t="s">
        <v>144</v>
      </c>
      <c r="E2135" t="s">
        <v>145</v>
      </c>
      <c r="F2135" t="s">
        <v>146</v>
      </c>
      <c r="G2135">
        <v>2</v>
      </c>
      <c r="H2135">
        <v>2.8296000000000001</v>
      </c>
      <c r="I2135" t="s">
        <v>46</v>
      </c>
      <c r="J2135">
        <v>800000</v>
      </c>
      <c r="K2135">
        <v>2263680</v>
      </c>
      <c r="L2135" t="s">
        <v>16</v>
      </c>
      <c r="M2135" t="s">
        <v>7</v>
      </c>
      <c r="N2135" t="b">
        <v>0</v>
      </c>
    </row>
    <row r="2136" spans="1:14" x14ac:dyDescent="0.3">
      <c r="A2136" t="s">
        <v>182</v>
      </c>
      <c r="B2136" t="s">
        <v>16</v>
      </c>
      <c r="E2136" t="s">
        <v>147</v>
      </c>
      <c r="F2136" t="s">
        <v>148</v>
      </c>
      <c r="G2136">
        <v>2</v>
      </c>
      <c r="H2136">
        <v>0.94320000000000004</v>
      </c>
      <c r="I2136" t="s">
        <v>46</v>
      </c>
      <c r="J2136">
        <v>800000</v>
      </c>
      <c r="K2136">
        <v>754560</v>
      </c>
      <c r="L2136" t="s">
        <v>16</v>
      </c>
      <c r="M2136" t="s">
        <v>7</v>
      </c>
      <c r="N2136" t="b">
        <v>0</v>
      </c>
    </row>
    <row r="2137" spans="1:14" x14ac:dyDescent="0.3">
      <c r="A2137" t="s">
        <v>182</v>
      </c>
      <c r="B2137" t="s">
        <v>16</v>
      </c>
      <c r="E2137" t="s">
        <v>149</v>
      </c>
      <c r="G2137">
        <v>2</v>
      </c>
      <c r="I2137" t="s">
        <v>61</v>
      </c>
      <c r="J2137">
        <v>5000000</v>
      </c>
      <c r="K2137">
        <v>10000000</v>
      </c>
      <c r="L2137" t="s">
        <v>16</v>
      </c>
      <c r="M2137" t="s">
        <v>7</v>
      </c>
      <c r="N2137" t="b">
        <v>0</v>
      </c>
    </row>
    <row r="2138" spans="1:14" x14ac:dyDescent="0.3">
      <c r="A2138" t="s">
        <v>182</v>
      </c>
      <c r="B2138" t="s">
        <v>16</v>
      </c>
      <c r="C2138">
        <v>2</v>
      </c>
      <c r="E2138" t="s">
        <v>150</v>
      </c>
      <c r="F2138">
        <v>260</v>
      </c>
      <c r="G2138">
        <v>2</v>
      </c>
      <c r="H2138">
        <v>0.52</v>
      </c>
      <c r="I2138" t="s">
        <v>151</v>
      </c>
      <c r="J2138">
        <v>2000000</v>
      </c>
      <c r="K2138">
        <v>1040000</v>
      </c>
      <c r="L2138" t="s">
        <v>16</v>
      </c>
      <c r="M2138" t="s">
        <v>7</v>
      </c>
      <c r="N2138" t="b">
        <v>0</v>
      </c>
    </row>
    <row r="2139" spans="1:14" x14ac:dyDescent="0.3">
      <c r="A2139" t="s">
        <v>182</v>
      </c>
      <c r="B2139" t="s">
        <v>16</v>
      </c>
      <c r="E2139" t="s">
        <v>152</v>
      </c>
      <c r="G2139">
        <v>10</v>
      </c>
      <c r="I2139" t="s">
        <v>61</v>
      </c>
      <c r="J2139">
        <v>200000</v>
      </c>
      <c r="K2139">
        <v>2000000</v>
      </c>
      <c r="L2139" t="s">
        <v>16</v>
      </c>
      <c r="M2139" t="s">
        <v>7</v>
      </c>
      <c r="N2139" t="b">
        <v>0</v>
      </c>
    </row>
    <row r="2140" spans="1:14" x14ac:dyDescent="0.3">
      <c r="A2140" t="s">
        <v>182</v>
      </c>
      <c r="B2140" t="s">
        <v>16</v>
      </c>
      <c r="C2140">
        <v>7</v>
      </c>
      <c r="E2140" t="s">
        <v>153</v>
      </c>
      <c r="G2140">
        <v>4</v>
      </c>
      <c r="H2140">
        <v>4</v>
      </c>
      <c r="I2140" t="s">
        <v>61</v>
      </c>
      <c r="J2140">
        <v>300000</v>
      </c>
      <c r="K2140">
        <v>1200000</v>
      </c>
      <c r="L2140" t="s">
        <v>16</v>
      </c>
      <c r="M2140" t="s">
        <v>7</v>
      </c>
      <c r="N2140" t="b">
        <v>0</v>
      </c>
    </row>
    <row r="2141" spans="1:14" x14ac:dyDescent="0.3">
      <c r="A2141" t="s">
        <v>182</v>
      </c>
      <c r="B2141" t="s">
        <v>16</v>
      </c>
      <c r="C2141">
        <v>8</v>
      </c>
      <c r="E2141" t="s">
        <v>134</v>
      </c>
      <c r="G2141">
        <v>10</v>
      </c>
      <c r="H2141">
        <v>10</v>
      </c>
      <c r="I2141" t="s">
        <v>61</v>
      </c>
      <c r="J2141">
        <v>30000</v>
      </c>
      <c r="K2141">
        <v>300000</v>
      </c>
      <c r="L2141" t="s">
        <v>16</v>
      </c>
      <c r="M2141" t="s">
        <v>7</v>
      </c>
      <c r="N2141" t="b">
        <v>0</v>
      </c>
    </row>
    <row r="2142" spans="1:14" x14ac:dyDescent="0.3">
      <c r="A2142" t="s">
        <v>182</v>
      </c>
      <c r="B2142" t="s">
        <v>16</v>
      </c>
      <c r="C2142">
        <v>9</v>
      </c>
      <c r="E2142" t="s">
        <v>154</v>
      </c>
      <c r="G2142">
        <v>4</v>
      </c>
      <c r="H2142">
        <v>4</v>
      </c>
      <c r="I2142" t="s">
        <v>61</v>
      </c>
      <c r="J2142">
        <v>30000</v>
      </c>
      <c r="K2142">
        <v>120000</v>
      </c>
      <c r="L2142" t="s">
        <v>16</v>
      </c>
      <c r="M2142" t="s">
        <v>7</v>
      </c>
      <c r="N2142" t="b">
        <v>0</v>
      </c>
    </row>
    <row r="2143" spans="1:14" x14ac:dyDescent="0.3">
      <c r="A2143" t="s">
        <v>182</v>
      </c>
      <c r="B2143" t="s">
        <v>16</v>
      </c>
      <c r="C2143">
        <v>12</v>
      </c>
      <c r="E2143" t="s">
        <v>120</v>
      </c>
      <c r="G2143">
        <v>4</v>
      </c>
      <c r="H2143">
        <v>4</v>
      </c>
      <c r="I2143" t="s">
        <v>61</v>
      </c>
      <c r="J2143">
        <v>30000</v>
      </c>
      <c r="K2143">
        <v>120000</v>
      </c>
      <c r="L2143" t="s">
        <v>16</v>
      </c>
      <c r="M2143" t="s">
        <v>7</v>
      </c>
      <c r="N2143" t="b">
        <v>0</v>
      </c>
    </row>
    <row r="2144" spans="1:14" x14ac:dyDescent="0.3">
      <c r="A2144" t="s">
        <v>182</v>
      </c>
      <c r="B2144" t="s">
        <v>16</v>
      </c>
      <c r="C2144">
        <v>13</v>
      </c>
      <c r="E2144" t="s">
        <v>101</v>
      </c>
      <c r="H2144">
        <v>1</v>
      </c>
      <c r="I2144" t="s">
        <v>102</v>
      </c>
      <c r="J2144">
        <v>13000000</v>
      </c>
      <c r="K2144">
        <v>13000000</v>
      </c>
      <c r="L2144" t="s">
        <v>16</v>
      </c>
      <c r="M2144" t="s">
        <v>7</v>
      </c>
      <c r="N2144" t="b">
        <v>0</v>
      </c>
    </row>
    <row r="2145" spans="1:14" x14ac:dyDescent="0.3">
      <c r="A2145" t="s">
        <v>182</v>
      </c>
      <c r="B2145" t="s">
        <v>16</v>
      </c>
      <c r="C2145">
        <v>14</v>
      </c>
      <c r="E2145" t="s">
        <v>107</v>
      </c>
      <c r="H2145">
        <v>0</v>
      </c>
      <c r="I2145" t="s">
        <v>108</v>
      </c>
      <c r="K2145">
        <v>0</v>
      </c>
      <c r="L2145" t="s">
        <v>16</v>
      </c>
      <c r="M2145" t="s">
        <v>7</v>
      </c>
      <c r="N2145" t="b">
        <v>0</v>
      </c>
    </row>
    <row r="2146" spans="1:14" x14ac:dyDescent="0.3">
      <c r="A2146" t="s">
        <v>182</v>
      </c>
      <c r="B2146" t="s">
        <v>16</v>
      </c>
      <c r="E2146" t="s">
        <v>155</v>
      </c>
      <c r="F2146">
        <v>300</v>
      </c>
      <c r="G2146">
        <v>200</v>
      </c>
      <c r="H2146">
        <v>3</v>
      </c>
      <c r="I2146">
        <v>7.86</v>
      </c>
      <c r="K2146">
        <v>1.4148000000000001</v>
      </c>
      <c r="L2146" t="s">
        <v>16</v>
      </c>
      <c r="M2146" t="s">
        <v>7</v>
      </c>
      <c r="N2146" t="b">
        <v>0</v>
      </c>
    </row>
    <row r="2147" spans="1:14" x14ac:dyDescent="0.3">
      <c r="A2147" t="s">
        <v>182</v>
      </c>
      <c r="B2147" t="s">
        <v>16</v>
      </c>
      <c r="E2147" t="s">
        <v>156</v>
      </c>
      <c r="F2147">
        <v>200</v>
      </c>
      <c r="G2147">
        <v>100</v>
      </c>
      <c r="H2147">
        <v>3</v>
      </c>
      <c r="I2147">
        <v>7.86</v>
      </c>
      <c r="K2147">
        <v>0.47160000000000002</v>
      </c>
      <c r="L2147" t="s">
        <v>16</v>
      </c>
      <c r="M2147" t="s">
        <v>7</v>
      </c>
      <c r="N2147" t="b">
        <v>0</v>
      </c>
    </row>
    <row r="2148" spans="1:14" x14ac:dyDescent="0.3">
      <c r="A2148" t="s">
        <v>182</v>
      </c>
      <c r="B2148" t="s">
        <v>17</v>
      </c>
      <c r="C2148">
        <v>1</v>
      </c>
      <c r="D2148" t="s">
        <v>75</v>
      </c>
      <c r="E2148" t="s">
        <v>157</v>
      </c>
      <c r="G2148">
        <v>1</v>
      </c>
      <c r="H2148">
        <v>1.6485000000000001</v>
      </c>
      <c r="I2148" t="s">
        <v>46</v>
      </c>
      <c r="J2148">
        <v>700000</v>
      </c>
      <c r="K2148">
        <v>1153950</v>
      </c>
      <c r="L2148" t="s">
        <v>17</v>
      </c>
      <c r="M2148" t="s">
        <v>7</v>
      </c>
      <c r="N2148" t="b">
        <v>0</v>
      </c>
    </row>
    <row r="2149" spans="1:14" x14ac:dyDescent="0.3">
      <c r="A2149" t="s">
        <v>182</v>
      </c>
      <c r="B2149" t="s">
        <v>17</v>
      </c>
      <c r="C2149">
        <v>2</v>
      </c>
      <c r="D2149" t="s">
        <v>75</v>
      </c>
      <c r="E2149" t="s">
        <v>158</v>
      </c>
      <c r="G2149">
        <v>2</v>
      </c>
      <c r="I2149" t="s">
        <v>151</v>
      </c>
      <c r="J2149">
        <v>1200000</v>
      </c>
      <c r="K2149">
        <v>2400000</v>
      </c>
      <c r="L2149" t="s">
        <v>17</v>
      </c>
      <c r="M2149" t="s">
        <v>7</v>
      </c>
      <c r="N2149" t="b">
        <v>0</v>
      </c>
    </row>
    <row r="2150" spans="1:14" x14ac:dyDescent="0.3">
      <c r="A2150" t="s">
        <v>182</v>
      </c>
      <c r="B2150" t="s">
        <v>17</v>
      </c>
      <c r="C2150">
        <v>3</v>
      </c>
      <c r="E2150" t="s">
        <v>159</v>
      </c>
      <c r="G2150">
        <v>2</v>
      </c>
      <c r="I2150" t="s">
        <v>61</v>
      </c>
      <c r="J2150">
        <v>100000</v>
      </c>
      <c r="K2150">
        <v>200000</v>
      </c>
      <c r="L2150" t="s">
        <v>17</v>
      </c>
      <c r="M2150" t="s">
        <v>7</v>
      </c>
      <c r="N2150" t="b">
        <v>0</v>
      </c>
    </row>
    <row r="2151" spans="1:14" x14ac:dyDescent="0.3">
      <c r="A2151" t="s">
        <v>182</v>
      </c>
      <c r="B2151" t="s">
        <v>17</v>
      </c>
      <c r="C2151">
        <v>4</v>
      </c>
      <c r="E2151" t="s">
        <v>133</v>
      </c>
      <c r="G2151">
        <v>6</v>
      </c>
      <c r="I2151" t="s">
        <v>61</v>
      </c>
      <c r="J2151">
        <v>10000</v>
      </c>
      <c r="K2151">
        <v>60000</v>
      </c>
      <c r="L2151" t="s">
        <v>17</v>
      </c>
      <c r="M2151" t="s">
        <v>7</v>
      </c>
      <c r="N2151" t="b">
        <v>0</v>
      </c>
    </row>
    <row r="2152" spans="1:14" x14ac:dyDescent="0.3">
      <c r="A2152" t="s">
        <v>182</v>
      </c>
      <c r="B2152" t="s">
        <v>17</v>
      </c>
      <c r="C2152">
        <v>5</v>
      </c>
      <c r="E2152" t="s">
        <v>134</v>
      </c>
      <c r="G2152">
        <v>6</v>
      </c>
      <c r="I2152" t="s">
        <v>61</v>
      </c>
      <c r="J2152">
        <v>5000</v>
      </c>
      <c r="K2152">
        <v>30000</v>
      </c>
      <c r="L2152" t="s">
        <v>17</v>
      </c>
      <c r="M2152" t="s">
        <v>7</v>
      </c>
      <c r="N2152" t="b">
        <v>0</v>
      </c>
    </row>
    <row r="2153" spans="1:14" x14ac:dyDescent="0.3">
      <c r="A2153" t="s">
        <v>182</v>
      </c>
      <c r="B2153" t="s">
        <v>17</v>
      </c>
      <c r="C2153">
        <v>6</v>
      </c>
      <c r="E2153" t="s">
        <v>160</v>
      </c>
      <c r="G2153">
        <v>2</v>
      </c>
      <c r="I2153" t="s">
        <v>61</v>
      </c>
      <c r="J2153">
        <v>500000</v>
      </c>
      <c r="K2153">
        <v>1000000</v>
      </c>
      <c r="L2153" t="s">
        <v>17</v>
      </c>
      <c r="M2153" t="s">
        <v>7</v>
      </c>
      <c r="N2153" t="b">
        <v>0</v>
      </c>
    </row>
    <row r="2154" spans="1:14" x14ac:dyDescent="0.3">
      <c r="A2154" t="s">
        <v>182</v>
      </c>
      <c r="B2154" t="s">
        <v>17</v>
      </c>
      <c r="C2154">
        <v>7</v>
      </c>
      <c r="E2154" t="s">
        <v>161</v>
      </c>
      <c r="G2154">
        <v>2</v>
      </c>
      <c r="I2154" t="s">
        <v>61</v>
      </c>
      <c r="J2154">
        <v>10000</v>
      </c>
      <c r="K2154">
        <v>20000</v>
      </c>
      <c r="L2154" t="s">
        <v>17</v>
      </c>
      <c r="M2154" t="s">
        <v>7</v>
      </c>
      <c r="N2154" t="b">
        <v>0</v>
      </c>
    </row>
    <row r="2155" spans="1:14" x14ac:dyDescent="0.3">
      <c r="A2155" t="s">
        <v>182</v>
      </c>
      <c r="B2155" t="s">
        <v>17</v>
      </c>
      <c r="C2155">
        <v>8</v>
      </c>
      <c r="E2155" t="s">
        <v>142</v>
      </c>
      <c r="G2155">
        <v>2</v>
      </c>
      <c r="I2155" t="s">
        <v>61</v>
      </c>
      <c r="J2155">
        <v>5000</v>
      </c>
      <c r="K2155">
        <v>10000</v>
      </c>
      <c r="L2155" t="s">
        <v>17</v>
      </c>
      <c r="M2155" t="s">
        <v>7</v>
      </c>
      <c r="N2155" t="b">
        <v>0</v>
      </c>
    </row>
    <row r="2156" spans="1:14" x14ac:dyDescent="0.3">
      <c r="A2156" t="s">
        <v>182</v>
      </c>
      <c r="B2156" t="s">
        <v>17</v>
      </c>
      <c r="C2156">
        <v>9</v>
      </c>
      <c r="E2156" t="s">
        <v>114</v>
      </c>
      <c r="G2156">
        <v>2</v>
      </c>
      <c r="I2156" t="s">
        <v>61</v>
      </c>
      <c r="J2156">
        <v>60000</v>
      </c>
      <c r="K2156">
        <v>120000</v>
      </c>
      <c r="L2156" t="s">
        <v>17</v>
      </c>
      <c r="M2156" t="s">
        <v>7</v>
      </c>
      <c r="N2156" t="b">
        <v>0</v>
      </c>
    </row>
    <row r="2157" spans="1:14" x14ac:dyDescent="0.3">
      <c r="A2157" t="s">
        <v>182</v>
      </c>
      <c r="B2157" t="s">
        <v>17</v>
      </c>
      <c r="C2157">
        <v>10</v>
      </c>
      <c r="E2157" t="s">
        <v>101</v>
      </c>
      <c r="H2157">
        <v>3</v>
      </c>
      <c r="I2157" t="s">
        <v>102</v>
      </c>
      <c r="J2157">
        <v>13000000</v>
      </c>
      <c r="K2157">
        <v>39000000</v>
      </c>
      <c r="L2157" t="s">
        <v>17</v>
      </c>
      <c r="M2157" t="s">
        <v>7</v>
      </c>
      <c r="N2157" t="b">
        <v>0</v>
      </c>
    </row>
    <row r="2158" spans="1:14" x14ac:dyDescent="0.3">
      <c r="A2158" t="s">
        <v>182</v>
      </c>
      <c r="B2158" t="s">
        <v>17</v>
      </c>
      <c r="C2158">
        <v>11</v>
      </c>
      <c r="E2158" t="s">
        <v>107</v>
      </c>
      <c r="H2158">
        <v>0</v>
      </c>
      <c r="I2158" t="s">
        <v>108</v>
      </c>
      <c r="K2158">
        <v>0</v>
      </c>
      <c r="L2158" t="s">
        <v>17</v>
      </c>
      <c r="M2158" t="s">
        <v>7</v>
      </c>
      <c r="N2158" t="b">
        <v>0</v>
      </c>
    </row>
    <row r="2159" spans="1:14" x14ac:dyDescent="0.3">
      <c r="A2159" t="s">
        <v>182</v>
      </c>
      <c r="B2159" t="s">
        <v>18</v>
      </c>
      <c r="C2159">
        <v>1</v>
      </c>
      <c r="D2159" t="s">
        <v>144</v>
      </c>
      <c r="E2159" t="s">
        <v>145</v>
      </c>
      <c r="F2159" t="s">
        <v>162</v>
      </c>
      <c r="G2159">
        <v>1</v>
      </c>
      <c r="H2159">
        <v>0.58950000000000002</v>
      </c>
      <c r="I2159" t="s">
        <v>46</v>
      </c>
      <c r="J2159">
        <v>800000</v>
      </c>
      <c r="K2159">
        <v>471600</v>
      </c>
      <c r="L2159" t="s">
        <v>18</v>
      </c>
      <c r="M2159" t="s">
        <v>7</v>
      </c>
      <c r="N2159" t="b">
        <v>0</v>
      </c>
    </row>
    <row r="2160" spans="1:14" x14ac:dyDescent="0.3">
      <c r="A2160" t="s">
        <v>182</v>
      </c>
      <c r="B2160" t="s">
        <v>18</v>
      </c>
      <c r="C2160">
        <v>2</v>
      </c>
      <c r="D2160" t="s">
        <v>73</v>
      </c>
      <c r="E2160" t="s">
        <v>163</v>
      </c>
      <c r="F2160" t="s">
        <v>164</v>
      </c>
      <c r="G2160">
        <v>2</v>
      </c>
      <c r="H2160">
        <v>1.2631449600000002</v>
      </c>
      <c r="I2160" t="s">
        <v>46</v>
      </c>
      <c r="J2160">
        <v>1500000</v>
      </c>
      <c r="K2160">
        <v>3000000</v>
      </c>
      <c r="L2160" t="s">
        <v>18</v>
      </c>
      <c r="M2160" t="s">
        <v>7</v>
      </c>
      <c r="N2160" t="b">
        <v>0</v>
      </c>
    </row>
    <row r="2161" spans="1:14" x14ac:dyDescent="0.3">
      <c r="A2161" t="s">
        <v>182</v>
      </c>
      <c r="B2161" t="s">
        <v>18</v>
      </c>
      <c r="C2161">
        <v>7</v>
      </c>
      <c r="E2161" t="s">
        <v>66</v>
      </c>
      <c r="G2161">
        <v>2</v>
      </c>
      <c r="H2161">
        <v>2</v>
      </c>
      <c r="I2161" t="s">
        <v>61</v>
      </c>
      <c r="J2161">
        <v>50000</v>
      </c>
      <c r="K2161">
        <v>100000</v>
      </c>
      <c r="L2161" t="s">
        <v>18</v>
      </c>
      <c r="M2161" t="s">
        <v>7</v>
      </c>
      <c r="N2161" t="b">
        <v>0</v>
      </c>
    </row>
    <row r="2162" spans="1:14" x14ac:dyDescent="0.3">
      <c r="A2162" t="s">
        <v>182</v>
      </c>
      <c r="B2162" t="s">
        <v>18</v>
      </c>
      <c r="C2162">
        <v>8</v>
      </c>
      <c r="E2162" t="s">
        <v>141</v>
      </c>
      <c r="G2162">
        <v>4</v>
      </c>
      <c r="H2162">
        <v>4</v>
      </c>
      <c r="I2162" t="s">
        <v>61</v>
      </c>
      <c r="J2162">
        <v>30000</v>
      </c>
      <c r="K2162">
        <v>120000</v>
      </c>
      <c r="L2162" t="s">
        <v>18</v>
      </c>
      <c r="M2162" t="s">
        <v>7</v>
      </c>
      <c r="N2162" t="b">
        <v>0</v>
      </c>
    </row>
    <row r="2163" spans="1:14" x14ac:dyDescent="0.3">
      <c r="A2163" t="s">
        <v>182</v>
      </c>
      <c r="B2163" t="s">
        <v>18</v>
      </c>
      <c r="C2163">
        <v>9</v>
      </c>
      <c r="E2163" t="s">
        <v>165</v>
      </c>
      <c r="G2163">
        <v>1</v>
      </c>
      <c r="H2163">
        <v>1</v>
      </c>
      <c r="I2163" t="s">
        <v>61</v>
      </c>
      <c r="J2163">
        <v>30000</v>
      </c>
      <c r="K2163">
        <v>30000</v>
      </c>
      <c r="L2163" t="s">
        <v>18</v>
      </c>
      <c r="M2163" t="s">
        <v>7</v>
      </c>
      <c r="N2163" t="b">
        <v>0</v>
      </c>
    </row>
    <row r="2164" spans="1:14" x14ac:dyDescent="0.3">
      <c r="A2164" t="s">
        <v>182</v>
      </c>
      <c r="B2164" t="s">
        <v>18</v>
      </c>
      <c r="C2164">
        <v>13</v>
      </c>
      <c r="E2164" t="s">
        <v>101</v>
      </c>
      <c r="H2164">
        <v>1</v>
      </c>
      <c r="I2164" t="s">
        <v>102</v>
      </c>
      <c r="J2164">
        <v>13000000</v>
      </c>
      <c r="K2164">
        <v>13000000</v>
      </c>
      <c r="L2164" t="s">
        <v>18</v>
      </c>
      <c r="M2164" t="s">
        <v>7</v>
      </c>
      <c r="N2164" t="b">
        <v>0</v>
      </c>
    </row>
    <row r="2165" spans="1:14" x14ac:dyDescent="0.3">
      <c r="A2165" t="s">
        <v>182</v>
      </c>
      <c r="B2165" t="s">
        <v>18</v>
      </c>
      <c r="C2165">
        <v>14</v>
      </c>
      <c r="E2165" t="s">
        <v>107</v>
      </c>
      <c r="H2165">
        <v>0</v>
      </c>
      <c r="I2165" t="s">
        <v>108</v>
      </c>
      <c r="K2165">
        <v>0</v>
      </c>
      <c r="L2165" t="s">
        <v>18</v>
      </c>
      <c r="M2165" t="s">
        <v>7</v>
      </c>
      <c r="N2165" t="b">
        <v>0</v>
      </c>
    </row>
    <row r="2166" spans="1:14" x14ac:dyDescent="0.3">
      <c r="A2166" t="s">
        <v>182</v>
      </c>
      <c r="B2166" t="s">
        <v>18</v>
      </c>
      <c r="E2166" t="s">
        <v>155</v>
      </c>
      <c r="F2166">
        <v>300</v>
      </c>
      <c r="G2166">
        <v>100</v>
      </c>
      <c r="H2166">
        <v>2.5</v>
      </c>
      <c r="I2166">
        <v>7.86</v>
      </c>
      <c r="K2166">
        <v>0.58950000000000002</v>
      </c>
      <c r="L2166" t="s">
        <v>18</v>
      </c>
      <c r="M2166" t="s">
        <v>7</v>
      </c>
      <c r="N2166" t="b">
        <v>0</v>
      </c>
    </row>
    <row r="2167" spans="1:14" x14ac:dyDescent="0.3">
      <c r="A2167" t="s">
        <v>33</v>
      </c>
      <c r="B2167" t="s">
        <v>34</v>
      </c>
      <c r="C2167">
        <v>1</v>
      </c>
      <c r="D2167" t="s">
        <v>44</v>
      </c>
      <c r="E2167" t="s">
        <v>45</v>
      </c>
      <c r="F2167">
        <v>2735</v>
      </c>
      <c r="G2167">
        <v>2</v>
      </c>
      <c r="H2167">
        <v>7.6580000000000004</v>
      </c>
      <c r="I2167" t="s">
        <v>46</v>
      </c>
      <c r="J2167">
        <v>8500000</v>
      </c>
      <c r="K2167">
        <v>65092999.999999993</v>
      </c>
      <c r="L2167" t="s">
        <v>34</v>
      </c>
      <c r="M2167" t="s">
        <v>7</v>
      </c>
      <c r="N2167" t="b">
        <v>0</v>
      </c>
    </row>
    <row r="2168" spans="1:14" x14ac:dyDescent="0.3">
      <c r="A2168" t="s">
        <v>33</v>
      </c>
      <c r="B2168" t="s">
        <v>34</v>
      </c>
      <c r="C2168">
        <v>2</v>
      </c>
      <c r="E2168" t="s">
        <v>47</v>
      </c>
      <c r="F2168">
        <v>2735</v>
      </c>
      <c r="G2168">
        <v>0</v>
      </c>
      <c r="H2168">
        <v>0</v>
      </c>
      <c r="I2168" t="s">
        <v>46</v>
      </c>
      <c r="J2168">
        <v>8500000</v>
      </c>
      <c r="K2168">
        <v>0</v>
      </c>
      <c r="L2168" t="s">
        <v>34</v>
      </c>
      <c r="M2168" t="s">
        <v>7</v>
      </c>
      <c r="N2168" t="b">
        <v>0</v>
      </c>
    </row>
    <row r="2169" spans="1:14" x14ac:dyDescent="0.3">
      <c r="A2169" t="s">
        <v>33</v>
      </c>
      <c r="B2169" t="s">
        <v>34</v>
      </c>
      <c r="C2169">
        <v>3</v>
      </c>
      <c r="E2169" t="s">
        <v>48</v>
      </c>
      <c r="F2169">
        <v>2703</v>
      </c>
      <c r="G2169">
        <v>2</v>
      </c>
      <c r="H2169">
        <v>9.1902000000000008</v>
      </c>
      <c r="I2169" t="s">
        <v>46</v>
      </c>
      <c r="J2169">
        <v>8500000</v>
      </c>
      <c r="K2169">
        <v>78116699.999999985</v>
      </c>
      <c r="L2169" t="s">
        <v>34</v>
      </c>
      <c r="M2169" t="s">
        <v>7</v>
      </c>
      <c r="N2169" t="b">
        <v>0</v>
      </c>
    </row>
    <row r="2170" spans="1:14" x14ac:dyDescent="0.3">
      <c r="A2170" t="s">
        <v>33</v>
      </c>
      <c r="B2170" t="s">
        <v>34</v>
      </c>
      <c r="C2170">
        <v>4</v>
      </c>
      <c r="E2170" t="s">
        <v>49</v>
      </c>
      <c r="F2170">
        <v>120</v>
      </c>
      <c r="G2170">
        <v>4</v>
      </c>
      <c r="H2170">
        <v>0.48</v>
      </c>
      <c r="I2170" t="s">
        <v>46</v>
      </c>
      <c r="J2170">
        <v>8500000</v>
      </c>
      <c r="K2170">
        <v>4080000</v>
      </c>
      <c r="L2170" t="s">
        <v>34</v>
      </c>
      <c r="M2170" t="s">
        <v>7</v>
      </c>
      <c r="N2170" t="b">
        <v>0</v>
      </c>
    </row>
    <row r="2171" spans="1:14" x14ac:dyDescent="0.3">
      <c r="A2171" t="s">
        <v>33</v>
      </c>
      <c r="B2171" t="s">
        <v>34</v>
      </c>
      <c r="C2171">
        <v>5</v>
      </c>
      <c r="E2171" t="s">
        <v>50</v>
      </c>
      <c r="F2171">
        <v>180</v>
      </c>
      <c r="G2171">
        <v>4</v>
      </c>
      <c r="H2171">
        <v>0.95061600000000013</v>
      </c>
      <c r="I2171" t="s">
        <v>46</v>
      </c>
      <c r="J2171">
        <v>8500000</v>
      </c>
      <c r="K2171">
        <v>8080236.0000000019</v>
      </c>
      <c r="L2171" t="s">
        <v>34</v>
      </c>
      <c r="M2171" t="s">
        <v>7</v>
      </c>
      <c r="N2171" t="b">
        <v>0</v>
      </c>
    </row>
    <row r="2172" spans="1:14" x14ac:dyDescent="0.3">
      <c r="A2172" t="s">
        <v>33</v>
      </c>
      <c r="B2172" t="s">
        <v>34</v>
      </c>
      <c r="C2172">
        <v>6</v>
      </c>
      <c r="E2172" t="s">
        <v>51</v>
      </c>
      <c r="F2172">
        <v>2970</v>
      </c>
      <c r="G2172">
        <v>4</v>
      </c>
      <c r="H2172">
        <v>14.434200000000002</v>
      </c>
      <c r="I2172" t="s">
        <v>46</v>
      </c>
      <c r="J2172">
        <v>8500000</v>
      </c>
      <c r="K2172">
        <v>122690700</v>
      </c>
      <c r="L2172" t="s">
        <v>34</v>
      </c>
      <c r="M2172" t="s">
        <v>7</v>
      </c>
      <c r="N2172" t="b">
        <v>0</v>
      </c>
    </row>
    <row r="2173" spans="1:14" x14ac:dyDescent="0.3">
      <c r="A2173" t="s">
        <v>33</v>
      </c>
      <c r="B2173" t="s">
        <v>34</v>
      </c>
      <c r="C2173">
        <v>7</v>
      </c>
      <c r="D2173" t="s">
        <v>52</v>
      </c>
      <c r="E2173" t="s">
        <v>53</v>
      </c>
      <c r="F2173">
        <v>0.13</v>
      </c>
      <c r="G2173">
        <v>2.1621600000000005</v>
      </c>
      <c r="H2173">
        <v>2.1621600000000005</v>
      </c>
      <c r="I2173" t="s">
        <v>54</v>
      </c>
      <c r="J2173">
        <v>4275000</v>
      </c>
      <c r="K2173">
        <v>9243234.0000000019</v>
      </c>
      <c r="L2173" t="s">
        <v>34</v>
      </c>
      <c r="M2173" t="s">
        <v>7</v>
      </c>
      <c r="N2173" t="b">
        <v>0</v>
      </c>
    </row>
    <row r="2174" spans="1:14" x14ac:dyDescent="0.3">
      <c r="A2174" t="s">
        <v>33</v>
      </c>
      <c r="B2174" t="s">
        <v>34</v>
      </c>
      <c r="C2174">
        <v>8</v>
      </c>
      <c r="E2174" t="s">
        <v>55</v>
      </c>
      <c r="F2174">
        <v>0.35</v>
      </c>
      <c r="G2174">
        <v>0.95135040000000004</v>
      </c>
      <c r="H2174">
        <v>0.95135040000000004</v>
      </c>
      <c r="I2174" t="s">
        <v>46</v>
      </c>
      <c r="J2174">
        <v>35750000</v>
      </c>
      <c r="K2174">
        <v>34010776.800000004</v>
      </c>
      <c r="L2174" t="s">
        <v>34</v>
      </c>
      <c r="M2174" t="s">
        <v>7</v>
      </c>
      <c r="N2174" t="b">
        <v>0</v>
      </c>
    </row>
    <row r="2175" spans="1:14" x14ac:dyDescent="0.3">
      <c r="A2175" t="s">
        <v>33</v>
      </c>
      <c r="B2175" t="s">
        <v>34</v>
      </c>
      <c r="C2175">
        <v>9</v>
      </c>
      <c r="E2175" t="s">
        <v>55</v>
      </c>
      <c r="F2175">
        <v>0.2</v>
      </c>
      <c r="G2175">
        <v>0</v>
      </c>
      <c r="H2175">
        <v>0</v>
      </c>
      <c r="I2175" t="s">
        <v>46</v>
      </c>
      <c r="J2175">
        <v>45760000</v>
      </c>
      <c r="K2175">
        <v>0</v>
      </c>
      <c r="L2175" t="s">
        <v>34</v>
      </c>
      <c r="M2175" t="s">
        <v>7</v>
      </c>
      <c r="N2175" t="b">
        <v>0</v>
      </c>
    </row>
    <row r="2176" spans="1:14" x14ac:dyDescent="0.3">
      <c r="A2176" t="s">
        <v>33</v>
      </c>
      <c r="B2176" t="s">
        <v>34</v>
      </c>
      <c r="C2176">
        <v>10</v>
      </c>
      <c r="D2176" t="s">
        <v>56</v>
      </c>
      <c r="E2176" t="s">
        <v>57</v>
      </c>
      <c r="G2176">
        <v>16.848199999999999</v>
      </c>
      <c r="H2176">
        <v>16.848199999999999</v>
      </c>
      <c r="I2176" t="s">
        <v>46</v>
      </c>
      <c r="J2176">
        <v>1430000</v>
      </c>
      <c r="K2176">
        <v>24092925.999999996</v>
      </c>
      <c r="L2176" t="s">
        <v>34</v>
      </c>
      <c r="M2176" t="s">
        <v>7</v>
      </c>
      <c r="N2176" t="b">
        <v>0</v>
      </c>
    </row>
    <row r="2177" spans="1:14" x14ac:dyDescent="0.3">
      <c r="A2177" t="s">
        <v>33</v>
      </c>
      <c r="B2177" t="s">
        <v>34</v>
      </c>
      <c r="C2177">
        <v>11</v>
      </c>
      <c r="D2177" t="s">
        <v>58</v>
      </c>
      <c r="E2177" t="s">
        <v>59</v>
      </c>
      <c r="G2177">
        <v>8</v>
      </c>
      <c r="H2177">
        <v>8</v>
      </c>
      <c r="I2177" t="s">
        <v>46</v>
      </c>
      <c r="J2177">
        <v>1600000</v>
      </c>
      <c r="K2177">
        <v>12800000</v>
      </c>
      <c r="L2177" t="s">
        <v>34</v>
      </c>
      <c r="M2177" t="s">
        <v>7</v>
      </c>
      <c r="N2177" t="b">
        <v>0</v>
      </c>
    </row>
    <row r="2178" spans="1:14" x14ac:dyDescent="0.3">
      <c r="A2178" t="s">
        <v>33</v>
      </c>
      <c r="B2178" t="s">
        <v>34</v>
      </c>
      <c r="C2178">
        <v>12</v>
      </c>
      <c r="E2178" t="s">
        <v>60</v>
      </c>
      <c r="G2178">
        <v>14.434200000000002</v>
      </c>
      <c r="H2178">
        <v>14.434200000000002</v>
      </c>
      <c r="I2178" t="s">
        <v>61</v>
      </c>
      <c r="J2178">
        <v>3600000</v>
      </c>
      <c r="K2178">
        <v>51963120.000000007</v>
      </c>
      <c r="L2178" t="s">
        <v>34</v>
      </c>
      <c r="M2178" t="s">
        <v>7</v>
      </c>
      <c r="N2178" t="b">
        <v>0</v>
      </c>
    </row>
    <row r="2179" spans="1:14" x14ac:dyDescent="0.3">
      <c r="A2179" t="s">
        <v>33</v>
      </c>
      <c r="B2179" t="s">
        <v>34</v>
      </c>
      <c r="C2179">
        <v>13</v>
      </c>
      <c r="D2179" t="s">
        <v>62</v>
      </c>
      <c r="E2179" t="s">
        <v>63</v>
      </c>
      <c r="G2179">
        <v>11.88</v>
      </c>
      <c r="H2179">
        <v>11.88</v>
      </c>
      <c r="I2179" t="s">
        <v>61</v>
      </c>
      <c r="J2179">
        <v>3600000</v>
      </c>
      <c r="K2179">
        <v>42768000</v>
      </c>
      <c r="L2179" t="s">
        <v>34</v>
      </c>
      <c r="M2179" t="s">
        <v>7</v>
      </c>
      <c r="N2179" t="b">
        <v>0</v>
      </c>
    </row>
    <row r="2180" spans="1:14" x14ac:dyDescent="0.3">
      <c r="A2180" t="s">
        <v>33</v>
      </c>
      <c r="B2180" t="s">
        <v>34</v>
      </c>
      <c r="C2180">
        <v>14</v>
      </c>
      <c r="E2180" t="s">
        <v>64</v>
      </c>
      <c r="G2180">
        <v>0.1</v>
      </c>
      <c r="H2180">
        <v>0.1</v>
      </c>
      <c r="I2180" t="s">
        <v>61</v>
      </c>
      <c r="J2180">
        <v>5500000</v>
      </c>
      <c r="K2180">
        <v>550000</v>
      </c>
      <c r="L2180" t="s">
        <v>34</v>
      </c>
      <c r="M2180" t="s">
        <v>7</v>
      </c>
      <c r="N2180" t="b">
        <v>0</v>
      </c>
    </row>
    <row r="2181" spans="1:14" x14ac:dyDescent="0.3">
      <c r="A2181" t="s">
        <v>33</v>
      </c>
      <c r="B2181" t="s">
        <v>34</v>
      </c>
      <c r="C2181">
        <v>15</v>
      </c>
      <c r="D2181" t="s">
        <v>65</v>
      </c>
      <c r="E2181" t="s">
        <v>66</v>
      </c>
      <c r="G2181" t="s">
        <v>67</v>
      </c>
      <c r="H2181" t="s">
        <v>67</v>
      </c>
      <c r="I2181" t="s">
        <v>61</v>
      </c>
      <c r="J2181">
        <v>200000</v>
      </c>
      <c r="K2181">
        <v>16000000</v>
      </c>
      <c r="L2181" t="s">
        <v>34</v>
      </c>
      <c r="M2181" t="s">
        <v>7</v>
      </c>
      <c r="N2181" t="b">
        <v>0</v>
      </c>
    </row>
    <row r="2182" spans="1:14" x14ac:dyDescent="0.3">
      <c r="A2182" t="s">
        <v>33</v>
      </c>
      <c r="B2182" t="s">
        <v>34</v>
      </c>
      <c r="C2182">
        <v>16</v>
      </c>
      <c r="E2182" t="s">
        <v>68</v>
      </c>
      <c r="G2182">
        <v>8</v>
      </c>
      <c r="H2182">
        <v>8</v>
      </c>
      <c r="I2182" t="s">
        <v>61</v>
      </c>
      <c r="J2182">
        <v>200000</v>
      </c>
      <c r="K2182">
        <v>1600000</v>
      </c>
      <c r="L2182" t="s">
        <v>34</v>
      </c>
      <c r="M2182" t="s">
        <v>7</v>
      </c>
      <c r="N2182" t="b">
        <v>0</v>
      </c>
    </row>
    <row r="2183" spans="1:14" x14ac:dyDescent="0.3">
      <c r="A2183" t="s">
        <v>33</v>
      </c>
      <c r="B2183" t="s">
        <v>34</v>
      </c>
      <c r="C2183">
        <v>17</v>
      </c>
      <c r="E2183" t="s">
        <v>69</v>
      </c>
      <c r="G2183">
        <v>88</v>
      </c>
      <c r="H2183">
        <v>88</v>
      </c>
      <c r="I2183" t="s">
        <v>61</v>
      </c>
      <c r="J2183">
        <v>200000</v>
      </c>
      <c r="K2183">
        <v>17600000</v>
      </c>
      <c r="L2183" t="s">
        <v>34</v>
      </c>
      <c r="M2183" t="s">
        <v>7</v>
      </c>
      <c r="N2183" t="b">
        <v>0</v>
      </c>
    </row>
    <row r="2184" spans="1:14" x14ac:dyDescent="0.3">
      <c r="A2184" t="s">
        <v>33</v>
      </c>
      <c r="B2184" t="s">
        <v>34</v>
      </c>
      <c r="C2184">
        <v>18</v>
      </c>
      <c r="E2184" t="s">
        <v>70</v>
      </c>
      <c r="G2184">
        <v>16</v>
      </c>
      <c r="H2184">
        <v>16</v>
      </c>
      <c r="I2184" t="s">
        <v>61</v>
      </c>
      <c r="J2184">
        <v>400000</v>
      </c>
      <c r="K2184">
        <v>6400000</v>
      </c>
      <c r="L2184" t="s">
        <v>34</v>
      </c>
      <c r="M2184" t="s">
        <v>7</v>
      </c>
      <c r="N2184" t="b">
        <v>0</v>
      </c>
    </row>
    <row r="2185" spans="1:14" x14ac:dyDescent="0.3">
      <c r="A2185" t="s">
        <v>33</v>
      </c>
      <c r="B2185" t="s">
        <v>34</v>
      </c>
      <c r="C2185">
        <v>19</v>
      </c>
      <c r="E2185" t="s">
        <v>71</v>
      </c>
      <c r="G2185">
        <v>16</v>
      </c>
      <c r="H2185">
        <v>16</v>
      </c>
      <c r="I2185" t="s">
        <v>61</v>
      </c>
      <c r="J2185">
        <v>120000</v>
      </c>
      <c r="K2185">
        <v>1920000</v>
      </c>
      <c r="L2185" t="s">
        <v>34</v>
      </c>
      <c r="M2185" t="s">
        <v>7</v>
      </c>
      <c r="N2185" t="b">
        <v>0</v>
      </c>
    </row>
    <row r="2186" spans="1:14" x14ac:dyDescent="0.3">
      <c r="A2186" t="s">
        <v>33</v>
      </c>
      <c r="B2186" t="s">
        <v>34</v>
      </c>
      <c r="C2186">
        <v>20</v>
      </c>
      <c r="E2186" t="s">
        <v>72</v>
      </c>
      <c r="G2186">
        <v>24</v>
      </c>
      <c r="H2186">
        <v>24</v>
      </c>
      <c r="I2186" t="s">
        <v>61</v>
      </c>
      <c r="J2186">
        <v>400000</v>
      </c>
      <c r="K2186">
        <v>9600000</v>
      </c>
      <c r="L2186" t="s">
        <v>34</v>
      </c>
      <c r="M2186" t="s">
        <v>7</v>
      </c>
      <c r="N2186" t="b">
        <v>0</v>
      </c>
    </row>
    <row r="2187" spans="1:14" x14ac:dyDescent="0.3">
      <c r="A2187" t="s">
        <v>33</v>
      </c>
      <c r="B2187" t="s">
        <v>34</v>
      </c>
      <c r="C2187">
        <v>21</v>
      </c>
      <c r="D2187" t="s">
        <v>73</v>
      </c>
      <c r="E2187" t="s">
        <v>74</v>
      </c>
      <c r="F2187">
        <v>132</v>
      </c>
      <c r="G2187">
        <v>8</v>
      </c>
      <c r="H2187">
        <v>2.1288960000000001</v>
      </c>
      <c r="I2187" t="s">
        <v>46</v>
      </c>
      <c r="J2187">
        <v>35000000</v>
      </c>
      <c r="K2187">
        <v>74511360</v>
      </c>
      <c r="L2187" t="s">
        <v>34</v>
      </c>
      <c r="M2187" t="s">
        <v>7</v>
      </c>
      <c r="N2187" t="b">
        <v>0</v>
      </c>
    </row>
    <row r="2188" spans="1:14" x14ac:dyDescent="0.3">
      <c r="A2188" t="s">
        <v>33</v>
      </c>
      <c r="B2188" t="s">
        <v>34</v>
      </c>
      <c r="C2188">
        <v>22</v>
      </c>
      <c r="D2188" t="s">
        <v>75</v>
      </c>
      <c r="E2188" t="s">
        <v>76</v>
      </c>
      <c r="F2188" t="s">
        <v>77</v>
      </c>
      <c r="G2188">
        <v>2</v>
      </c>
      <c r="H2188">
        <v>1</v>
      </c>
      <c r="I2188" t="s">
        <v>46</v>
      </c>
      <c r="J2188">
        <v>5200000</v>
      </c>
      <c r="K2188">
        <v>5200000</v>
      </c>
      <c r="L2188" t="s">
        <v>34</v>
      </c>
      <c r="M2188" t="s">
        <v>7</v>
      </c>
      <c r="N2188" t="b">
        <v>0</v>
      </c>
    </row>
    <row r="2189" spans="1:14" x14ac:dyDescent="0.3">
      <c r="A2189" t="s">
        <v>33</v>
      </c>
      <c r="B2189" t="s">
        <v>34</v>
      </c>
      <c r="C2189">
        <v>23</v>
      </c>
      <c r="E2189" t="s">
        <v>78</v>
      </c>
      <c r="F2189" t="s">
        <v>79</v>
      </c>
      <c r="G2189">
        <v>2</v>
      </c>
      <c r="H2189">
        <v>1.2</v>
      </c>
      <c r="I2189" t="s">
        <v>46</v>
      </c>
      <c r="J2189">
        <v>5200000</v>
      </c>
      <c r="K2189">
        <v>6240000</v>
      </c>
      <c r="L2189" t="s">
        <v>34</v>
      </c>
      <c r="M2189" t="s">
        <v>7</v>
      </c>
      <c r="N2189" t="b">
        <v>0</v>
      </c>
    </row>
    <row r="2190" spans="1:14" x14ac:dyDescent="0.3">
      <c r="A2190" t="s">
        <v>33</v>
      </c>
      <c r="B2190" t="s">
        <v>34</v>
      </c>
      <c r="C2190">
        <v>24</v>
      </c>
      <c r="D2190" t="s">
        <v>80</v>
      </c>
      <c r="E2190" t="s">
        <v>81</v>
      </c>
      <c r="F2190" t="s">
        <v>82</v>
      </c>
      <c r="G2190">
        <v>2</v>
      </c>
      <c r="H2190">
        <v>0.57587900000000003</v>
      </c>
      <c r="I2190" t="s">
        <v>46</v>
      </c>
      <c r="J2190">
        <v>8500000</v>
      </c>
      <c r="K2190">
        <v>4894971.5</v>
      </c>
      <c r="L2190" t="s">
        <v>34</v>
      </c>
      <c r="M2190" t="s">
        <v>7</v>
      </c>
      <c r="N2190" t="b">
        <v>0</v>
      </c>
    </row>
    <row r="2191" spans="1:14" x14ac:dyDescent="0.3">
      <c r="A2191" t="s">
        <v>33</v>
      </c>
      <c r="B2191" t="s">
        <v>34</v>
      </c>
      <c r="C2191">
        <v>25</v>
      </c>
      <c r="D2191" t="s">
        <v>83</v>
      </c>
      <c r="E2191" t="s">
        <v>84</v>
      </c>
      <c r="F2191">
        <v>0.18</v>
      </c>
      <c r="G2191" t="s">
        <v>85</v>
      </c>
      <c r="H2191" t="s">
        <v>85</v>
      </c>
      <c r="I2191" t="s">
        <v>61</v>
      </c>
      <c r="J2191">
        <v>715000</v>
      </c>
      <c r="K2191">
        <v>1430000</v>
      </c>
      <c r="L2191" t="s">
        <v>34</v>
      </c>
      <c r="M2191" t="s">
        <v>7</v>
      </c>
      <c r="N2191" t="b">
        <v>0</v>
      </c>
    </row>
    <row r="2192" spans="1:14" x14ac:dyDescent="0.3">
      <c r="A2192" t="s">
        <v>33</v>
      </c>
      <c r="B2192" t="s">
        <v>34</v>
      </c>
      <c r="C2192">
        <v>26</v>
      </c>
      <c r="E2192" t="s">
        <v>86</v>
      </c>
      <c r="F2192">
        <v>0.2</v>
      </c>
      <c r="G2192" t="s">
        <v>87</v>
      </c>
      <c r="H2192" t="s">
        <v>87</v>
      </c>
      <c r="I2192" t="s">
        <v>61</v>
      </c>
      <c r="J2192">
        <v>715000</v>
      </c>
      <c r="K2192">
        <v>2145000</v>
      </c>
      <c r="L2192" t="s">
        <v>34</v>
      </c>
      <c r="M2192" t="s">
        <v>7</v>
      </c>
      <c r="N2192" t="b">
        <v>0</v>
      </c>
    </row>
    <row r="2193" spans="1:14" x14ac:dyDescent="0.3">
      <c r="A2193" t="s">
        <v>33</v>
      </c>
      <c r="B2193" t="s">
        <v>34</v>
      </c>
      <c r="C2193">
        <v>27</v>
      </c>
      <c r="D2193" t="s">
        <v>88</v>
      </c>
      <c r="E2193" t="s">
        <v>89</v>
      </c>
      <c r="F2193" t="s">
        <v>90</v>
      </c>
      <c r="G2193">
        <v>1</v>
      </c>
      <c r="H2193">
        <v>1</v>
      </c>
      <c r="I2193" t="s">
        <v>61</v>
      </c>
      <c r="J2193">
        <v>100000</v>
      </c>
      <c r="K2193">
        <v>100000</v>
      </c>
      <c r="L2193" t="s">
        <v>34</v>
      </c>
      <c r="M2193" t="s">
        <v>7</v>
      </c>
      <c r="N2193" t="b">
        <v>0</v>
      </c>
    </row>
    <row r="2194" spans="1:14" x14ac:dyDescent="0.3">
      <c r="A2194" t="s">
        <v>33</v>
      </c>
      <c r="B2194" t="s">
        <v>34</v>
      </c>
      <c r="C2194">
        <v>28</v>
      </c>
      <c r="D2194" t="s">
        <v>65</v>
      </c>
      <c r="E2194" t="s">
        <v>91</v>
      </c>
      <c r="G2194">
        <v>2</v>
      </c>
      <c r="H2194">
        <v>2</v>
      </c>
      <c r="I2194" t="s">
        <v>61</v>
      </c>
      <c r="J2194">
        <v>2400000</v>
      </c>
      <c r="K2194">
        <v>4800000</v>
      </c>
      <c r="L2194" t="s">
        <v>34</v>
      </c>
      <c r="M2194" t="s">
        <v>7</v>
      </c>
      <c r="N2194" t="b">
        <v>0</v>
      </c>
    </row>
    <row r="2195" spans="1:14" x14ac:dyDescent="0.3">
      <c r="A2195" t="s">
        <v>33</v>
      </c>
      <c r="B2195" t="s">
        <v>34</v>
      </c>
      <c r="C2195">
        <v>29</v>
      </c>
      <c r="E2195" t="s">
        <v>92</v>
      </c>
      <c r="G2195">
        <v>2</v>
      </c>
      <c r="H2195">
        <v>2</v>
      </c>
      <c r="I2195" t="s">
        <v>61</v>
      </c>
      <c r="J2195">
        <v>2400000</v>
      </c>
      <c r="K2195">
        <v>4800000</v>
      </c>
      <c r="L2195" t="s">
        <v>34</v>
      </c>
      <c r="M2195" t="s">
        <v>7</v>
      </c>
      <c r="N2195" t="b">
        <v>0</v>
      </c>
    </row>
    <row r="2196" spans="1:14" x14ac:dyDescent="0.3">
      <c r="A2196" t="s">
        <v>33</v>
      </c>
      <c r="B2196" t="s">
        <v>34</v>
      </c>
      <c r="C2196">
        <v>30</v>
      </c>
      <c r="E2196" t="s">
        <v>93</v>
      </c>
      <c r="G2196">
        <v>2</v>
      </c>
      <c r="H2196">
        <v>2</v>
      </c>
      <c r="I2196" t="s">
        <v>61</v>
      </c>
      <c r="J2196">
        <v>3000000</v>
      </c>
      <c r="K2196">
        <v>6000000</v>
      </c>
      <c r="L2196" t="s">
        <v>34</v>
      </c>
      <c r="M2196" t="s">
        <v>7</v>
      </c>
      <c r="N2196" t="b">
        <v>0</v>
      </c>
    </row>
    <row r="2197" spans="1:14" x14ac:dyDescent="0.3">
      <c r="A2197" t="s">
        <v>33</v>
      </c>
      <c r="B2197" t="s">
        <v>34</v>
      </c>
      <c r="C2197">
        <v>31</v>
      </c>
      <c r="D2197" t="s">
        <v>94</v>
      </c>
      <c r="E2197" t="s">
        <v>95</v>
      </c>
      <c r="G2197">
        <v>2</v>
      </c>
      <c r="H2197">
        <v>2</v>
      </c>
      <c r="I2197" t="s">
        <v>61</v>
      </c>
      <c r="J2197">
        <v>1300000</v>
      </c>
      <c r="K2197">
        <v>2600000</v>
      </c>
      <c r="L2197" t="s">
        <v>34</v>
      </c>
      <c r="M2197" t="s">
        <v>7</v>
      </c>
      <c r="N2197" t="b">
        <v>0</v>
      </c>
    </row>
    <row r="2198" spans="1:14" x14ac:dyDescent="0.3">
      <c r="A2198" t="s">
        <v>33</v>
      </c>
      <c r="B2198" t="s">
        <v>34</v>
      </c>
      <c r="C2198">
        <v>32</v>
      </c>
      <c r="D2198" t="s">
        <v>94</v>
      </c>
      <c r="E2198" t="s">
        <v>96</v>
      </c>
      <c r="G2198">
        <v>4</v>
      </c>
      <c r="H2198">
        <v>10.811999999999999</v>
      </c>
      <c r="I2198" t="s">
        <v>97</v>
      </c>
      <c r="J2198">
        <v>460000</v>
      </c>
      <c r="K2198">
        <v>4973520</v>
      </c>
      <c r="L2198" t="s">
        <v>34</v>
      </c>
      <c r="M2198" t="s">
        <v>7</v>
      </c>
      <c r="N2198" t="b">
        <v>0</v>
      </c>
    </row>
    <row r="2199" spans="1:14" x14ac:dyDescent="0.3">
      <c r="A2199" t="s">
        <v>33</v>
      </c>
      <c r="B2199" t="s">
        <v>34</v>
      </c>
      <c r="C2199">
        <v>33</v>
      </c>
      <c r="D2199" t="s">
        <v>98</v>
      </c>
      <c r="E2199" t="s">
        <v>99</v>
      </c>
      <c r="F2199">
        <v>50</v>
      </c>
      <c r="G2199">
        <v>8</v>
      </c>
      <c r="H2199">
        <v>0.8</v>
      </c>
      <c r="I2199" t="s">
        <v>100</v>
      </c>
      <c r="J2199">
        <v>4840000</v>
      </c>
      <c r="K2199">
        <v>3872000</v>
      </c>
      <c r="L2199" t="s">
        <v>34</v>
      </c>
      <c r="M2199" t="s">
        <v>7</v>
      </c>
      <c r="N2199" t="b">
        <v>0</v>
      </c>
    </row>
    <row r="2200" spans="1:14" x14ac:dyDescent="0.3">
      <c r="A2200" t="s">
        <v>33</v>
      </c>
      <c r="B2200" t="s">
        <v>34</v>
      </c>
      <c r="C2200">
        <v>28</v>
      </c>
      <c r="E2200" t="s">
        <v>101</v>
      </c>
      <c r="H2200">
        <v>6</v>
      </c>
      <c r="I2200" t="s">
        <v>102</v>
      </c>
      <c r="J2200">
        <v>13000000</v>
      </c>
      <c r="K2200">
        <v>78000000</v>
      </c>
      <c r="L2200" t="s">
        <v>34</v>
      </c>
      <c r="M2200" t="s">
        <v>7</v>
      </c>
      <c r="N2200" t="b">
        <v>0</v>
      </c>
    </row>
    <row r="2201" spans="1:14" x14ac:dyDescent="0.3">
      <c r="A2201" t="s">
        <v>33</v>
      </c>
      <c r="B2201" t="s">
        <v>8</v>
      </c>
      <c r="C2201">
        <v>1</v>
      </c>
      <c r="D2201" t="s">
        <v>44</v>
      </c>
      <c r="E2201" t="s">
        <v>45</v>
      </c>
      <c r="F2201">
        <v>0.76800000000000002</v>
      </c>
      <c r="G2201">
        <v>2</v>
      </c>
      <c r="H2201">
        <v>2.1503999999999999</v>
      </c>
      <c r="I2201" t="s">
        <v>46</v>
      </c>
      <c r="J2201">
        <v>8500000</v>
      </c>
      <c r="K2201">
        <v>18278400</v>
      </c>
      <c r="L2201" t="s">
        <v>8</v>
      </c>
      <c r="M2201" t="s">
        <v>7</v>
      </c>
      <c r="N2201" t="b">
        <v>0</v>
      </c>
    </row>
    <row r="2202" spans="1:14" x14ac:dyDescent="0.3">
      <c r="A2202" t="s">
        <v>33</v>
      </c>
      <c r="B2202" t="s">
        <v>8</v>
      </c>
      <c r="C2202">
        <v>2</v>
      </c>
      <c r="E2202" t="s">
        <v>47</v>
      </c>
      <c r="F2202">
        <v>0</v>
      </c>
      <c r="G2202">
        <v>0</v>
      </c>
      <c r="H2202">
        <v>0</v>
      </c>
      <c r="I2202" t="s">
        <v>46</v>
      </c>
      <c r="J2202">
        <v>8500000</v>
      </c>
      <c r="K2202">
        <v>0</v>
      </c>
      <c r="L2202" t="s">
        <v>8</v>
      </c>
      <c r="M2202" t="s">
        <v>7</v>
      </c>
      <c r="N2202" t="b">
        <v>0</v>
      </c>
    </row>
    <row r="2203" spans="1:14" x14ac:dyDescent="0.3">
      <c r="A2203" t="s">
        <v>33</v>
      </c>
      <c r="B2203" t="s">
        <v>8</v>
      </c>
      <c r="C2203">
        <v>3</v>
      </c>
      <c r="E2203" t="s">
        <v>48</v>
      </c>
      <c r="F2203">
        <v>0.70299999999999996</v>
      </c>
      <c r="G2203">
        <v>2</v>
      </c>
      <c r="H2203">
        <v>2.3901999999999997</v>
      </c>
      <c r="I2203" t="s">
        <v>46</v>
      </c>
      <c r="J2203">
        <v>8500000</v>
      </c>
      <c r="K2203">
        <v>20316699.999999996</v>
      </c>
      <c r="L2203" t="s">
        <v>8</v>
      </c>
      <c r="M2203" t="s">
        <v>7</v>
      </c>
      <c r="N2203" t="b">
        <v>0</v>
      </c>
    </row>
    <row r="2204" spans="1:14" x14ac:dyDescent="0.3">
      <c r="A2204" t="s">
        <v>33</v>
      </c>
      <c r="B2204" t="s">
        <v>8</v>
      </c>
      <c r="C2204">
        <v>4</v>
      </c>
      <c r="E2204" t="s">
        <v>49</v>
      </c>
      <c r="F2204">
        <v>120</v>
      </c>
      <c r="G2204">
        <v>4</v>
      </c>
      <c r="H2204">
        <v>0.48</v>
      </c>
      <c r="I2204" t="s">
        <v>46</v>
      </c>
      <c r="J2204">
        <v>8500000</v>
      </c>
      <c r="K2204">
        <v>4080000</v>
      </c>
      <c r="L2204" t="s">
        <v>8</v>
      </c>
      <c r="M2204" t="s">
        <v>7</v>
      </c>
      <c r="N2204" t="b">
        <v>0</v>
      </c>
    </row>
    <row r="2205" spans="1:14" x14ac:dyDescent="0.3">
      <c r="A2205" t="s">
        <v>33</v>
      </c>
      <c r="B2205" t="s">
        <v>8</v>
      </c>
      <c r="C2205">
        <v>5</v>
      </c>
      <c r="E2205" t="s">
        <v>50</v>
      </c>
      <c r="F2205">
        <v>180</v>
      </c>
      <c r="G2205">
        <v>4</v>
      </c>
      <c r="H2205">
        <v>0.95061600000000013</v>
      </c>
      <c r="I2205" t="s">
        <v>46</v>
      </c>
      <c r="J2205">
        <v>8500000</v>
      </c>
      <c r="K2205">
        <v>8080236.0000000019</v>
      </c>
      <c r="L2205" t="s">
        <v>8</v>
      </c>
      <c r="M2205" t="s">
        <v>7</v>
      </c>
      <c r="N2205" t="b">
        <v>0</v>
      </c>
    </row>
    <row r="2206" spans="1:14" x14ac:dyDescent="0.3">
      <c r="A2206" t="s">
        <v>33</v>
      </c>
      <c r="B2206" t="s">
        <v>8</v>
      </c>
      <c r="C2206">
        <v>6</v>
      </c>
      <c r="E2206" t="s">
        <v>51</v>
      </c>
      <c r="F2206">
        <v>0.96299999999999997</v>
      </c>
      <c r="G2206">
        <v>4</v>
      </c>
      <c r="H2206">
        <v>4.68018</v>
      </c>
      <c r="I2206" t="s">
        <v>46</v>
      </c>
      <c r="J2206">
        <v>8500000</v>
      </c>
      <c r="K2206">
        <v>39781530</v>
      </c>
      <c r="L2206" t="s">
        <v>8</v>
      </c>
      <c r="M2206" t="s">
        <v>7</v>
      </c>
      <c r="N2206" t="b">
        <v>0</v>
      </c>
    </row>
    <row r="2207" spans="1:14" x14ac:dyDescent="0.3">
      <c r="A2207" t="s">
        <v>33</v>
      </c>
      <c r="B2207" t="s">
        <v>8</v>
      </c>
      <c r="C2207">
        <v>7</v>
      </c>
      <c r="D2207" t="s">
        <v>52</v>
      </c>
      <c r="E2207" t="s">
        <v>53</v>
      </c>
      <c r="F2207">
        <v>0.13</v>
      </c>
      <c r="G2207">
        <v>0.70106399999999991</v>
      </c>
      <c r="H2207">
        <v>0.70106399999999991</v>
      </c>
      <c r="I2207" t="s">
        <v>54</v>
      </c>
      <c r="J2207">
        <v>4275000</v>
      </c>
      <c r="K2207">
        <v>2997048.5999999996</v>
      </c>
      <c r="L2207" t="s">
        <v>8</v>
      </c>
      <c r="M2207" t="s">
        <v>7</v>
      </c>
      <c r="N2207" t="b">
        <v>0</v>
      </c>
    </row>
    <row r="2208" spans="1:14" x14ac:dyDescent="0.3">
      <c r="A2208" t="s">
        <v>33</v>
      </c>
      <c r="B2208" t="s">
        <v>8</v>
      </c>
      <c r="C2208">
        <v>8</v>
      </c>
      <c r="E2208" t="s">
        <v>55</v>
      </c>
      <c r="F2208">
        <v>0.35</v>
      </c>
      <c r="G2208">
        <v>0</v>
      </c>
      <c r="H2208">
        <v>0</v>
      </c>
      <c r="I2208" t="s">
        <v>46</v>
      </c>
      <c r="J2208">
        <v>35750000</v>
      </c>
      <c r="K2208">
        <v>0</v>
      </c>
      <c r="L2208" t="s">
        <v>8</v>
      </c>
      <c r="M2208" t="s">
        <v>7</v>
      </c>
      <c r="N2208" t="b">
        <v>0</v>
      </c>
    </row>
    <row r="2209" spans="1:14" x14ac:dyDescent="0.3">
      <c r="A2209" t="s">
        <v>33</v>
      </c>
      <c r="B2209" t="s">
        <v>8</v>
      </c>
      <c r="C2209">
        <v>9</v>
      </c>
      <c r="E2209" t="s">
        <v>55</v>
      </c>
      <c r="F2209">
        <v>0.2</v>
      </c>
      <c r="G2209">
        <v>0.35053199999999995</v>
      </c>
      <c r="H2209">
        <v>0.35053199999999995</v>
      </c>
      <c r="I2209" t="s">
        <v>46</v>
      </c>
      <c r="J2209">
        <v>45760000</v>
      </c>
      <c r="K2209">
        <v>16040344.319999998</v>
      </c>
      <c r="L2209" t="s">
        <v>8</v>
      </c>
      <c r="M2209" t="s">
        <v>7</v>
      </c>
      <c r="N2209" t="b">
        <v>0</v>
      </c>
    </row>
    <row r="2210" spans="1:14" x14ac:dyDescent="0.3">
      <c r="A2210" t="s">
        <v>33</v>
      </c>
      <c r="B2210" t="s">
        <v>8</v>
      </c>
      <c r="C2210">
        <v>10</v>
      </c>
      <c r="D2210" t="s">
        <v>56</v>
      </c>
      <c r="E2210" t="s">
        <v>57</v>
      </c>
      <c r="G2210">
        <v>4.5405999999999995</v>
      </c>
      <c r="H2210">
        <v>4.5405999999999995</v>
      </c>
      <c r="I2210" t="s">
        <v>61</v>
      </c>
      <c r="J2210">
        <v>1430000</v>
      </c>
      <c r="K2210">
        <v>6493057.9999999991</v>
      </c>
      <c r="L2210" t="s">
        <v>8</v>
      </c>
      <c r="M2210" t="s">
        <v>7</v>
      </c>
      <c r="N2210" t="b">
        <v>0</v>
      </c>
    </row>
    <row r="2211" spans="1:14" x14ac:dyDescent="0.3">
      <c r="A2211" t="s">
        <v>33</v>
      </c>
      <c r="B2211" t="s">
        <v>8</v>
      </c>
      <c r="C2211">
        <v>11</v>
      </c>
      <c r="D2211" t="s">
        <v>58</v>
      </c>
      <c r="E2211" t="s">
        <v>59</v>
      </c>
      <c r="G2211" t="s">
        <v>103</v>
      </c>
      <c r="H2211" t="s">
        <v>103</v>
      </c>
      <c r="I2211" t="s">
        <v>46</v>
      </c>
      <c r="J2211">
        <v>1600000</v>
      </c>
      <c r="K2211">
        <v>12800000</v>
      </c>
      <c r="L2211" t="s">
        <v>8</v>
      </c>
      <c r="M2211" t="s">
        <v>7</v>
      </c>
      <c r="N2211" t="b">
        <v>0</v>
      </c>
    </row>
    <row r="2212" spans="1:14" x14ac:dyDescent="0.3">
      <c r="A2212" t="s">
        <v>33</v>
      </c>
      <c r="B2212" t="s">
        <v>8</v>
      </c>
      <c r="C2212">
        <v>12</v>
      </c>
      <c r="E2212" t="s">
        <v>60</v>
      </c>
      <c r="G2212">
        <v>4.68018</v>
      </c>
      <c r="H2212">
        <v>4.68018</v>
      </c>
      <c r="I2212" t="s">
        <v>61</v>
      </c>
      <c r="J2212">
        <v>3600000</v>
      </c>
      <c r="K2212">
        <v>16848648</v>
      </c>
      <c r="L2212" t="s">
        <v>8</v>
      </c>
      <c r="M2212" t="s">
        <v>7</v>
      </c>
      <c r="N2212" t="b">
        <v>0</v>
      </c>
    </row>
    <row r="2213" spans="1:14" x14ac:dyDescent="0.3">
      <c r="A2213" t="s">
        <v>33</v>
      </c>
      <c r="B2213" t="s">
        <v>8</v>
      </c>
      <c r="C2213">
        <v>13</v>
      </c>
      <c r="D2213" t="s">
        <v>62</v>
      </c>
      <c r="E2213" t="s">
        <v>63</v>
      </c>
      <c r="G2213">
        <v>3.8519999999999999</v>
      </c>
      <c r="H2213">
        <v>3.8519999999999999</v>
      </c>
      <c r="I2213" t="s">
        <v>61</v>
      </c>
      <c r="J2213">
        <v>3600000</v>
      </c>
      <c r="K2213">
        <v>13867200</v>
      </c>
      <c r="L2213" t="s">
        <v>8</v>
      </c>
      <c r="M2213" t="s">
        <v>7</v>
      </c>
      <c r="N2213" t="b">
        <v>0</v>
      </c>
    </row>
    <row r="2214" spans="1:14" x14ac:dyDescent="0.3">
      <c r="A2214" t="s">
        <v>33</v>
      </c>
      <c r="B2214" t="s">
        <v>8</v>
      </c>
      <c r="C2214">
        <v>14</v>
      </c>
      <c r="E2214" t="s">
        <v>64</v>
      </c>
      <c r="G2214">
        <v>0.1</v>
      </c>
      <c r="H2214">
        <v>0.1</v>
      </c>
      <c r="I2214" t="s">
        <v>61</v>
      </c>
      <c r="J2214">
        <v>5500000</v>
      </c>
      <c r="K2214">
        <v>550000</v>
      </c>
      <c r="L2214" t="s">
        <v>8</v>
      </c>
      <c r="M2214" t="s">
        <v>7</v>
      </c>
      <c r="N2214" t="b">
        <v>0</v>
      </c>
    </row>
    <row r="2215" spans="1:14" x14ac:dyDescent="0.3">
      <c r="A2215" t="s">
        <v>33</v>
      </c>
      <c r="B2215" t="s">
        <v>8</v>
      </c>
      <c r="C2215">
        <v>15</v>
      </c>
      <c r="D2215" t="s">
        <v>65</v>
      </c>
      <c r="E2215" t="s">
        <v>66</v>
      </c>
      <c r="G2215">
        <v>20</v>
      </c>
      <c r="H2215">
        <v>20</v>
      </c>
      <c r="I2215" t="s">
        <v>61</v>
      </c>
      <c r="J2215">
        <v>200000</v>
      </c>
      <c r="K2215">
        <v>4000000</v>
      </c>
      <c r="L2215" t="s">
        <v>8</v>
      </c>
      <c r="M2215" t="s">
        <v>7</v>
      </c>
      <c r="N2215" t="b">
        <v>0</v>
      </c>
    </row>
    <row r="2216" spans="1:14" x14ac:dyDescent="0.3">
      <c r="A2216" t="s">
        <v>33</v>
      </c>
      <c r="B2216" t="s">
        <v>8</v>
      </c>
      <c r="C2216">
        <v>16</v>
      </c>
      <c r="E2216" t="s">
        <v>68</v>
      </c>
      <c r="G2216">
        <v>8</v>
      </c>
      <c r="H2216">
        <v>8</v>
      </c>
      <c r="I2216" t="s">
        <v>61</v>
      </c>
      <c r="J2216">
        <v>200000</v>
      </c>
      <c r="K2216">
        <v>1600000</v>
      </c>
      <c r="L2216" t="s">
        <v>8</v>
      </c>
      <c r="M2216" t="s">
        <v>7</v>
      </c>
      <c r="N2216" t="b">
        <v>0</v>
      </c>
    </row>
    <row r="2217" spans="1:14" x14ac:dyDescent="0.3">
      <c r="A2217" t="s">
        <v>33</v>
      </c>
      <c r="B2217" t="s">
        <v>8</v>
      </c>
      <c r="C2217">
        <v>17</v>
      </c>
      <c r="E2217" t="s">
        <v>69</v>
      </c>
      <c r="G2217">
        <v>28</v>
      </c>
      <c r="H2217">
        <v>28</v>
      </c>
      <c r="I2217" t="s">
        <v>61</v>
      </c>
      <c r="J2217">
        <v>200000</v>
      </c>
      <c r="K2217">
        <v>5600000</v>
      </c>
      <c r="L2217" t="s">
        <v>8</v>
      </c>
      <c r="M2217" t="s">
        <v>7</v>
      </c>
      <c r="N2217" t="b">
        <v>0</v>
      </c>
    </row>
    <row r="2218" spans="1:14" x14ac:dyDescent="0.3">
      <c r="A2218" t="s">
        <v>33</v>
      </c>
      <c r="B2218" t="s">
        <v>8</v>
      </c>
      <c r="C2218">
        <v>18</v>
      </c>
      <c r="E2218" t="s">
        <v>70</v>
      </c>
      <c r="G2218">
        <v>16</v>
      </c>
      <c r="H2218">
        <v>16</v>
      </c>
      <c r="I2218" t="s">
        <v>61</v>
      </c>
      <c r="J2218">
        <v>400000</v>
      </c>
      <c r="K2218">
        <v>6400000</v>
      </c>
      <c r="L2218" t="s">
        <v>8</v>
      </c>
      <c r="M2218" t="s">
        <v>7</v>
      </c>
      <c r="N2218" t="b">
        <v>0</v>
      </c>
    </row>
    <row r="2219" spans="1:14" x14ac:dyDescent="0.3">
      <c r="A2219" t="s">
        <v>33</v>
      </c>
      <c r="B2219" t="s">
        <v>8</v>
      </c>
      <c r="C2219">
        <v>19</v>
      </c>
      <c r="E2219" t="s">
        <v>71</v>
      </c>
      <c r="G2219">
        <v>16</v>
      </c>
      <c r="H2219">
        <v>16</v>
      </c>
      <c r="I2219" t="s">
        <v>61</v>
      </c>
      <c r="J2219">
        <v>120000</v>
      </c>
      <c r="K2219">
        <v>1920000</v>
      </c>
      <c r="L2219" t="s">
        <v>8</v>
      </c>
      <c r="M2219" t="s">
        <v>7</v>
      </c>
      <c r="N2219" t="b">
        <v>0</v>
      </c>
    </row>
    <row r="2220" spans="1:14" x14ac:dyDescent="0.3">
      <c r="A2220" t="s">
        <v>33</v>
      </c>
      <c r="B2220" t="s">
        <v>8</v>
      </c>
      <c r="C2220">
        <v>20</v>
      </c>
      <c r="E2220" t="s">
        <v>72</v>
      </c>
      <c r="G2220">
        <v>24</v>
      </c>
      <c r="H2220">
        <v>24</v>
      </c>
      <c r="I2220" t="s">
        <v>61</v>
      </c>
      <c r="J2220">
        <v>400000</v>
      </c>
      <c r="K2220">
        <v>9600000</v>
      </c>
      <c r="L2220" t="s">
        <v>8</v>
      </c>
      <c r="M2220" t="s">
        <v>7</v>
      </c>
      <c r="N2220" t="b">
        <v>0</v>
      </c>
    </row>
    <row r="2221" spans="1:14" x14ac:dyDescent="0.3">
      <c r="A2221" t="s">
        <v>33</v>
      </c>
      <c r="B2221" t="s">
        <v>8</v>
      </c>
      <c r="C2221">
        <v>21</v>
      </c>
      <c r="D2221" t="s">
        <v>73</v>
      </c>
      <c r="E2221" t="s">
        <v>74</v>
      </c>
      <c r="F2221">
        <v>132</v>
      </c>
      <c r="G2221" t="s">
        <v>103</v>
      </c>
      <c r="H2221">
        <v>2.1288960000000001</v>
      </c>
      <c r="I2221" t="s">
        <v>46</v>
      </c>
      <c r="J2221">
        <v>35000000</v>
      </c>
      <c r="K2221">
        <v>74511360</v>
      </c>
      <c r="L2221" t="s">
        <v>8</v>
      </c>
      <c r="M2221" t="s">
        <v>7</v>
      </c>
      <c r="N2221" t="b">
        <v>0</v>
      </c>
    </row>
    <row r="2222" spans="1:14" x14ac:dyDescent="0.3">
      <c r="A2222" t="s">
        <v>33</v>
      </c>
      <c r="B2222" t="s">
        <v>8</v>
      </c>
      <c r="C2222">
        <v>22</v>
      </c>
      <c r="D2222" t="s">
        <v>75</v>
      </c>
      <c r="E2222" t="s">
        <v>76</v>
      </c>
      <c r="F2222" t="s">
        <v>77</v>
      </c>
      <c r="G2222">
        <v>2</v>
      </c>
      <c r="H2222">
        <v>1</v>
      </c>
      <c r="I2222" t="s">
        <v>46</v>
      </c>
      <c r="J2222">
        <v>5200000</v>
      </c>
      <c r="K2222">
        <v>5200000</v>
      </c>
      <c r="L2222" t="s">
        <v>8</v>
      </c>
      <c r="M2222" t="s">
        <v>7</v>
      </c>
      <c r="N2222" t="b">
        <v>0</v>
      </c>
    </row>
    <row r="2223" spans="1:14" x14ac:dyDescent="0.3">
      <c r="A2223" t="s">
        <v>33</v>
      </c>
      <c r="B2223" t="s">
        <v>8</v>
      </c>
      <c r="C2223">
        <v>23</v>
      </c>
      <c r="E2223" t="s">
        <v>78</v>
      </c>
      <c r="F2223" t="s">
        <v>79</v>
      </c>
      <c r="G2223">
        <v>2</v>
      </c>
      <c r="H2223">
        <v>1.2</v>
      </c>
      <c r="I2223" t="s">
        <v>46</v>
      </c>
      <c r="J2223">
        <v>5200000</v>
      </c>
      <c r="K2223">
        <v>6240000</v>
      </c>
      <c r="L2223" t="s">
        <v>8</v>
      </c>
      <c r="M2223" t="s">
        <v>7</v>
      </c>
      <c r="N2223" t="b">
        <v>0</v>
      </c>
    </row>
    <row r="2224" spans="1:14" x14ac:dyDescent="0.3">
      <c r="A2224" t="s">
        <v>33</v>
      </c>
      <c r="B2224" t="s">
        <v>8</v>
      </c>
      <c r="C2224">
        <v>24</v>
      </c>
      <c r="D2224" t="s">
        <v>80</v>
      </c>
      <c r="E2224" t="s">
        <v>81</v>
      </c>
      <c r="F2224" t="s">
        <v>82</v>
      </c>
      <c r="G2224">
        <v>2</v>
      </c>
      <c r="H2224">
        <v>0.57587900000000003</v>
      </c>
      <c r="I2224" t="s">
        <v>46</v>
      </c>
      <c r="J2224">
        <v>8500000</v>
      </c>
      <c r="K2224">
        <v>4894971.5</v>
      </c>
      <c r="L2224" t="s">
        <v>8</v>
      </c>
      <c r="M2224" t="s">
        <v>7</v>
      </c>
      <c r="N2224" t="b">
        <v>0</v>
      </c>
    </row>
    <row r="2225" spans="1:14" x14ac:dyDescent="0.3">
      <c r="A2225" t="s">
        <v>33</v>
      </c>
      <c r="B2225" t="s">
        <v>8</v>
      </c>
      <c r="C2225">
        <v>25</v>
      </c>
      <c r="D2225" t="s">
        <v>83</v>
      </c>
      <c r="E2225" t="s">
        <v>84</v>
      </c>
      <c r="F2225">
        <v>0.18</v>
      </c>
      <c r="G2225">
        <v>2</v>
      </c>
      <c r="H2225">
        <v>2</v>
      </c>
      <c r="I2225" t="s">
        <v>61</v>
      </c>
      <c r="J2225">
        <v>715000</v>
      </c>
      <c r="K2225">
        <v>1430000</v>
      </c>
      <c r="L2225" t="s">
        <v>8</v>
      </c>
      <c r="M2225" t="s">
        <v>7</v>
      </c>
      <c r="N2225" t="b">
        <v>0</v>
      </c>
    </row>
    <row r="2226" spans="1:14" x14ac:dyDescent="0.3">
      <c r="A2226" t="s">
        <v>33</v>
      </c>
      <c r="B2226" t="s">
        <v>8</v>
      </c>
      <c r="C2226">
        <v>26</v>
      </c>
      <c r="E2226" t="s">
        <v>86</v>
      </c>
      <c r="F2226">
        <v>0.2</v>
      </c>
      <c r="G2226">
        <v>3</v>
      </c>
      <c r="H2226">
        <v>3</v>
      </c>
      <c r="I2226" t="s">
        <v>61</v>
      </c>
      <c r="J2226">
        <v>715000</v>
      </c>
      <c r="K2226">
        <v>2145000</v>
      </c>
      <c r="L2226" t="s">
        <v>8</v>
      </c>
      <c r="M2226" t="s">
        <v>7</v>
      </c>
      <c r="N2226" t="b">
        <v>0</v>
      </c>
    </row>
    <row r="2227" spans="1:14" x14ac:dyDescent="0.3">
      <c r="A2227" t="s">
        <v>33</v>
      </c>
      <c r="B2227" t="s">
        <v>8</v>
      </c>
      <c r="C2227">
        <v>27</v>
      </c>
      <c r="D2227" t="s">
        <v>88</v>
      </c>
      <c r="E2227" t="s">
        <v>89</v>
      </c>
      <c r="F2227" t="s">
        <v>90</v>
      </c>
      <c r="G2227">
        <v>1</v>
      </c>
      <c r="H2227">
        <v>1</v>
      </c>
      <c r="I2227" t="s">
        <v>61</v>
      </c>
      <c r="J2227">
        <v>100000</v>
      </c>
      <c r="K2227">
        <v>100000</v>
      </c>
      <c r="L2227" t="s">
        <v>8</v>
      </c>
      <c r="M2227" t="s">
        <v>7</v>
      </c>
      <c r="N2227" t="b">
        <v>0</v>
      </c>
    </row>
    <row r="2228" spans="1:14" x14ac:dyDescent="0.3">
      <c r="A2228" t="s">
        <v>33</v>
      </c>
      <c r="B2228" t="s">
        <v>8</v>
      </c>
      <c r="C2228">
        <v>28</v>
      </c>
      <c r="D2228" t="s">
        <v>65</v>
      </c>
      <c r="E2228" t="s">
        <v>91</v>
      </c>
      <c r="G2228">
        <v>2</v>
      </c>
      <c r="H2228">
        <v>2</v>
      </c>
      <c r="I2228" t="s">
        <v>61</v>
      </c>
      <c r="J2228">
        <v>2400000</v>
      </c>
      <c r="K2228">
        <v>4800000</v>
      </c>
      <c r="L2228" t="s">
        <v>8</v>
      </c>
      <c r="M2228" t="s">
        <v>7</v>
      </c>
      <c r="N2228" t="b">
        <v>0</v>
      </c>
    </row>
    <row r="2229" spans="1:14" x14ac:dyDescent="0.3">
      <c r="A2229" t="s">
        <v>33</v>
      </c>
      <c r="B2229" t="s">
        <v>8</v>
      </c>
      <c r="C2229">
        <v>29</v>
      </c>
      <c r="E2229" t="s">
        <v>92</v>
      </c>
      <c r="G2229">
        <v>2</v>
      </c>
      <c r="H2229">
        <v>2</v>
      </c>
      <c r="I2229" t="s">
        <v>61</v>
      </c>
      <c r="J2229">
        <v>2400000</v>
      </c>
      <c r="K2229">
        <v>4800000</v>
      </c>
      <c r="L2229" t="s">
        <v>8</v>
      </c>
      <c r="M2229" t="s">
        <v>7</v>
      </c>
      <c r="N2229" t="b">
        <v>0</v>
      </c>
    </row>
    <row r="2230" spans="1:14" x14ac:dyDescent="0.3">
      <c r="A2230" t="s">
        <v>33</v>
      </c>
      <c r="B2230" t="s">
        <v>8</v>
      </c>
      <c r="C2230">
        <v>30</v>
      </c>
      <c r="E2230" t="s">
        <v>93</v>
      </c>
      <c r="G2230">
        <v>2</v>
      </c>
      <c r="H2230">
        <v>2</v>
      </c>
      <c r="I2230" t="s">
        <v>61</v>
      </c>
      <c r="J2230">
        <v>3000000</v>
      </c>
      <c r="K2230">
        <v>6000000</v>
      </c>
      <c r="L2230" t="s">
        <v>8</v>
      </c>
      <c r="M2230" t="s">
        <v>7</v>
      </c>
      <c r="N2230" t="b">
        <v>0</v>
      </c>
    </row>
    <row r="2231" spans="1:14" x14ac:dyDescent="0.3">
      <c r="A2231" t="s">
        <v>33</v>
      </c>
      <c r="B2231" t="s">
        <v>8</v>
      </c>
      <c r="C2231">
        <v>31</v>
      </c>
      <c r="D2231" t="s">
        <v>104</v>
      </c>
      <c r="E2231" t="s">
        <v>105</v>
      </c>
      <c r="G2231">
        <v>1</v>
      </c>
      <c r="H2231">
        <v>2</v>
      </c>
      <c r="I2231" t="s">
        <v>61</v>
      </c>
      <c r="J2231">
        <v>30000000</v>
      </c>
      <c r="K2231">
        <v>60000000</v>
      </c>
      <c r="L2231" t="s">
        <v>8</v>
      </c>
      <c r="M2231" t="s">
        <v>7</v>
      </c>
      <c r="N2231" t="b">
        <v>0</v>
      </c>
    </row>
    <row r="2232" spans="1:14" x14ac:dyDescent="0.3">
      <c r="A2232" t="s">
        <v>33</v>
      </c>
      <c r="B2232" t="s">
        <v>8</v>
      </c>
      <c r="C2232">
        <v>32</v>
      </c>
      <c r="E2232" t="s">
        <v>106</v>
      </c>
      <c r="G2232">
        <v>1</v>
      </c>
      <c r="H2232">
        <v>4</v>
      </c>
      <c r="J2232">
        <v>14000000</v>
      </c>
      <c r="K2232">
        <v>56000000</v>
      </c>
      <c r="L2232" t="s">
        <v>8</v>
      </c>
      <c r="M2232" t="s">
        <v>7</v>
      </c>
      <c r="N2232" t="b">
        <v>0</v>
      </c>
    </row>
    <row r="2233" spans="1:14" x14ac:dyDescent="0.3">
      <c r="A2233" t="s">
        <v>33</v>
      </c>
      <c r="B2233" t="s">
        <v>8</v>
      </c>
      <c r="C2233">
        <v>33</v>
      </c>
      <c r="D2233" t="s">
        <v>94</v>
      </c>
      <c r="E2233" t="s">
        <v>95</v>
      </c>
      <c r="G2233">
        <v>2</v>
      </c>
      <c r="H2233">
        <v>2</v>
      </c>
      <c r="I2233" t="s">
        <v>61</v>
      </c>
      <c r="J2233">
        <v>1300000</v>
      </c>
      <c r="K2233">
        <v>2600000</v>
      </c>
      <c r="L2233" t="s">
        <v>8</v>
      </c>
      <c r="M2233" t="s">
        <v>7</v>
      </c>
      <c r="N2233" t="b">
        <v>0</v>
      </c>
    </row>
    <row r="2234" spans="1:14" x14ac:dyDescent="0.3">
      <c r="A2234" t="s">
        <v>33</v>
      </c>
      <c r="B2234" t="s">
        <v>8</v>
      </c>
      <c r="C2234">
        <v>34</v>
      </c>
      <c r="D2234" t="s">
        <v>94</v>
      </c>
      <c r="E2234" t="s">
        <v>96</v>
      </c>
      <c r="G2234">
        <v>4</v>
      </c>
      <c r="H2234">
        <v>2.8119999999999998</v>
      </c>
      <c r="I2234" t="s">
        <v>97</v>
      </c>
      <c r="J2234">
        <v>460000</v>
      </c>
      <c r="K2234">
        <v>1293520</v>
      </c>
      <c r="L2234" t="s">
        <v>8</v>
      </c>
      <c r="M2234" t="s">
        <v>7</v>
      </c>
      <c r="N2234" t="b">
        <v>0</v>
      </c>
    </row>
    <row r="2235" spans="1:14" x14ac:dyDescent="0.3">
      <c r="A2235" t="s">
        <v>33</v>
      </c>
      <c r="B2235" t="s">
        <v>8</v>
      </c>
      <c r="C2235">
        <v>35</v>
      </c>
      <c r="D2235" t="s">
        <v>98</v>
      </c>
      <c r="E2235" t="s">
        <v>99</v>
      </c>
      <c r="F2235">
        <v>50</v>
      </c>
      <c r="G2235">
        <v>8</v>
      </c>
      <c r="H2235">
        <v>0.8</v>
      </c>
      <c r="I2235" t="s">
        <v>100</v>
      </c>
      <c r="J2235">
        <v>4840000</v>
      </c>
      <c r="K2235">
        <v>3872000</v>
      </c>
      <c r="L2235" t="s">
        <v>8</v>
      </c>
      <c r="M2235" t="s">
        <v>7</v>
      </c>
      <c r="N2235" t="b">
        <v>0</v>
      </c>
    </row>
    <row r="2236" spans="1:14" x14ac:dyDescent="0.3">
      <c r="A2236" t="s">
        <v>33</v>
      </c>
      <c r="B2236" t="s">
        <v>8</v>
      </c>
      <c r="C2236">
        <v>28</v>
      </c>
      <c r="E2236" t="s">
        <v>101</v>
      </c>
      <c r="H2236">
        <v>10</v>
      </c>
      <c r="I2236" t="s">
        <v>102</v>
      </c>
      <c r="J2236">
        <v>13000000</v>
      </c>
      <c r="K2236">
        <v>130000000</v>
      </c>
      <c r="L2236" t="s">
        <v>8</v>
      </c>
      <c r="M2236" t="s">
        <v>7</v>
      </c>
      <c r="N2236" t="b">
        <v>0</v>
      </c>
    </row>
    <row r="2237" spans="1:14" x14ac:dyDescent="0.3">
      <c r="A2237" t="s">
        <v>33</v>
      </c>
      <c r="B2237" t="s">
        <v>8</v>
      </c>
      <c r="C2237">
        <v>29</v>
      </c>
      <c r="E2237" t="s">
        <v>107</v>
      </c>
      <c r="H2237">
        <v>0</v>
      </c>
      <c r="I2237" t="s">
        <v>108</v>
      </c>
      <c r="K2237">
        <v>0</v>
      </c>
      <c r="L2237" t="s">
        <v>8</v>
      </c>
      <c r="M2237" t="s">
        <v>7</v>
      </c>
      <c r="N2237" t="b">
        <v>0</v>
      </c>
    </row>
    <row r="2238" spans="1:14" x14ac:dyDescent="0.3">
      <c r="A2238" t="s">
        <v>33</v>
      </c>
      <c r="B2238" t="s">
        <v>9</v>
      </c>
      <c r="C2238">
        <v>1</v>
      </c>
      <c r="D2238" t="s">
        <v>44</v>
      </c>
      <c r="E2238" t="s">
        <v>45</v>
      </c>
      <c r="F2238">
        <v>0.33500000000000002</v>
      </c>
      <c r="G2238">
        <v>2</v>
      </c>
      <c r="H2238">
        <v>0.93799999999999994</v>
      </c>
      <c r="I2238" t="s">
        <v>46</v>
      </c>
      <c r="J2238">
        <v>8500000</v>
      </c>
      <c r="K2238">
        <v>7972999.9999999981</v>
      </c>
      <c r="L2238" t="s">
        <v>9</v>
      </c>
      <c r="M2238" t="s">
        <v>7</v>
      </c>
      <c r="N2238" t="b">
        <v>0</v>
      </c>
    </row>
    <row r="2239" spans="1:14" x14ac:dyDescent="0.3">
      <c r="A2239" t="s">
        <v>33</v>
      </c>
      <c r="B2239" t="s">
        <v>9</v>
      </c>
      <c r="C2239">
        <v>2</v>
      </c>
      <c r="E2239" t="s">
        <v>47</v>
      </c>
      <c r="F2239">
        <v>0</v>
      </c>
      <c r="G2239">
        <v>0</v>
      </c>
      <c r="H2239">
        <v>0</v>
      </c>
      <c r="I2239" t="s">
        <v>46</v>
      </c>
      <c r="J2239">
        <v>8500000</v>
      </c>
      <c r="K2239">
        <v>0</v>
      </c>
      <c r="L2239" t="s">
        <v>9</v>
      </c>
      <c r="M2239" t="s">
        <v>7</v>
      </c>
      <c r="N2239" t="b">
        <v>0</v>
      </c>
    </row>
    <row r="2240" spans="1:14" x14ac:dyDescent="0.3">
      <c r="A2240" t="s">
        <v>33</v>
      </c>
      <c r="B2240" t="s">
        <v>9</v>
      </c>
      <c r="C2240">
        <v>3</v>
      </c>
      <c r="E2240" t="s">
        <v>48</v>
      </c>
      <c r="F2240">
        <v>0.33500000000000002</v>
      </c>
      <c r="G2240">
        <v>2</v>
      </c>
      <c r="H2240">
        <v>1.139</v>
      </c>
      <c r="I2240" t="s">
        <v>46</v>
      </c>
      <c r="J2240">
        <v>8500000</v>
      </c>
      <c r="K2240">
        <v>9681500</v>
      </c>
      <c r="L2240" t="s">
        <v>9</v>
      </c>
      <c r="M2240" t="s">
        <v>7</v>
      </c>
      <c r="N2240" t="b">
        <v>0</v>
      </c>
    </row>
    <row r="2241" spans="1:14" x14ac:dyDescent="0.3">
      <c r="A2241" t="s">
        <v>33</v>
      </c>
      <c r="B2241" t="s">
        <v>9</v>
      </c>
      <c r="C2241">
        <v>4</v>
      </c>
      <c r="E2241" t="s">
        <v>49</v>
      </c>
      <c r="F2241">
        <v>120</v>
      </c>
      <c r="G2241">
        <v>4</v>
      </c>
      <c r="H2241">
        <v>0.48</v>
      </c>
      <c r="I2241" t="s">
        <v>46</v>
      </c>
      <c r="J2241">
        <v>8500000</v>
      </c>
      <c r="K2241">
        <v>4080000</v>
      </c>
      <c r="L2241" t="s">
        <v>9</v>
      </c>
      <c r="M2241" t="s">
        <v>7</v>
      </c>
      <c r="N2241" t="b">
        <v>0</v>
      </c>
    </row>
    <row r="2242" spans="1:14" x14ac:dyDescent="0.3">
      <c r="A2242" t="s">
        <v>33</v>
      </c>
      <c r="B2242" t="s">
        <v>9</v>
      </c>
      <c r="C2242">
        <v>5</v>
      </c>
      <c r="E2242" t="s">
        <v>50</v>
      </c>
      <c r="F2242">
        <v>180</v>
      </c>
      <c r="G2242">
        <v>4</v>
      </c>
      <c r="H2242">
        <v>0.95061600000000013</v>
      </c>
      <c r="I2242" t="s">
        <v>46</v>
      </c>
      <c r="J2242">
        <v>8500000</v>
      </c>
      <c r="K2242">
        <v>8080236.0000000019</v>
      </c>
      <c r="L2242" t="s">
        <v>9</v>
      </c>
      <c r="M2242" t="s">
        <v>7</v>
      </c>
      <c r="N2242" t="b">
        <v>0</v>
      </c>
    </row>
    <row r="2243" spans="1:14" x14ac:dyDescent="0.3">
      <c r="A2243" t="s">
        <v>33</v>
      </c>
      <c r="B2243" t="s">
        <v>9</v>
      </c>
      <c r="C2243">
        <v>6</v>
      </c>
      <c r="E2243" t="s">
        <v>51</v>
      </c>
      <c r="F2243">
        <v>0.55800000000000005</v>
      </c>
      <c r="G2243">
        <v>4</v>
      </c>
      <c r="H2243">
        <v>2.7118800000000003</v>
      </c>
      <c r="I2243" t="s">
        <v>46</v>
      </c>
      <c r="J2243">
        <v>8500000</v>
      </c>
      <c r="K2243">
        <v>23050980.000000004</v>
      </c>
      <c r="L2243" t="s">
        <v>9</v>
      </c>
      <c r="M2243" t="s">
        <v>7</v>
      </c>
      <c r="N2243" t="b">
        <v>0</v>
      </c>
    </row>
    <row r="2244" spans="1:14" x14ac:dyDescent="0.3">
      <c r="A2244" t="s">
        <v>33</v>
      </c>
      <c r="B2244" t="s">
        <v>9</v>
      </c>
      <c r="C2244">
        <v>7</v>
      </c>
      <c r="D2244" t="s">
        <v>52</v>
      </c>
      <c r="E2244" t="s">
        <v>53</v>
      </c>
      <c r="F2244">
        <v>0.13</v>
      </c>
      <c r="G2244">
        <v>0.40622399999999997</v>
      </c>
      <c r="H2244">
        <v>0.40622399999999997</v>
      </c>
      <c r="I2244" t="s">
        <v>54</v>
      </c>
      <c r="J2244">
        <v>4275000</v>
      </c>
      <c r="K2244">
        <v>1736607.6</v>
      </c>
      <c r="L2244" t="s">
        <v>9</v>
      </c>
      <c r="M2244" t="s">
        <v>7</v>
      </c>
      <c r="N2244" t="b">
        <v>0</v>
      </c>
    </row>
    <row r="2245" spans="1:14" x14ac:dyDescent="0.3">
      <c r="A2245" t="s">
        <v>33</v>
      </c>
      <c r="B2245" t="s">
        <v>9</v>
      </c>
      <c r="C2245">
        <v>8</v>
      </c>
      <c r="E2245" t="s">
        <v>55</v>
      </c>
      <c r="F2245">
        <v>0.35</v>
      </c>
      <c r="G2245">
        <v>0</v>
      </c>
      <c r="H2245">
        <v>0</v>
      </c>
      <c r="I2245" t="s">
        <v>46</v>
      </c>
      <c r="J2245">
        <v>35750000</v>
      </c>
      <c r="K2245">
        <v>0</v>
      </c>
      <c r="L2245" t="s">
        <v>9</v>
      </c>
      <c r="M2245" t="s">
        <v>7</v>
      </c>
      <c r="N2245" t="b">
        <v>0</v>
      </c>
    </row>
    <row r="2246" spans="1:14" x14ac:dyDescent="0.3">
      <c r="A2246" t="s">
        <v>33</v>
      </c>
      <c r="B2246" t="s">
        <v>9</v>
      </c>
      <c r="C2246">
        <v>9</v>
      </c>
      <c r="E2246" t="s">
        <v>55</v>
      </c>
      <c r="F2246">
        <v>0.2</v>
      </c>
      <c r="G2246">
        <v>0.20311199999999999</v>
      </c>
      <c r="H2246">
        <v>0.20311199999999999</v>
      </c>
      <c r="I2246" t="s">
        <v>46</v>
      </c>
      <c r="J2246">
        <v>45760000</v>
      </c>
      <c r="K2246">
        <v>9294405.1199999992</v>
      </c>
      <c r="L2246" t="s">
        <v>9</v>
      </c>
      <c r="M2246" t="s">
        <v>7</v>
      </c>
      <c r="N2246" t="b">
        <v>0</v>
      </c>
    </row>
    <row r="2247" spans="1:14" x14ac:dyDescent="0.3">
      <c r="A2247" t="s">
        <v>33</v>
      </c>
      <c r="B2247" t="s">
        <v>9</v>
      </c>
      <c r="C2247">
        <v>10</v>
      </c>
      <c r="D2247" t="s">
        <v>56</v>
      </c>
      <c r="E2247" t="s">
        <v>57</v>
      </c>
      <c r="G2247">
        <v>2.077</v>
      </c>
      <c r="H2247">
        <v>2.077</v>
      </c>
      <c r="I2247" t="s">
        <v>61</v>
      </c>
      <c r="J2247">
        <v>1430000</v>
      </c>
      <c r="K2247">
        <v>2970110</v>
      </c>
      <c r="L2247" t="s">
        <v>9</v>
      </c>
      <c r="M2247" t="s">
        <v>7</v>
      </c>
      <c r="N2247" t="b">
        <v>0</v>
      </c>
    </row>
    <row r="2248" spans="1:14" x14ac:dyDescent="0.3">
      <c r="A2248" t="s">
        <v>33</v>
      </c>
      <c r="B2248" t="s">
        <v>9</v>
      </c>
      <c r="C2248">
        <v>11</v>
      </c>
      <c r="D2248" t="s">
        <v>58</v>
      </c>
      <c r="E2248" t="s">
        <v>59</v>
      </c>
      <c r="G2248" t="s">
        <v>103</v>
      </c>
      <c r="H2248" t="s">
        <v>103</v>
      </c>
      <c r="I2248" t="s">
        <v>46</v>
      </c>
      <c r="J2248">
        <v>1600000</v>
      </c>
      <c r="K2248">
        <v>12800000</v>
      </c>
      <c r="L2248" t="s">
        <v>9</v>
      </c>
      <c r="M2248" t="s">
        <v>7</v>
      </c>
      <c r="N2248" t="b">
        <v>0</v>
      </c>
    </row>
    <row r="2249" spans="1:14" x14ac:dyDescent="0.3">
      <c r="A2249" t="s">
        <v>33</v>
      </c>
      <c r="B2249" t="s">
        <v>9</v>
      </c>
      <c r="C2249">
        <v>12</v>
      </c>
      <c r="E2249" t="s">
        <v>60</v>
      </c>
      <c r="G2249">
        <v>2.7118800000000003</v>
      </c>
      <c r="H2249">
        <v>2.7118800000000003</v>
      </c>
      <c r="I2249" t="s">
        <v>61</v>
      </c>
      <c r="J2249">
        <v>3600000</v>
      </c>
      <c r="K2249">
        <v>9762768.0000000019</v>
      </c>
      <c r="L2249" t="s">
        <v>9</v>
      </c>
      <c r="M2249" t="s">
        <v>7</v>
      </c>
      <c r="N2249" t="b">
        <v>0</v>
      </c>
    </row>
    <row r="2250" spans="1:14" x14ac:dyDescent="0.3">
      <c r="A2250" t="s">
        <v>33</v>
      </c>
      <c r="B2250" t="s">
        <v>9</v>
      </c>
      <c r="C2250">
        <v>13</v>
      </c>
      <c r="D2250" t="s">
        <v>62</v>
      </c>
      <c r="E2250" t="s">
        <v>63</v>
      </c>
      <c r="G2250">
        <v>2.2320000000000002</v>
      </c>
      <c r="H2250">
        <v>2.2320000000000002</v>
      </c>
      <c r="I2250" t="s">
        <v>61</v>
      </c>
      <c r="J2250">
        <v>3600000</v>
      </c>
      <c r="K2250">
        <v>8035200.0000000019</v>
      </c>
      <c r="L2250" t="s">
        <v>9</v>
      </c>
      <c r="M2250" t="s">
        <v>7</v>
      </c>
      <c r="N2250" t="b">
        <v>0</v>
      </c>
    </row>
    <row r="2251" spans="1:14" x14ac:dyDescent="0.3">
      <c r="A2251" t="s">
        <v>33</v>
      </c>
      <c r="B2251" t="s">
        <v>9</v>
      </c>
      <c r="C2251">
        <v>14</v>
      </c>
      <c r="E2251" t="s">
        <v>64</v>
      </c>
      <c r="G2251">
        <v>0.1</v>
      </c>
      <c r="H2251">
        <v>0.1</v>
      </c>
      <c r="I2251" t="s">
        <v>61</v>
      </c>
      <c r="J2251">
        <v>5500000</v>
      </c>
      <c r="K2251">
        <v>550000</v>
      </c>
      <c r="L2251" t="s">
        <v>9</v>
      </c>
      <c r="M2251" t="s">
        <v>7</v>
      </c>
      <c r="N2251" t="b">
        <v>0</v>
      </c>
    </row>
    <row r="2252" spans="1:14" x14ac:dyDescent="0.3">
      <c r="A2252" t="s">
        <v>33</v>
      </c>
      <c r="B2252" t="s">
        <v>9</v>
      </c>
      <c r="C2252">
        <v>15</v>
      </c>
      <c r="D2252" t="s">
        <v>65</v>
      </c>
      <c r="E2252" t="s">
        <v>66</v>
      </c>
      <c r="G2252">
        <v>20</v>
      </c>
      <c r="H2252">
        <v>20</v>
      </c>
      <c r="I2252" t="s">
        <v>61</v>
      </c>
      <c r="J2252">
        <v>200000</v>
      </c>
      <c r="K2252">
        <v>4000000</v>
      </c>
      <c r="L2252" t="s">
        <v>9</v>
      </c>
      <c r="M2252" t="s">
        <v>7</v>
      </c>
      <c r="N2252" t="b">
        <v>0</v>
      </c>
    </row>
    <row r="2253" spans="1:14" x14ac:dyDescent="0.3">
      <c r="A2253" t="s">
        <v>33</v>
      </c>
      <c r="B2253" t="s">
        <v>9</v>
      </c>
      <c r="C2253">
        <v>16</v>
      </c>
      <c r="E2253" t="s">
        <v>68</v>
      </c>
      <c r="G2253">
        <v>8</v>
      </c>
      <c r="H2253">
        <v>8</v>
      </c>
      <c r="I2253" t="s">
        <v>61</v>
      </c>
      <c r="J2253">
        <v>200000</v>
      </c>
      <c r="K2253">
        <v>1600000</v>
      </c>
      <c r="L2253" t="s">
        <v>9</v>
      </c>
      <c r="M2253" t="s">
        <v>7</v>
      </c>
      <c r="N2253" t="b">
        <v>0</v>
      </c>
    </row>
    <row r="2254" spans="1:14" x14ac:dyDescent="0.3">
      <c r="A2254" t="s">
        <v>33</v>
      </c>
      <c r="B2254" t="s">
        <v>9</v>
      </c>
      <c r="C2254">
        <v>17</v>
      </c>
      <c r="E2254" t="s">
        <v>69</v>
      </c>
      <c r="G2254">
        <v>16</v>
      </c>
      <c r="H2254">
        <v>16</v>
      </c>
      <c r="I2254" t="s">
        <v>61</v>
      </c>
      <c r="J2254">
        <v>200000</v>
      </c>
      <c r="K2254">
        <v>3200000</v>
      </c>
      <c r="L2254" t="s">
        <v>9</v>
      </c>
      <c r="M2254" t="s">
        <v>7</v>
      </c>
      <c r="N2254" t="b">
        <v>0</v>
      </c>
    </row>
    <row r="2255" spans="1:14" x14ac:dyDescent="0.3">
      <c r="A2255" t="s">
        <v>33</v>
      </c>
      <c r="B2255" t="s">
        <v>9</v>
      </c>
      <c r="C2255">
        <v>18</v>
      </c>
      <c r="E2255" t="s">
        <v>70</v>
      </c>
      <c r="G2255">
        <v>16</v>
      </c>
      <c r="H2255">
        <v>16</v>
      </c>
      <c r="I2255" t="s">
        <v>61</v>
      </c>
      <c r="J2255">
        <v>400000</v>
      </c>
      <c r="K2255">
        <v>6400000</v>
      </c>
      <c r="L2255" t="s">
        <v>9</v>
      </c>
      <c r="M2255" t="s">
        <v>7</v>
      </c>
      <c r="N2255" t="b">
        <v>0</v>
      </c>
    </row>
    <row r="2256" spans="1:14" x14ac:dyDescent="0.3">
      <c r="A2256" t="s">
        <v>33</v>
      </c>
      <c r="B2256" t="s">
        <v>9</v>
      </c>
      <c r="C2256">
        <v>19</v>
      </c>
      <c r="E2256" t="s">
        <v>71</v>
      </c>
      <c r="G2256">
        <v>16</v>
      </c>
      <c r="H2256">
        <v>16</v>
      </c>
      <c r="I2256" t="s">
        <v>61</v>
      </c>
      <c r="J2256">
        <v>120000</v>
      </c>
      <c r="K2256">
        <v>1920000</v>
      </c>
      <c r="L2256" t="s">
        <v>9</v>
      </c>
      <c r="M2256" t="s">
        <v>7</v>
      </c>
      <c r="N2256" t="b">
        <v>0</v>
      </c>
    </row>
    <row r="2257" spans="1:14" x14ac:dyDescent="0.3">
      <c r="A2257" t="s">
        <v>33</v>
      </c>
      <c r="B2257" t="s">
        <v>9</v>
      </c>
      <c r="C2257">
        <v>20</v>
      </c>
      <c r="E2257" t="s">
        <v>72</v>
      </c>
      <c r="G2257">
        <v>24</v>
      </c>
      <c r="H2257">
        <v>24</v>
      </c>
      <c r="I2257" t="s">
        <v>61</v>
      </c>
      <c r="J2257">
        <v>400000</v>
      </c>
      <c r="K2257">
        <v>9600000</v>
      </c>
      <c r="L2257" t="s">
        <v>9</v>
      </c>
      <c r="M2257" t="s">
        <v>7</v>
      </c>
      <c r="N2257" t="b">
        <v>0</v>
      </c>
    </row>
    <row r="2258" spans="1:14" x14ac:dyDescent="0.3">
      <c r="A2258" t="s">
        <v>33</v>
      </c>
      <c r="B2258" t="s">
        <v>9</v>
      </c>
      <c r="C2258">
        <v>21</v>
      </c>
      <c r="D2258" t="s">
        <v>73</v>
      </c>
      <c r="E2258" t="s">
        <v>74</v>
      </c>
      <c r="F2258">
        <v>132</v>
      </c>
      <c r="G2258" t="s">
        <v>103</v>
      </c>
      <c r="H2258">
        <v>2.1288960000000001</v>
      </c>
      <c r="I2258" t="s">
        <v>46</v>
      </c>
      <c r="J2258">
        <v>35000000</v>
      </c>
      <c r="K2258">
        <v>74511360</v>
      </c>
      <c r="L2258" t="s">
        <v>9</v>
      </c>
      <c r="M2258" t="s">
        <v>7</v>
      </c>
      <c r="N2258" t="b">
        <v>0</v>
      </c>
    </row>
    <row r="2259" spans="1:14" x14ac:dyDescent="0.3">
      <c r="A2259" t="s">
        <v>33</v>
      </c>
      <c r="B2259" t="s">
        <v>9</v>
      </c>
      <c r="C2259">
        <v>22</v>
      </c>
      <c r="D2259" t="s">
        <v>75</v>
      </c>
      <c r="E2259" t="s">
        <v>76</v>
      </c>
      <c r="F2259" t="s">
        <v>77</v>
      </c>
      <c r="G2259">
        <v>2</v>
      </c>
      <c r="H2259">
        <v>1</v>
      </c>
      <c r="I2259" t="s">
        <v>46</v>
      </c>
      <c r="J2259">
        <v>5200000</v>
      </c>
      <c r="K2259">
        <v>5200000</v>
      </c>
      <c r="L2259" t="s">
        <v>9</v>
      </c>
      <c r="M2259" t="s">
        <v>7</v>
      </c>
      <c r="N2259" t="b">
        <v>0</v>
      </c>
    </row>
    <row r="2260" spans="1:14" x14ac:dyDescent="0.3">
      <c r="A2260" t="s">
        <v>33</v>
      </c>
      <c r="B2260" t="s">
        <v>9</v>
      </c>
      <c r="C2260">
        <v>23</v>
      </c>
      <c r="E2260" t="s">
        <v>78</v>
      </c>
      <c r="F2260" t="s">
        <v>79</v>
      </c>
      <c r="G2260">
        <v>2</v>
      </c>
      <c r="H2260">
        <v>1.2</v>
      </c>
      <c r="I2260" t="s">
        <v>46</v>
      </c>
      <c r="J2260">
        <v>5200000</v>
      </c>
      <c r="K2260">
        <v>6240000</v>
      </c>
      <c r="L2260" t="s">
        <v>9</v>
      </c>
      <c r="M2260" t="s">
        <v>7</v>
      </c>
      <c r="N2260" t="b">
        <v>0</v>
      </c>
    </row>
    <row r="2261" spans="1:14" x14ac:dyDescent="0.3">
      <c r="A2261" t="s">
        <v>33</v>
      </c>
      <c r="B2261" t="s">
        <v>9</v>
      </c>
      <c r="C2261">
        <v>24</v>
      </c>
      <c r="D2261" t="s">
        <v>80</v>
      </c>
      <c r="E2261" t="s">
        <v>81</v>
      </c>
      <c r="F2261" t="s">
        <v>82</v>
      </c>
      <c r="G2261">
        <v>2</v>
      </c>
      <c r="H2261">
        <v>0.57587900000000003</v>
      </c>
      <c r="I2261" t="s">
        <v>46</v>
      </c>
      <c r="J2261">
        <v>8500000</v>
      </c>
      <c r="K2261">
        <v>4894971.5</v>
      </c>
      <c r="L2261" t="s">
        <v>9</v>
      </c>
      <c r="M2261" t="s">
        <v>7</v>
      </c>
      <c r="N2261" t="b">
        <v>0</v>
      </c>
    </row>
    <row r="2262" spans="1:14" x14ac:dyDescent="0.3">
      <c r="A2262" t="s">
        <v>33</v>
      </c>
      <c r="B2262" t="s">
        <v>9</v>
      </c>
      <c r="C2262">
        <v>25</v>
      </c>
      <c r="D2262" t="s">
        <v>83</v>
      </c>
      <c r="E2262" t="s">
        <v>84</v>
      </c>
      <c r="F2262">
        <v>0.18</v>
      </c>
      <c r="G2262">
        <v>2</v>
      </c>
      <c r="H2262">
        <v>2</v>
      </c>
      <c r="I2262" t="s">
        <v>61</v>
      </c>
      <c r="J2262">
        <v>715000</v>
      </c>
      <c r="K2262">
        <v>1430000</v>
      </c>
      <c r="L2262" t="s">
        <v>9</v>
      </c>
      <c r="M2262" t="s">
        <v>7</v>
      </c>
      <c r="N2262" t="b">
        <v>0</v>
      </c>
    </row>
    <row r="2263" spans="1:14" x14ac:dyDescent="0.3">
      <c r="A2263" t="s">
        <v>33</v>
      </c>
      <c r="B2263" t="s">
        <v>9</v>
      </c>
      <c r="C2263">
        <v>26</v>
      </c>
      <c r="E2263" t="s">
        <v>86</v>
      </c>
      <c r="F2263">
        <v>0.2</v>
      </c>
      <c r="G2263">
        <v>3</v>
      </c>
      <c r="H2263">
        <v>3</v>
      </c>
      <c r="I2263" t="s">
        <v>61</v>
      </c>
      <c r="J2263">
        <v>715000</v>
      </c>
      <c r="K2263">
        <v>2145000</v>
      </c>
      <c r="L2263" t="s">
        <v>9</v>
      </c>
      <c r="M2263" t="s">
        <v>7</v>
      </c>
      <c r="N2263" t="b">
        <v>0</v>
      </c>
    </row>
    <row r="2264" spans="1:14" x14ac:dyDescent="0.3">
      <c r="A2264" t="s">
        <v>33</v>
      </c>
      <c r="B2264" t="s">
        <v>9</v>
      </c>
      <c r="C2264">
        <v>27</v>
      </c>
      <c r="D2264" t="s">
        <v>88</v>
      </c>
      <c r="E2264" t="s">
        <v>89</v>
      </c>
      <c r="F2264" t="s">
        <v>90</v>
      </c>
      <c r="G2264">
        <v>1</v>
      </c>
      <c r="H2264">
        <v>1</v>
      </c>
      <c r="I2264" t="s">
        <v>61</v>
      </c>
      <c r="J2264">
        <v>100000</v>
      </c>
      <c r="K2264">
        <v>100000</v>
      </c>
      <c r="L2264" t="s">
        <v>9</v>
      </c>
      <c r="M2264" t="s">
        <v>7</v>
      </c>
      <c r="N2264" t="b">
        <v>0</v>
      </c>
    </row>
    <row r="2265" spans="1:14" x14ac:dyDescent="0.3">
      <c r="A2265" t="s">
        <v>33</v>
      </c>
      <c r="B2265" t="s">
        <v>9</v>
      </c>
      <c r="C2265">
        <v>28</v>
      </c>
      <c r="D2265" t="s">
        <v>65</v>
      </c>
      <c r="E2265" t="s">
        <v>91</v>
      </c>
      <c r="G2265">
        <v>2</v>
      </c>
      <c r="H2265">
        <v>2</v>
      </c>
      <c r="I2265" t="s">
        <v>61</v>
      </c>
      <c r="J2265">
        <v>2400000</v>
      </c>
      <c r="K2265">
        <v>4800000</v>
      </c>
      <c r="L2265" t="s">
        <v>9</v>
      </c>
      <c r="M2265" t="s">
        <v>7</v>
      </c>
      <c r="N2265" t="b">
        <v>0</v>
      </c>
    </row>
    <row r="2266" spans="1:14" x14ac:dyDescent="0.3">
      <c r="A2266" t="s">
        <v>33</v>
      </c>
      <c r="B2266" t="s">
        <v>9</v>
      </c>
      <c r="C2266">
        <v>29</v>
      </c>
      <c r="E2266" t="s">
        <v>92</v>
      </c>
      <c r="G2266">
        <v>2</v>
      </c>
      <c r="H2266">
        <v>2</v>
      </c>
      <c r="I2266" t="s">
        <v>61</v>
      </c>
      <c r="J2266">
        <v>2400000</v>
      </c>
      <c r="K2266">
        <v>4800000</v>
      </c>
      <c r="L2266" t="s">
        <v>9</v>
      </c>
      <c r="M2266" t="s">
        <v>7</v>
      </c>
      <c r="N2266" t="b">
        <v>0</v>
      </c>
    </row>
    <row r="2267" spans="1:14" x14ac:dyDescent="0.3">
      <c r="A2267" t="s">
        <v>33</v>
      </c>
      <c r="B2267" t="s">
        <v>9</v>
      </c>
      <c r="C2267">
        <v>30</v>
      </c>
      <c r="E2267" t="s">
        <v>93</v>
      </c>
      <c r="G2267">
        <v>2</v>
      </c>
      <c r="H2267">
        <v>2</v>
      </c>
      <c r="I2267" t="s">
        <v>61</v>
      </c>
      <c r="J2267">
        <v>3000000</v>
      </c>
      <c r="K2267">
        <v>6000000</v>
      </c>
      <c r="L2267" t="s">
        <v>9</v>
      </c>
      <c r="M2267" t="s">
        <v>7</v>
      </c>
      <c r="N2267" t="b">
        <v>0</v>
      </c>
    </row>
    <row r="2268" spans="1:14" x14ac:dyDescent="0.3">
      <c r="A2268" t="s">
        <v>33</v>
      </c>
      <c r="B2268" t="s">
        <v>9</v>
      </c>
      <c r="C2268">
        <v>31</v>
      </c>
      <c r="D2268" t="s">
        <v>104</v>
      </c>
      <c r="E2268" t="s">
        <v>105</v>
      </c>
      <c r="G2268">
        <v>1</v>
      </c>
      <c r="H2268">
        <v>2</v>
      </c>
      <c r="I2268" t="s">
        <v>61</v>
      </c>
      <c r="J2268">
        <v>30000000</v>
      </c>
      <c r="K2268">
        <v>60000000</v>
      </c>
      <c r="L2268" t="s">
        <v>9</v>
      </c>
      <c r="M2268" t="s">
        <v>7</v>
      </c>
      <c r="N2268" t="b">
        <v>0</v>
      </c>
    </row>
    <row r="2269" spans="1:14" x14ac:dyDescent="0.3">
      <c r="A2269" t="s">
        <v>33</v>
      </c>
      <c r="B2269" t="s">
        <v>9</v>
      </c>
      <c r="C2269">
        <v>32</v>
      </c>
      <c r="E2269" t="s">
        <v>106</v>
      </c>
      <c r="G2269">
        <v>1</v>
      </c>
      <c r="H2269">
        <v>0</v>
      </c>
      <c r="I2269" t="s">
        <v>61</v>
      </c>
      <c r="J2269">
        <v>14000000</v>
      </c>
      <c r="K2269">
        <v>0</v>
      </c>
      <c r="L2269" t="s">
        <v>9</v>
      </c>
      <c r="M2269" t="s">
        <v>7</v>
      </c>
      <c r="N2269" t="b">
        <v>0</v>
      </c>
    </row>
    <row r="2270" spans="1:14" x14ac:dyDescent="0.3">
      <c r="A2270" t="s">
        <v>33</v>
      </c>
      <c r="B2270" t="s">
        <v>9</v>
      </c>
      <c r="C2270">
        <v>33</v>
      </c>
      <c r="D2270" t="s">
        <v>94</v>
      </c>
      <c r="E2270" t="s">
        <v>95</v>
      </c>
      <c r="G2270">
        <v>2</v>
      </c>
      <c r="H2270">
        <v>2</v>
      </c>
      <c r="I2270" t="s">
        <v>61</v>
      </c>
      <c r="J2270">
        <v>1300000</v>
      </c>
      <c r="K2270">
        <v>2600000</v>
      </c>
      <c r="L2270" t="s">
        <v>9</v>
      </c>
      <c r="M2270" t="s">
        <v>7</v>
      </c>
      <c r="N2270" t="b">
        <v>0</v>
      </c>
    </row>
    <row r="2271" spans="1:14" x14ac:dyDescent="0.3">
      <c r="A2271" t="s">
        <v>33</v>
      </c>
      <c r="B2271" t="s">
        <v>9</v>
      </c>
      <c r="C2271">
        <v>34</v>
      </c>
      <c r="D2271" t="s">
        <v>94</v>
      </c>
      <c r="E2271" t="s">
        <v>96</v>
      </c>
      <c r="G2271">
        <v>4</v>
      </c>
      <c r="H2271">
        <v>1.34</v>
      </c>
      <c r="I2271" t="s">
        <v>97</v>
      </c>
      <c r="J2271">
        <v>460000</v>
      </c>
      <c r="K2271">
        <v>616400</v>
      </c>
      <c r="L2271" t="s">
        <v>9</v>
      </c>
      <c r="M2271" t="s">
        <v>7</v>
      </c>
      <c r="N2271" t="b">
        <v>0</v>
      </c>
    </row>
    <row r="2272" spans="1:14" x14ac:dyDescent="0.3">
      <c r="A2272" t="s">
        <v>33</v>
      </c>
      <c r="B2272" t="s">
        <v>9</v>
      </c>
      <c r="C2272">
        <v>35</v>
      </c>
      <c r="D2272" t="s">
        <v>98</v>
      </c>
      <c r="E2272" t="s">
        <v>99</v>
      </c>
      <c r="F2272">
        <v>50</v>
      </c>
      <c r="G2272">
        <v>8</v>
      </c>
      <c r="H2272">
        <v>0.8</v>
      </c>
      <c r="I2272" t="s">
        <v>100</v>
      </c>
      <c r="J2272">
        <v>4840000</v>
      </c>
      <c r="K2272">
        <v>3872000</v>
      </c>
      <c r="L2272" t="s">
        <v>9</v>
      </c>
      <c r="M2272" t="s">
        <v>7</v>
      </c>
      <c r="N2272" t="b">
        <v>0</v>
      </c>
    </row>
    <row r="2273" spans="1:14" x14ac:dyDescent="0.3">
      <c r="A2273" t="s">
        <v>33</v>
      </c>
      <c r="B2273" t="s">
        <v>9</v>
      </c>
      <c r="C2273">
        <v>28</v>
      </c>
      <c r="E2273" t="s">
        <v>101</v>
      </c>
      <c r="H2273">
        <v>8</v>
      </c>
      <c r="I2273" t="s">
        <v>102</v>
      </c>
      <c r="J2273">
        <v>13000000</v>
      </c>
      <c r="K2273">
        <v>104000000</v>
      </c>
      <c r="L2273" t="s">
        <v>9</v>
      </c>
      <c r="M2273" t="s">
        <v>7</v>
      </c>
      <c r="N2273" t="b">
        <v>0</v>
      </c>
    </row>
    <row r="2274" spans="1:14" x14ac:dyDescent="0.3">
      <c r="A2274" t="s">
        <v>33</v>
      </c>
      <c r="B2274" t="s">
        <v>9</v>
      </c>
      <c r="C2274">
        <v>29</v>
      </c>
      <c r="E2274" t="s">
        <v>107</v>
      </c>
      <c r="H2274">
        <v>0</v>
      </c>
      <c r="I2274" t="s">
        <v>108</v>
      </c>
      <c r="K2274">
        <v>0</v>
      </c>
      <c r="L2274" t="s">
        <v>9</v>
      </c>
      <c r="M2274" t="s">
        <v>7</v>
      </c>
      <c r="N2274" t="b">
        <v>0</v>
      </c>
    </row>
    <row r="2275" spans="1:14" x14ac:dyDescent="0.3">
      <c r="A2275" t="s">
        <v>33</v>
      </c>
      <c r="B2275" t="s">
        <v>10</v>
      </c>
      <c r="C2275">
        <v>1</v>
      </c>
      <c r="D2275" t="s">
        <v>44</v>
      </c>
      <c r="E2275" t="s">
        <v>45</v>
      </c>
      <c r="F2275">
        <v>168</v>
      </c>
      <c r="G2275">
        <v>2</v>
      </c>
      <c r="H2275">
        <v>0.47039999999999998</v>
      </c>
      <c r="I2275" t="s">
        <v>46</v>
      </c>
      <c r="J2275">
        <v>8500000</v>
      </c>
      <c r="K2275">
        <v>3998400</v>
      </c>
      <c r="L2275" t="s">
        <v>10</v>
      </c>
      <c r="M2275" t="s">
        <v>7</v>
      </c>
      <c r="N2275" t="b">
        <v>0</v>
      </c>
    </row>
    <row r="2276" spans="1:14" x14ac:dyDescent="0.3">
      <c r="A2276" t="s">
        <v>33</v>
      </c>
      <c r="B2276" t="s">
        <v>10</v>
      </c>
      <c r="C2276">
        <v>2</v>
      </c>
      <c r="E2276" t="s">
        <v>47</v>
      </c>
      <c r="F2276">
        <v>0</v>
      </c>
      <c r="G2276">
        <v>0</v>
      </c>
      <c r="H2276">
        <v>0</v>
      </c>
      <c r="I2276" t="s">
        <v>46</v>
      </c>
      <c r="J2276">
        <v>8500000</v>
      </c>
      <c r="K2276">
        <v>0</v>
      </c>
      <c r="L2276" t="s">
        <v>10</v>
      </c>
      <c r="M2276" t="s">
        <v>7</v>
      </c>
      <c r="N2276" t="b">
        <v>0</v>
      </c>
    </row>
    <row r="2277" spans="1:14" x14ac:dyDescent="0.3">
      <c r="A2277" t="s">
        <v>33</v>
      </c>
      <c r="B2277" t="s">
        <v>10</v>
      </c>
      <c r="C2277">
        <v>3</v>
      </c>
      <c r="E2277" t="s">
        <v>48</v>
      </c>
      <c r="F2277">
        <v>168</v>
      </c>
      <c r="G2277">
        <v>2</v>
      </c>
      <c r="H2277">
        <v>0.57119999999999993</v>
      </c>
      <c r="I2277" t="s">
        <v>46</v>
      </c>
      <c r="J2277">
        <v>8500000</v>
      </c>
      <c r="K2277">
        <v>4855199.9999999991</v>
      </c>
      <c r="L2277" t="s">
        <v>10</v>
      </c>
      <c r="M2277" t="s">
        <v>7</v>
      </c>
      <c r="N2277" t="b">
        <v>0</v>
      </c>
    </row>
    <row r="2278" spans="1:14" x14ac:dyDescent="0.3">
      <c r="A2278" t="s">
        <v>33</v>
      </c>
      <c r="B2278" t="s">
        <v>10</v>
      </c>
      <c r="C2278">
        <v>4</v>
      </c>
      <c r="E2278" t="s">
        <v>49</v>
      </c>
      <c r="F2278">
        <v>120</v>
      </c>
      <c r="G2278">
        <v>4</v>
      </c>
      <c r="H2278">
        <v>0.48</v>
      </c>
      <c r="I2278" t="s">
        <v>46</v>
      </c>
      <c r="J2278">
        <v>8500000</v>
      </c>
      <c r="K2278">
        <v>4080000</v>
      </c>
      <c r="L2278" t="s">
        <v>10</v>
      </c>
      <c r="M2278" t="s">
        <v>7</v>
      </c>
      <c r="N2278" t="b">
        <v>0</v>
      </c>
    </row>
    <row r="2279" spans="1:14" x14ac:dyDescent="0.3">
      <c r="A2279" t="s">
        <v>33</v>
      </c>
      <c r="B2279" t="s">
        <v>10</v>
      </c>
      <c r="C2279">
        <v>5</v>
      </c>
      <c r="E2279" t="s">
        <v>50</v>
      </c>
      <c r="F2279">
        <v>180</v>
      </c>
      <c r="G2279">
        <v>2</v>
      </c>
      <c r="H2279">
        <v>0.47530800000000006</v>
      </c>
      <c r="I2279" t="s">
        <v>46</v>
      </c>
      <c r="J2279">
        <v>8500000</v>
      </c>
      <c r="K2279">
        <v>4040118.0000000009</v>
      </c>
      <c r="L2279" t="s">
        <v>10</v>
      </c>
      <c r="M2279" t="s">
        <v>7</v>
      </c>
      <c r="N2279" t="b">
        <v>0</v>
      </c>
    </row>
    <row r="2280" spans="1:14" x14ac:dyDescent="0.3">
      <c r="A2280" t="s">
        <v>33</v>
      </c>
      <c r="B2280" t="s">
        <v>10</v>
      </c>
      <c r="C2280">
        <v>6</v>
      </c>
      <c r="E2280" t="s">
        <v>51</v>
      </c>
      <c r="F2280">
        <v>0.58799999999999997</v>
      </c>
      <c r="G2280">
        <v>4</v>
      </c>
      <c r="H2280">
        <v>2.8576800000000002</v>
      </c>
      <c r="I2280" t="s">
        <v>46</v>
      </c>
      <c r="J2280">
        <v>8500000</v>
      </c>
      <c r="K2280">
        <v>24290280.000000004</v>
      </c>
      <c r="L2280" t="s">
        <v>10</v>
      </c>
      <c r="M2280" t="s">
        <v>7</v>
      </c>
      <c r="N2280" t="b">
        <v>0</v>
      </c>
    </row>
    <row r="2281" spans="1:14" x14ac:dyDescent="0.3">
      <c r="A2281" t="s">
        <v>33</v>
      </c>
      <c r="B2281" t="s">
        <v>10</v>
      </c>
      <c r="C2281">
        <v>7</v>
      </c>
      <c r="D2281" t="s">
        <v>52</v>
      </c>
      <c r="E2281" t="s">
        <v>53</v>
      </c>
      <c r="F2281">
        <v>0.13</v>
      </c>
      <c r="G2281">
        <v>0.42806399999999994</v>
      </c>
      <c r="H2281">
        <v>0.42806399999999994</v>
      </c>
      <c r="I2281" t="s">
        <v>54</v>
      </c>
      <c r="J2281">
        <v>4275000</v>
      </c>
      <c r="K2281">
        <v>1829973.6</v>
      </c>
      <c r="L2281" t="s">
        <v>10</v>
      </c>
      <c r="M2281" t="s">
        <v>7</v>
      </c>
      <c r="N2281" t="b">
        <v>0</v>
      </c>
    </row>
    <row r="2282" spans="1:14" x14ac:dyDescent="0.3">
      <c r="A2282" t="s">
        <v>33</v>
      </c>
      <c r="B2282" t="s">
        <v>10</v>
      </c>
      <c r="C2282">
        <v>8</v>
      </c>
      <c r="E2282" t="s">
        <v>55</v>
      </c>
      <c r="F2282">
        <v>0.35</v>
      </c>
      <c r="G2282">
        <v>0</v>
      </c>
      <c r="H2282">
        <v>0</v>
      </c>
      <c r="I2282" t="s">
        <v>46</v>
      </c>
      <c r="J2282">
        <v>35750000</v>
      </c>
      <c r="K2282">
        <v>0</v>
      </c>
      <c r="L2282" t="s">
        <v>10</v>
      </c>
      <c r="M2282" t="s">
        <v>7</v>
      </c>
      <c r="N2282" t="b">
        <v>0</v>
      </c>
    </row>
    <row r="2283" spans="1:14" x14ac:dyDescent="0.3">
      <c r="A2283" t="s">
        <v>33</v>
      </c>
      <c r="B2283" t="s">
        <v>10</v>
      </c>
      <c r="C2283">
        <v>9</v>
      </c>
      <c r="E2283" t="s">
        <v>55</v>
      </c>
      <c r="F2283">
        <v>0.2</v>
      </c>
      <c r="G2283">
        <v>0.21403199999999997</v>
      </c>
      <c r="H2283">
        <v>0.21403199999999997</v>
      </c>
      <c r="I2283" t="s">
        <v>46</v>
      </c>
      <c r="J2283">
        <v>45760000</v>
      </c>
      <c r="K2283">
        <v>9794104.3199999984</v>
      </c>
      <c r="L2283" t="s">
        <v>10</v>
      </c>
      <c r="M2283" t="s">
        <v>7</v>
      </c>
      <c r="N2283" t="b">
        <v>0</v>
      </c>
    </row>
    <row r="2284" spans="1:14" x14ac:dyDescent="0.3">
      <c r="A2284" t="s">
        <v>33</v>
      </c>
      <c r="B2284" t="s">
        <v>10</v>
      </c>
      <c r="C2284">
        <v>10</v>
      </c>
      <c r="D2284" t="s">
        <v>56</v>
      </c>
      <c r="E2284" t="s">
        <v>57</v>
      </c>
      <c r="G2284">
        <v>1.0416000000000001</v>
      </c>
      <c r="H2284">
        <v>1.0416000000000001</v>
      </c>
      <c r="I2284" t="s">
        <v>46</v>
      </c>
      <c r="J2284">
        <v>1430000</v>
      </c>
      <c r="K2284">
        <v>1489487.9999999998</v>
      </c>
      <c r="L2284" t="s">
        <v>10</v>
      </c>
      <c r="M2284" t="s">
        <v>7</v>
      </c>
      <c r="N2284" t="b">
        <v>0</v>
      </c>
    </row>
    <row r="2285" spans="1:14" x14ac:dyDescent="0.3">
      <c r="A2285" t="s">
        <v>33</v>
      </c>
      <c r="B2285" t="s">
        <v>10</v>
      </c>
      <c r="C2285">
        <v>11</v>
      </c>
      <c r="D2285" t="s">
        <v>58</v>
      </c>
      <c r="E2285" t="s">
        <v>59</v>
      </c>
      <c r="G2285">
        <v>8</v>
      </c>
      <c r="H2285">
        <v>8</v>
      </c>
      <c r="I2285" t="s">
        <v>46</v>
      </c>
      <c r="J2285">
        <v>1600000</v>
      </c>
      <c r="K2285">
        <v>12800000</v>
      </c>
      <c r="L2285" t="s">
        <v>10</v>
      </c>
      <c r="M2285" t="s">
        <v>7</v>
      </c>
      <c r="N2285" t="b">
        <v>0</v>
      </c>
    </row>
    <row r="2286" spans="1:14" x14ac:dyDescent="0.3">
      <c r="A2286" t="s">
        <v>33</v>
      </c>
      <c r="B2286" t="s">
        <v>10</v>
      </c>
      <c r="C2286">
        <v>12</v>
      </c>
      <c r="E2286" t="s">
        <v>60</v>
      </c>
      <c r="G2286">
        <v>2.8576800000000002</v>
      </c>
      <c r="H2286">
        <v>2.8576800000000002</v>
      </c>
      <c r="I2286" t="s">
        <v>61</v>
      </c>
      <c r="J2286">
        <v>3600000</v>
      </c>
      <c r="K2286">
        <v>10287648</v>
      </c>
      <c r="L2286" t="s">
        <v>10</v>
      </c>
      <c r="M2286" t="s">
        <v>7</v>
      </c>
      <c r="N2286" t="b">
        <v>0</v>
      </c>
    </row>
    <row r="2287" spans="1:14" x14ac:dyDescent="0.3">
      <c r="A2287" t="s">
        <v>33</v>
      </c>
      <c r="B2287" t="s">
        <v>10</v>
      </c>
      <c r="C2287">
        <v>13</v>
      </c>
      <c r="D2287" t="s">
        <v>62</v>
      </c>
      <c r="E2287" t="s">
        <v>63</v>
      </c>
      <c r="G2287">
        <v>2.3519999999999999</v>
      </c>
      <c r="H2287">
        <v>2.3519999999999999</v>
      </c>
      <c r="I2287" t="s">
        <v>61</v>
      </c>
      <c r="J2287">
        <v>3600000</v>
      </c>
      <c r="K2287">
        <v>8467200</v>
      </c>
      <c r="L2287" t="s">
        <v>10</v>
      </c>
      <c r="M2287" t="s">
        <v>7</v>
      </c>
      <c r="N2287" t="b">
        <v>0</v>
      </c>
    </row>
    <row r="2288" spans="1:14" x14ac:dyDescent="0.3">
      <c r="A2288" t="s">
        <v>33</v>
      </c>
      <c r="B2288" t="s">
        <v>10</v>
      </c>
      <c r="C2288">
        <v>14</v>
      </c>
      <c r="E2288" t="s">
        <v>64</v>
      </c>
      <c r="G2288">
        <v>0.1</v>
      </c>
      <c r="H2288">
        <v>0.1</v>
      </c>
      <c r="I2288" t="s">
        <v>61</v>
      </c>
      <c r="J2288">
        <v>5500000</v>
      </c>
      <c r="K2288">
        <v>550000</v>
      </c>
      <c r="L2288" t="s">
        <v>10</v>
      </c>
      <c r="M2288" t="s">
        <v>7</v>
      </c>
      <c r="N2288" t="b">
        <v>0</v>
      </c>
    </row>
    <row r="2289" spans="1:14" x14ac:dyDescent="0.3">
      <c r="A2289" t="s">
        <v>33</v>
      </c>
      <c r="B2289" t="s">
        <v>10</v>
      </c>
      <c r="C2289">
        <v>15</v>
      </c>
      <c r="D2289" t="s">
        <v>65</v>
      </c>
      <c r="E2289" t="s">
        <v>66</v>
      </c>
      <c r="G2289" t="s">
        <v>67</v>
      </c>
      <c r="H2289">
        <v>8</v>
      </c>
      <c r="I2289" t="s">
        <v>61</v>
      </c>
      <c r="J2289">
        <v>200000</v>
      </c>
      <c r="K2289">
        <v>1600000</v>
      </c>
      <c r="L2289" t="s">
        <v>10</v>
      </c>
      <c r="M2289" t="s">
        <v>7</v>
      </c>
      <c r="N2289" t="b">
        <v>0</v>
      </c>
    </row>
    <row r="2290" spans="1:14" x14ac:dyDescent="0.3">
      <c r="A2290" t="s">
        <v>33</v>
      </c>
      <c r="B2290" t="s">
        <v>10</v>
      </c>
      <c r="C2290">
        <v>16</v>
      </c>
      <c r="E2290" t="s">
        <v>68</v>
      </c>
      <c r="G2290">
        <v>8</v>
      </c>
      <c r="H2290">
        <v>8</v>
      </c>
      <c r="I2290" t="s">
        <v>61</v>
      </c>
      <c r="J2290">
        <v>200000</v>
      </c>
      <c r="K2290">
        <v>1600000</v>
      </c>
      <c r="L2290" t="s">
        <v>10</v>
      </c>
      <c r="M2290" t="s">
        <v>7</v>
      </c>
      <c r="N2290" t="b">
        <v>0</v>
      </c>
    </row>
    <row r="2291" spans="1:14" x14ac:dyDescent="0.3">
      <c r="A2291" t="s">
        <v>33</v>
      </c>
      <c r="B2291" t="s">
        <v>10</v>
      </c>
      <c r="C2291">
        <v>17</v>
      </c>
      <c r="E2291" t="s">
        <v>69</v>
      </c>
      <c r="G2291">
        <v>88</v>
      </c>
      <c r="H2291">
        <v>16</v>
      </c>
      <c r="I2291" t="s">
        <v>61</v>
      </c>
      <c r="J2291">
        <v>200000</v>
      </c>
      <c r="K2291">
        <v>3200000</v>
      </c>
      <c r="L2291" t="s">
        <v>10</v>
      </c>
      <c r="M2291" t="s">
        <v>7</v>
      </c>
      <c r="N2291" t="b">
        <v>0</v>
      </c>
    </row>
    <row r="2292" spans="1:14" x14ac:dyDescent="0.3">
      <c r="A2292" t="s">
        <v>33</v>
      </c>
      <c r="B2292" t="s">
        <v>10</v>
      </c>
      <c r="C2292">
        <v>18</v>
      </c>
      <c r="E2292" t="s">
        <v>70</v>
      </c>
      <c r="G2292">
        <v>16</v>
      </c>
      <c r="H2292">
        <v>16</v>
      </c>
      <c r="I2292" t="s">
        <v>61</v>
      </c>
      <c r="J2292">
        <v>400000</v>
      </c>
      <c r="K2292">
        <v>6400000</v>
      </c>
      <c r="L2292" t="s">
        <v>10</v>
      </c>
      <c r="M2292" t="s">
        <v>7</v>
      </c>
      <c r="N2292" t="b">
        <v>0</v>
      </c>
    </row>
    <row r="2293" spans="1:14" x14ac:dyDescent="0.3">
      <c r="A2293" t="s">
        <v>33</v>
      </c>
      <c r="B2293" t="s">
        <v>10</v>
      </c>
      <c r="C2293">
        <v>19</v>
      </c>
      <c r="E2293" t="s">
        <v>71</v>
      </c>
      <c r="G2293">
        <v>16</v>
      </c>
      <c r="H2293">
        <v>16</v>
      </c>
      <c r="I2293" t="s">
        <v>61</v>
      </c>
      <c r="J2293">
        <v>120000</v>
      </c>
      <c r="K2293">
        <v>1920000</v>
      </c>
      <c r="L2293" t="s">
        <v>10</v>
      </c>
      <c r="M2293" t="s">
        <v>7</v>
      </c>
      <c r="N2293" t="b">
        <v>0</v>
      </c>
    </row>
    <row r="2294" spans="1:14" x14ac:dyDescent="0.3">
      <c r="A2294" t="s">
        <v>33</v>
      </c>
      <c r="B2294" t="s">
        <v>10</v>
      </c>
      <c r="C2294">
        <v>20</v>
      </c>
      <c r="E2294" t="s">
        <v>72</v>
      </c>
      <c r="G2294">
        <v>24</v>
      </c>
      <c r="H2294">
        <v>24</v>
      </c>
      <c r="I2294" t="s">
        <v>61</v>
      </c>
      <c r="J2294">
        <v>400000</v>
      </c>
      <c r="K2294">
        <v>9600000</v>
      </c>
      <c r="L2294" t="s">
        <v>10</v>
      </c>
      <c r="M2294" t="s">
        <v>7</v>
      </c>
      <c r="N2294" t="b">
        <v>0</v>
      </c>
    </row>
    <row r="2295" spans="1:14" x14ac:dyDescent="0.3">
      <c r="A2295" t="s">
        <v>33</v>
      </c>
      <c r="B2295" t="s">
        <v>10</v>
      </c>
      <c r="C2295">
        <v>21</v>
      </c>
      <c r="D2295" t="s">
        <v>73</v>
      </c>
      <c r="E2295" t="s">
        <v>74</v>
      </c>
      <c r="F2295">
        <v>132</v>
      </c>
      <c r="G2295">
        <v>8</v>
      </c>
      <c r="H2295">
        <v>2.1288960000000001</v>
      </c>
      <c r="I2295" t="s">
        <v>46</v>
      </c>
      <c r="J2295">
        <v>35000000</v>
      </c>
      <c r="K2295">
        <v>74511360</v>
      </c>
      <c r="L2295" t="s">
        <v>10</v>
      </c>
      <c r="M2295" t="s">
        <v>7</v>
      </c>
      <c r="N2295" t="b">
        <v>0</v>
      </c>
    </row>
    <row r="2296" spans="1:14" x14ac:dyDescent="0.3">
      <c r="A2296" t="s">
        <v>33</v>
      </c>
      <c r="B2296" t="s">
        <v>10</v>
      </c>
      <c r="C2296">
        <v>22</v>
      </c>
      <c r="D2296" t="s">
        <v>75</v>
      </c>
      <c r="E2296" t="s">
        <v>76</v>
      </c>
      <c r="F2296" t="s">
        <v>77</v>
      </c>
      <c r="G2296">
        <v>2</v>
      </c>
      <c r="H2296">
        <v>1</v>
      </c>
      <c r="I2296" t="s">
        <v>46</v>
      </c>
      <c r="J2296">
        <v>5200000</v>
      </c>
      <c r="K2296">
        <v>5200000</v>
      </c>
      <c r="L2296" t="s">
        <v>10</v>
      </c>
      <c r="M2296" t="s">
        <v>7</v>
      </c>
      <c r="N2296" t="b">
        <v>0</v>
      </c>
    </row>
    <row r="2297" spans="1:14" x14ac:dyDescent="0.3">
      <c r="A2297" t="s">
        <v>33</v>
      </c>
      <c r="B2297" t="s">
        <v>10</v>
      </c>
      <c r="C2297">
        <v>23</v>
      </c>
      <c r="E2297" t="s">
        <v>78</v>
      </c>
      <c r="F2297" t="s">
        <v>79</v>
      </c>
      <c r="G2297">
        <v>2</v>
      </c>
      <c r="H2297">
        <v>1.2</v>
      </c>
      <c r="I2297" t="s">
        <v>46</v>
      </c>
      <c r="J2297">
        <v>5200000</v>
      </c>
      <c r="K2297">
        <v>6240000</v>
      </c>
      <c r="L2297" t="s">
        <v>10</v>
      </c>
      <c r="M2297" t="s">
        <v>7</v>
      </c>
      <c r="N2297" t="b">
        <v>0</v>
      </c>
    </row>
    <row r="2298" spans="1:14" x14ac:dyDescent="0.3">
      <c r="A2298" t="s">
        <v>33</v>
      </c>
      <c r="B2298" t="s">
        <v>10</v>
      </c>
      <c r="C2298">
        <v>24</v>
      </c>
      <c r="D2298" t="s">
        <v>80</v>
      </c>
      <c r="E2298" t="s">
        <v>81</v>
      </c>
      <c r="F2298" t="s">
        <v>82</v>
      </c>
      <c r="G2298">
        <v>2</v>
      </c>
      <c r="H2298">
        <v>0.57587900000000003</v>
      </c>
      <c r="I2298" t="s">
        <v>46</v>
      </c>
      <c r="J2298">
        <v>8500000</v>
      </c>
      <c r="K2298">
        <v>4894971.5</v>
      </c>
      <c r="L2298" t="s">
        <v>10</v>
      </c>
      <c r="M2298" t="s">
        <v>7</v>
      </c>
      <c r="N2298" t="b">
        <v>0</v>
      </c>
    </row>
    <row r="2299" spans="1:14" x14ac:dyDescent="0.3">
      <c r="A2299" t="s">
        <v>33</v>
      </c>
      <c r="B2299" t="s">
        <v>10</v>
      </c>
      <c r="C2299">
        <v>25</v>
      </c>
      <c r="D2299" t="s">
        <v>83</v>
      </c>
      <c r="E2299" t="s">
        <v>84</v>
      </c>
      <c r="F2299">
        <v>0.18</v>
      </c>
      <c r="G2299" t="s">
        <v>85</v>
      </c>
      <c r="H2299" t="s">
        <v>85</v>
      </c>
      <c r="I2299" t="s">
        <v>61</v>
      </c>
      <c r="J2299">
        <v>715000</v>
      </c>
      <c r="K2299">
        <v>1430000</v>
      </c>
      <c r="L2299" t="s">
        <v>10</v>
      </c>
      <c r="M2299" t="s">
        <v>7</v>
      </c>
      <c r="N2299" t="b">
        <v>0</v>
      </c>
    </row>
    <row r="2300" spans="1:14" x14ac:dyDescent="0.3">
      <c r="A2300" t="s">
        <v>33</v>
      </c>
      <c r="B2300" t="s">
        <v>10</v>
      </c>
      <c r="C2300">
        <v>26</v>
      </c>
      <c r="E2300" t="s">
        <v>86</v>
      </c>
      <c r="F2300">
        <v>0.2</v>
      </c>
      <c r="G2300" t="s">
        <v>87</v>
      </c>
      <c r="H2300" t="s">
        <v>87</v>
      </c>
      <c r="I2300" t="s">
        <v>61</v>
      </c>
      <c r="J2300">
        <v>715000</v>
      </c>
      <c r="K2300">
        <v>2145000</v>
      </c>
      <c r="L2300" t="s">
        <v>10</v>
      </c>
      <c r="M2300" t="s">
        <v>7</v>
      </c>
      <c r="N2300" t="b">
        <v>0</v>
      </c>
    </row>
    <row r="2301" spans="1:14" x14ac:dyDescent="0.3">
      <c r="A2301" t="s">
        <v>33</v>
      </c>
      <c r="B2301" t="s">
        <v>10</v>
      </c>
      <c r="C2301">
        <v>27</v>
      </c>
      <c r="D2301" t="s">
        <v>88</v>
      </c>
      <c r="E2301" t="s">
        <v>89</v>
      </c>
      <c r="F2301" t="s">
        <v>90</v>
      </c>
      <c r="G2301">
        <v>1</v>
      </c>
      <c r="H2301">
        <v>1</v>
      </c>
      <c r="I2301" t="s">
        <v>61</v>
      </c>
      <c r="J2301">
        <v>100000</v>
      </c>
      <c r="K2301">
        <v>100000</v>
      </c>
      <c r="L2301" t="s">
        <v>10</v>
      </c>
      <c r="M2301" t="s">
        <v>7</v>
      </c>
      <c r="N2301" t="b">
        <v>0</v>
      </c>
    </row>
    <row r="2302" spans="1:14" x14ac:dyDescent="0.3">
      <c r="A2302" t="s">
        <v>33</v>
      </c>
      <c r="B2302" t="s">
        <v>10</v>
      </c>
      <c r="C2302">
        <v>28</v>
      </c>
      <c r="D2302" t="s">
        <v>65</v>
      </c>
      <c r="E2302" t="s">
        <v>91</v>
      </c>
      <c r="G2302">
        <v>2</v>
      </c>
      <c r="H2302">
        <v>2</v>
      </c>
      <c r="I2302" t="s">
        <v>61</v>
      </c>
      <c r="J2302">
        <v>2400000</v>
      </c>
      <c r="K2302">
        <v>4800000</v>
      </c>
      <c r="L2302" t="s">
        <v>10</v>
      </c>
      <c r="M2302" t="s">
        <v>7</v>
      </c>
      <c r="N2302" t="b">
        <v>0</v>
      </c>
    </row>
    <row r="2303" spans="1:14" x14ac:dyDescent="0.3">
      <c r="A2303" t="s">
        <v>33</v>
      </c>
      <c r="B2303" t="s">
        <v>10</v>
      </c>
      <c r="C2303">
        <v>29</v>
      </c>
      <c r="E2303" t="s">
        <v>92</v>
      </c>
      <c r="G2303">
        <v>2</v>
      </c>
      <c r="H2303">
        <v>2</v>
      </c>
      <c r="I2303" t="s">
        <v>61</v>
      </c>
      <c r="J2303">
        <v>2400000</v>
      </c>
      <c r="K2303">
        <v>4800000</v>
      </c>
      <c r="L2303" t="s">
        <v>10</v>
      </c>
      <c r="M2303" t="s">
        <v>7</v>
      </c>
      <c r="N2303" t="b">
        <v>0</v>
      </c>
    </row>
    <row r="2304" spans="1:14" x14ac:dyDescent="0.3">
      <c r="A2304" t="s">
        <v>33</v>
      </c>
      <c r="B2304" t="s">
        <v>10</v>
      </c>
      <c r="C2304">
        <v>30</v>
      </c>
      <c r="E2304" t="s">
        <v>93</v>
      </c>
      <c r="G2304">
        <v>2</v>
      </c>
      <c r="H2304">
        <v>2</v>
      </c>
      <c r="I2304" t="s">
        <v>61</v>
      </c>
      <c r="J2304">
        <v>3000000</v>
      </c>
      <c r="K2304">
        <v>6000000</v>
      </c>
      <c r="L2304" t="s">
        <v>10</v>
      </c>
      <c r="M2304" t="s">
        <v>7</v>
      </c>
      <c r="N2304" t="b">
        <v>0</v>
      </c>
    </row>
    <row r="2305" spans="1:14" x14ac:dyDescent="0.3">
      <c r="A2305" t="s">
        <v>33</v>
      </c>
      <c r="B2305" t="s">
        <v>10</v>
      </c>
      <c r="C2305">
        <v>31</v>
      </c>
      <c r="D2305" t="s">
        <v>94</v>
      </c>
      <c r="E2305" t="s">
        <v>95</v>
      </c>
      <c r="G2305">
        <v>2</v>
      </c>
      <c r="H2305">
        <v>2</v>
      </c>
      <c r="I2305" t="s">
        <v>61</v>
      </c>
      <c r="J2305">
        <v>1300000</v>
      </c>
      <c r="K2305">
        <v>2600000</v>
      </c>
      <c r="L2305" t="s">
        <v>10</v>
      </c>
      <c r="M2305" t="s">
        <v>7</v>
      </c>
      <c r="N2305" t="b">
        <v>0</v>
      </c>
    </row>
    <row r="2306" spans="1:14" x14ac:dyDescent="0.3">
      <c r="A2306" t="s">
        <v>33</v>
      </c>
      <c r="B2306" t="s">
        <v>10</v>
      </c>
      <c r="C2306">
        <v>32</v>
      </c>
      <c r="D2306" t="s">
        <v>94</v>
      </c>
      <c r="E2306" t="s">
        <v>96</v>
      </c>
      <c r="G2306">
        <v>4</v>
      </c>
      <c r="H2306">
        <v>0.67200000000000004</v>
      </c>
      <c r="I2306" t="s">
        <v>97</v>
      </c>
      <c r="J2306">
        <v>460000</v>
      </c>
      <c r="K2306">
        <v>309120</v>
      </c>
      <c r="L2306" t="s">
        <v>10</v>
      </c>
      <c r="M2306" t="s">
        <v>7</v>
      </c>
      <c r="N2306" t="b">
        <v>0</v>
      </c>
    </row>
    <row r="2307" spans="1:14" x14ac:dyDescent="0.3">
      <c r="A2307" t="s">
        <v>33</v>
      </c>
      <c r="B2307" t="s">
        <v>10</v>
      </c>
      <c r="C2307">
        <v>33</v>
      </c>
      <c r="D2307" t="s">
        <v>98</v>
      </c>
      <c r="E2307" t="s">
        <v>99</v>
      </c>
      <c r="F2307">
        <v>50</v>
      </c>
      <c r="G2307">
        <v>8</v>
      </c>
      <c r="H2307">
        <v>0.8</v>
      </c>
      <c r="I2307" t="s">
        <v>100</v>
      </c>
      <c r="J2307">
        <v>4840000</v>
      </c>
      <c r="K2307">
        <v>3872000</v>
      </c>
      <c r="L2307" t="s">
        <v>10</v>
      </c>
      <c r="M2307" t="s">
        <v>7</v>
      </c>
      <c r="N2307" t="b">
        <v>0</v>
      </c>
    </row>
    <row r="2308" spans="1:14" x14ac:dyDescent="0.3">
      <c r="A2308" t="s">
        <v>33</v>
      </c>
      <c r="B2308" t="s">
        <v>10</v>
      </c>
      <c r="C2308">
        <v>28</v>
      </c>
      <c r="E2308" t="s">
        <v>101</v>
      </c>
      <c r="H2308">
        <v>8</v>
      </c>
      <c r="I2308" t="s">
        <v>102</v>
      </c>
      <c r="J2308">
        <v>13000000</v>
      </c>
      <c r="K2308">
        <v>104000000</v>
      </c>
      <c r="L2308" t="s">
        <v>10</v>
      </c>
      <c r="M2308" t="s">
        <v>7</v>
      </c>
      <c r="N2308" t="b">
        <v>0</v>
      </c>
    </row>
    <row r="2309" spans="1:14" x14ac:dyDescent="0.3">
      <c r="A2309" t="s">
        <v>33</v>
      </c>
      <c r="B2309" t="s">
        <v>10</v>
      </c>
      <c r="C2309">
        <v>29</v>
      </c>
      <c r="E2309" t="s">
        <v>107</v>
      </c>
      <c r="H2309">
        <v>0</v>
      </c>
      <c r="I2309" t="s">
        <v>108</v>
      </c>
      <c r="K2309">
        <v>0</v>
      </c>
      <c r="L2309" t="s">
        <v>10</v>
      </c>
      <c r="M2309" t="s">
        <v>7</v>
      </c>
      <c r="N2309" t="b">
        <v>0</v>
      </c>
    </row>
    <row r="2310" spans="1:14" x14ac:dyDescent="0.3">
      <c r="A2310" t="s">
        <v>33</v>
      </c>
      <c r="B2310" t="s">
        <v>11</v>
      </c>
      <c r="C2310">
        <v>1</v>
      </c>
      <c r="D2310" t="s">
        <v>75</v>
      </c>
      <c r="E2310" t="s">
        <v>109</v>
      </c>
      <c r="G2310">
        <v>1</v>
      </c>
      <c r="H2310">
        <v>9</v>
      </c>
      <c r="I2310" t="s">
        <v>46</v>
      </c>
      <c r="J2310">
        <v>5200000</v>
      </c>
      <c r="K2310">
        <v>46800000</v>
      </c>
      <c r="L2310" t="s">
        <v>11</v>
      </c>
      <c r="M2310" t="s">
        <v>7</v>
      </c>
      <c r="N2310" t="b">
        <v>0</v>
      </c>
    </row>
    <row r="2311" spans="1:14" x14ac:dyDescent="0.3">
      <c r="A2311" t="s">
        <v>33</v>
      </c>
      <c r="B2311" t="s">
        <v>11</v>
      </c>
      <c r="C2311">
        <v>4</v>
      </c>
      <c r="D2311" t="s">
        <v>110</v>
      </c>
      <c r="E2311" t="s">
        <v>111</v>
      </c>
      <c r="G2311">
        <v>4</v>
      </c>
      <c r="H2311">
        <v>0.5</v>
      </c>
      <c r="I2311" t="s">
        <v>46</v>
      </c>
      <c r="J2311">
        <v>22000000</v>
      </c>
      <c r="K2311">
        <v>11000000</v>
      </c>
      <c r="L2311" t="s">
        <v>11</v>
      </c>
      <c r="M2311" t="s">
        <v>7</v>
      </c>
      <c r="N2311" t="b">
        <v>0</v>
      </c>
    </row>
    <row r="2312" spans="1:14" x14ac:dyDescent="0.3">
      <c r="A2312" t="s">
        <v>33</v>
      </c>
      <c r="B2312" t="s">
        <v>11</v>
      </c>
      <c r="C2312">
        <v>5</v>
      </c>
      <c r="E2312" t="s">
        <v>112</v>
      </c>
      <c r="G2312">
        <v>20</v>
      </c>
      <c r="H2312">
        <v>20</v>
      </c>
      <c r="I2312" t="s">
        <v>61</v>
      </c>
      <c r="J2312">
        <v>26000</v>
      </c>
      <c r="K2312">
        <v>520000</v>
      </c>
      <c r="L2312" t="s">
        <v>11</v>
      </c>
      <c r="M2312" t="s">
        <v>7</v>
      </c>
      <c r="N2312" t="b">
        <v>0</v>
      </c>
    </row>
    <row r="2313" spans="1:14" x14ac:dyDescent="0.3">
      <c r="A2313" t="s">
        <v>33</v>
      </c>
      <c r="B2313" t="s">
        <v>11</v>
      </c>
      <c r="C2313">
        <v>6</v>
      </c>
      <c r="E2313" t="s">
        <v>113</v>
      </c>
      <c r="G2313">
        <v>6</v>
      </c>
      <c r="H2313">
        <v>6</v>
      </c>
      <c r="I2313" t="s">
        <v>61</v>
      </c>
      <c r="J2313">
        <v>195000</v>
      </c>
      <c r="K2313">
        <v>1170000</v>
      </c>
      <c r="L2313" t="s">
        <v>11</v>
      </c>
      <c r="M2313" t="s">
        <v>7</v>
      </c>
      <c r="N2313" t="b">
        <v>0</v>
      </c>
    </row>
    <row r="2314" spans="1:14" x14ac:dyDescent="0.3">
      <c r="A2314" t="s">
        <v>33</v>
      </c>
      <c r="B2314" t="s">
        <v>11</v>
      </c>
      <c r="C2314">
        <v>7</v>
      </c>
      <c r="E2314" t="s">
        <v>114</v>
      </c>
      <c r="G2314">
        <v>20</v>
      </c>
      <c r="H2314">
        <v>20</v>
      </c>
      <c r="I2314" t="s">
        <v>61</v>
      </c>
      <c r="J2314">
        <v>13000</v>
      </c>
      <c r="K2314">
        <v>260000</v>
      </c>
      <c r="L2314" t="s">
        <v>11</v>
      </c>
      <c r="M2314" t="s">
        <v>7</v>
      </c>
      <c r="N2314" t="b">
        <v>0</v>
      </c>
    </row>
    <row r="2315" spans="1:14" x14ac:dyDescent="0.3">
      <c r="A2315" t="s">
        <v>33</v>
      </c>
      <c r="B2315" t="s">
        <v>11</v>
      </c>
      <c r="C2315">
        <v>8</v>
      </c>
      <c r="E2315" t="s">
        <v>115</v>
      </c>
      <c r="G2315">
        <v>20</v>
      </c>
      <c r="H2315">
        <v>20</v>
      </c>
      <c r="I2315" t="s">
        <v>61</v>
      </c>
      <c r="J2315">
        <v>75000</v>
      </c>
      <c r="K2315">
        <v>1500000</v>
      </c>
      <c r="L2315" t="s">
        <v>11</v>
      </c>
      <c r="M2315" t="s">
        <v>7</v>
      </c>
      <c r="N2315" t="b">
        <v>0</v>
      </c>
    </row>
    <row r="2316" spans="1:14" x14ac:dyDescent="0.3">
      <c r="A2316" t="s">
        <v>33</v>
      </c>
      <c r="B2316" t="s">
        <v>11</v>
      </c>
      <c r="C2316">
        <v>9</v>
      </c>
      <c r="E2316" t="s">
        <v>116</v>
      </c>
      <c r="G2316">
        <v>1</v>
      </c>
      <c r="H2316">
        <v>1</v>
      </c>
      <c r="I2316" t="s">
        <v>61</v>
      </c>
      <c r="J2316">
        <v>11250000</v>
      </c>
      <c r="K2316">
        <v>11250000</v>
      </c>
      <c r="L2316" t="s">
        <v>11</v>
      </c>
      <c r="M2316" t="s">
        <v>7</v>
      </c>
      <c r="N2316" t="b">
        <v>0</v>
      </c>
    </row>
    <row r="2317" spans="1:14" x14ac:dyDescent="0.3">
      <c r="A2317" t="s">
        <v>33</v>
      </c>
      <c r="B2317" t="s">
        <v>11</v>
      </c>
      <c r="C2317">
        <v>10</v>
      </c>
      <c r="E2317" t="s">
        <v>117</v>
      </c>
      <c r="G2317">
        <v>1</v>
      </c>
      <c r="H2317">
        <v>1</v>
      </c>
      <c r="I2317" t="s">
        <v>61</v>
      </c>
      <c r="J2317">
        <v>7500000</v>
      </c>
      <c r="K2317">
        <v>7500000</v>
      </c>
      <c r="L2317" t="s">
        <v>11</v>
      </c>
      <c r="M2317" t="s">
        <v>7</v>
      </c>
      <c r="N2317" t="b">
        <v>0</v>
      </c>
    </row>
    <row r="2318" spans="1:14" x14ac:dyDescent="0.3">
      <c r="A2318" t="s">
        <v>33</v>
      </c>
      <c r="B2318" t="s">
        <v>11</v>
      </c>
      <c r="C2318">
        <v>11</v>
      </c>
      <c r="E2318" t="s">
        <v>118</v>
      </c>
      <c r="G2318">
        <v>2</v>
      </c>
      <c r="H2318">
        <v>2</v>
      </c>
      <c r="I2318" t="s">
        <v>61</v>
      </c>
      <c r="J2318">
        <v>150000</v>
      </c>
      <c r="K2318">
        <v>300000</v>
      </c>
      <c r="L2318" t="s">
        <v>11</v>
      </c>
      <c r="M2318" t="s">
        <v>7</v>
      </c>
      <c r="N2318" t="b">
        <v>0</v>
      </c>
    </row>
    <row r="2319" spans="1:14" x14ac:dyDescent="0.3">
      <c r="A2319" t="s">
        <v>33</v>
      </c>
      <c r="B2319" t="s">
        <v>11</v>
      </c>
      <c r="C2319">
        <v>12</v>
      </c>
      <c r="E2319" t="s">
        <v>119</v>
      </c>
      <c r="G2319">
        <v>2</v>
      </c>
      <c r="H2319">
        <v>2</v>
      </c>
      <c r="I2319" t="s">
        <v>61</v>
      </c>
      <c r="J2319">
        <v>100000</v>
      </c>
      <c r="K2319">
        <v>200000</v>
      </c>
      <c r="L2319" t="s">
        <v>11</v>
      </c>
      <c r="M2319" t="s">
        <v>7</v>
      </c>
      <c r="N2319" t="b">
        <v>0</v>
      </c>
    </row>
    <row r="2320" spans="1:14" x14ac:dyDescent="0.3">
      <c r="A2320" t="s">
        <v>33</v>
      </c>
      <c r="B2320" t="s">
        <v>11</v>
      </c>
      <c r="C2320">
        <v>13</v>
      </c>
      <c r="E2320" t="s">
        <v>120</v>
      </c>
      <c r="G2320">
        <v>4</v>
      </c>
      <c r="H2320">
        <v>4</v>
      </c>
      <c r="I2320" t="s">
        <v>61</v>
      </c>
      <c r="J2320">
        <v>50000</v>
      </c>
      <c r="K2320">
        <v>200000</v>
      </c>
      <c r="L2320" t="s">
        <v>11</v>
      </c>
      <c r="M2320" t="s">
        <v>7</v>
      </c>
      <c r="N2320" t="b">
        <v>0</v>
      </c>
    </row>
    <row r="2321" spans="1:14" x14ac:dyDescent="0.3">
      <c r="A2321" t="s">
        <v>33</v>
      </c>
      <c r="B2321" t="s">
        <v>11</v>
      </c>
      <c r="C2321">
        <v>14</v>
      </c>
      <c r="E2321" t="s">
        <v>121</v>
      </c>
      <c r="G2321">
        <v>2</v>
      </c>
      <c r="H2321">
        <v>2</v>
      </c>
      <c r="I2321" t="s">
        <v>61</v>
      </c>
      <c r="J2321">
        <v>100000</v>
      </c>
      <c r="K2321">
        <v>200000</v>
      </c>
      <c r="L2321" t="s">
        <v>11</v>
      </c>
      <c r="M2321" t="s">
        <v>7</v>
      </c>
      <c r="N2321" t="b">
        <v>0</v>
      </c>
    </row>
    <row r="2322" spans="1:14" x14ac:dyDescent="0.3">
      <c r="A2322" t="s">
        <v>33</v>
      </c>
      <c r="B2322" t="s">
        <v>11</v>
      </c>
      <c r="C2322">
        <v>15</v>
      </c>
      <c r="E2322" t="s">
        <v>122</v>
      </c>
      <c r="G2322">
        <v>1</v>
      </c>
      <c r="H2322">
        <v>0.1</v>
      </c>
      <c r="I2322" t="s">
        <v>46</v>
      </c>
      <c r="J2322">
        <v>4200000</v>
      </c>
      <c r="K2322">
        <v>420000</v>
      </c>
      <c r="L2322" t="s">
        <v>11</v>
      </c>
      <c r="M2322" t="s">
        <v>7</v>
      </c>
      <c r="N2322" t="b">
        <v>0</v>
      </c>
    </row>
    <row r="2323" spans="1:14" x14ac:dyDescent="0.3">
      <c r="A2323" t="s">
        <v>33</v>
      </c>
      <c r="B2323" t="s">
        <v>11</v>
      </c>
      <c r="C2323">
        <v>16</v>
      </c>
      <c r="E2323" t="s">
        <v>123</v>
      </c>
      <c r="G2323">
        <v>1</v>
      </c>
      <c r="H2323">
        <v>0.3</v>
      </c>
      <c r="I2323" t="s">
        <v>97</v>
      </c>
      <c r="K2323">
        <v>0</v>
      </c>
      <c r="L2323" t="s">
        <v>11</v>
      </c>
      <c r="M2323" t="s">
        <v>7</v>
      </c>
      <c r="N2323" t="b">
        <v>0</v>
      </c>
    </row>
    <row r="2324" spans="1:14" x14ac:dyDescent="0.3">
      <c r="A2324" t="s">
        <v>33</v>
      </c>
      <c r="B2324" t="s">
        <v>11</v>
      </c>
      <c r="C2324">
        <v>17</v>
      </c>
      <c r="E2324" t="s">
        <v>124</v>
      </c>
      <c r="G2324">
        <v>1</v>
      </c>
      <c r="H2324">
        <v>0.15</v>
      </c>
      <c r="I2324" t="s">
        <v>97</v>
      </c>
      <c r="K2324">
        <v>0</v>
      </c>
      <c r="L2324" t="s">
        <v>11</v>
      </c>
      <c r="M2324" t="s">
        <v>7</v>
      </c>
      <c r="N2324" t="b">
        <v>0</v>
      </c>
    </row>
    <row r="2325" spans="1:14" x14ac:dyDescent="0.3">
      <c r="A2325" t="s">
        <v>33</v>
      </c>
      <c r="B2325" t="s">
        <v>11</v>
      </c>
      <c r="C2325">
        <v>18</v>
      </c>
      <c r="E2325" t="s">
        <v>125</v>
      </c>
      <c r="G2325">
        <v>1</v>
      </c>
      <c r="I2325" t="s">
        <v>61</v>
      </c>
      <c r="K2325">
        <v>0</v>
      </c>
      <c r="L2325" t="s">
        <v>11</v>
      </c>
      <c r="M2325" t="s">
        <v>7</v>
      </c>
      <c r="N2325" t="b">
        <v>0</v>
      </c>
    </row>
    <row r="2326" spans="1:14" x14ac:dyDescent="0.3">
      <c r="A2326" t="s">
        <v>33</v>
      </c>
      <c r="B2326" t="s">
        <v>11</v>
      </c>
      <c r="C2326">
        <v>19</v>
      </c>
      <c r="E2326" t="s">
        <v>126</v>
      </c>
      <c r="G2326">
        <v>1</v>
      </c>
      <c r="I2326" t="s">
        <v>61</v>
      </c>
      <c r="K2326">
        <v>0</v>
      </c>
      <c r="L2326" t="s">
        <v>11</v>
      </c>
      <c r="M2326" t="s">
        <v>7</v>
      </c>
      <c r="N2326" t="b">
        <v>0</v>
      </c>
    </row>
    <row r="2327" spans="1:14" x14ac:dyDescent="0.3">
      <c r="A2327" t="s">
        <v>33</v>
      </c>
      <c r="B2327" t="s">
        <v>11</v>
      </c>
      <c r="C2327">
        <v>20</v>
      </c>
      <c r="E2327" t="s">
        <v>127</v>
      </c>
      <c r="G2327">
        <v>1</v>
      </c>
      <c r="I2327" t="s">
        <v>61</v>
      </c>
      <c r="K2327">
        <v>0</v>
      </c>
      <c r="L2327" t="s">
        <v>11</v>
      </c>
      <c r="M2327" t="s">
        <v>7</v>
      </c>
      <c r="N2327" t="b">
        <v>0</v>
      </c>
    </row>
    <row r="2328" spans="1:14" x14ac:dyDescent="0.3">
      <c r="A2328" t="s">
        <v>33</v>
      </c>
      <c r="B2328" t="s">
        <v>11</v>
      </c>
      <c r="C2328">
        <v>21</v>
      </c>
      <c r="E2328" t="s">
        <v>128</v>
      </c>
      <c r="G2328">
        <v>1</v>
      </c>
      <c r="H2328">
        <v>1</v>
      </c>
      <c r="I2328" t="s">
        <v>61</v>
      </c>
      <c r="J2328">
        <v>74000000</v>
      </c>
      <c r="K2328">
        <v>74000000</v>
      </c>
      <c r="L2328" t="s">
        <v>11</v>
      </c>
      <c r="M2328" t="s">
        <v>7</v>
      </c>
      <c r="N2328" t="b">
        <v>0</v>
      </c>
    </row>
    <row r="2329" spans="1:14" x14ac:dyDescent="0.3">
      <c r="A2329" t="s">
        <v>33</v>
      </c>
      <c r="B2329" t="s">
        <v>11</v>
      </c>
      <c r="C2329">
        <v>7</v>
      </c>
      <c r="E2329" t="s">
        <v>101</v>
      </c>
      <c r="H2329">
        <v>5</v>
      </c>
      <c r="I2329" t="s">
        <v>102</v>
      </c>
      <c r="J2329">
        <v>13000000</v>
      </c>
      <c r="K2329">
        <v>65000000</v>
      </c>
      <c r="L2329" t="s">
        <v>11</v>
      </c>
      <c r="M2329" t="s">
        <v>7</v>
      </c>
      <c r="N2329" t="b">
        <v>0</v>
      </c>
    </row>
    <row r="2330" spans="1:14" x14ac:dyDescent="0.3">
      <c r="A2330" t="s">
        <v>33</v>
      </c>
      <c r="B2330" t="s">
        <v>11</v>
      </c>
      <c r="C2330">
        <v>8</v>
      </c>
      <c r="E2330" t="s">
        <v>107</v>
      </c>
      <c r="H2330">
        <v>0</v>
      </c>
      <c r="I2330" t="s">
        <v>108</v>
      </c>
      <c r="K2330">
        <v>0</v>
      </c>
      <c r="L2330" t="s">
        <v>11</v>
      </c>
      <c r="M2330" t="s">
        <v>7</v>
      </c>
      <c r="N2330" t="b">
        <v>0</v>
      </c>
    </row>
    <row r="2331" spans="1:14" x14ac:dyDescent="0.3">
      <c r="A2331" t="s">
        <v>33</v>
      </c>
      <c r="B2331" t="s">
        <v>12</v>
      </c>
      <c r="C2331">
        <v>1</v>
      </c>
      <c r="D2331" t="s">
        <v>129</v>
      </c>
      <c r="E2331" t="s">
        <v>130</v>
      </c>
      <c r="G2331">
        <v>1</v>
      </c>
      <c r="H2331">
        <v>4</v>
      </c>
      <c r="I2331" t="s">
        <v>131</v>
      </c>
      <c r="J2331">
        <v>17250000</v>
      </c>
      <c r="K2331">
        <v>69000000</v>
      </c>
      <c r="L2331" t="s">
        <v>12</v>
      </c>
      <c r="M2331" t="s">
        <v>7</v>
      </c>
      <c r="N2331" t="b">
        <v>0</v>
      </c>
    </row>
    <row r="2332" spans="1:14" x14ac:dyDescent="0.3">
      <c r="A2332" t="s">
        <v>33</v>
      </c>
      <c r="B2332" t="s">
        <v>12</v>
      </c>
      <c r="D2332" t="s">
        <v>58</v>
      </c>
      <c r="E2332" t="s">
        <v>60</v>
      </c>
      <c r="G2332">
        <v>0</v>
      </c>
      <c r="H2332">
        <v>4</v>
      </c>
      <c r="I2332" t="s">
        <v>46</v>
      </c>
      <c r="J2332">
        <v>3600000</v>
      </c>
      <c r="K2332">
        <v>14400000</v>
      </c>
      <c r="L2332" t="s">
        <v>12</v>
      </c>
      <c r="M2332" t="s">
        <v>7</v>
      </c>
      <c r="N2332" t="b">
        <v>0</v>
      </c>
    </row>
    <row r="2333" spans="1:14" x14ac:dyDescent="0.3">
      <c r="A2333" t="s">
        <v>33</v>
      </c>
      <c r="B2333" t="s">
        <v>12</v>
      </c>
      <c r="C2333">
        <v>3</v>
      </c>
      <c r="E2333" t="s">
        <v>132</v>
      </c>
      <c r="G2333">
        <v>16</v>
      </c>
      <c r="I2333" t="s">
        <v>61</v>
      </c>
      <c r="J2333">
        <v>50000</v>
      </c>
      <c r="K2333">
        <v>800000</v>
      </c>
      <c r="L2333" t="s">
        <v>12</v>
      </c>
      <c r="M2333" t="s">
        <v>7</v>
      </c>
      <c r="N2333" t="b">
        <v>0</v>
      </c>
    </row>
    <row r="2334" spans="1:14" x14ac:dyDescent="0.3">
      <c r="A2334" t="s">
        <v>33</v>
      </c>
      <c r="B2334" t="s">
        <v>12</v>
      </c>
      <c r="C2334">
        <v>4</v>
      </c>
      <c r="E2334" t="s">
        <v>133</v>
      </c>
      <c r="G2334">
        <v>16</v>
      </c>
      <c r="I2334" t="s">
        <v>61</v>
      </c>
      <c r="J2334">
        <v>15000</v>
      </c>
      <c r="K2334">
        <v>240000</v>
      </c>
      <c r="L2334" t="s">
        <v>12</v>
      </c>
      <c r="M2334" t="s">
        <v>7</v>
      </c>
      <c r="N2334" t="b">
        <v>0</v>
      </c>
    </row>
    <row r="2335" spans="1:14" x14ac:dyDescent="0.3">
      <c r="A2335" t="s">
        <v>33</v>
      </c>
      <c r="B2335" t="s">
        <v>12</v>
      </c>
      <c r="C2335">
        <v>5</v>
      </c>
      <c r="E2335" t="s">
        <v>134</v>
      </c>
      <c r="G2335">
        <v>32</v>
      </c>
      <c r="I2335" t="s">
        <v>61</v>
      </c>
      <c r="J2335">
        <v>5000</v>
      </c>
      <c r="K2335">
        <v>160000</v>
      </c>
      <c r="L2335" t="s">
        <v>12</v>
      </c>
      <c r="M2335" t="s">
        <v>7</v>
      </c>
      <c r="N2335" t="b">
        <v>0</v>
      </c>
    </row>
    <row r="2336" spans="1:14" x14ac:dyDescent="0.3">
      <c r="A2336" t="s">
        <v>33</v>
      </c>
      <c r="B2336" t="s">
        <v>12</v>
      </c>
      <c r="C2336">
        <v>6</v>
      </c>
      <c r="E2336" t="s">
        <v>135</v>
      </c>
      <c r="G2336">
        <v>16</v>
      </c>
      <c r="I2336" t="s">
        <v>61</v>
      </c>
      <c r="J2336">
        <v>5000</v>
      </c>
      <c r="K2336">
        <v>80000</v>
      </c>
      <c r="L2336" t="s">
        <v>12</v>
      </c>
      <c r="M2336" t="s">
        <v>7</v>
      </c>
      <c r="N2336" t="b">
        <v>0</v>
      </c>
    </row>
    <row r="2337" spans="1:14" x14ac:dyDescent="0.3">
      <c r="A2337" t="s">
        <v>33</v>
      </c>
      <c r="B2337" t="s">
        <v>12</v>
      </c>
      <c r="C2337">
        <v>7</v>
      </c>
      <c r="E2337" t="s">
        <v>101</v>
      </c>
      <c r="H2337">
        <v>1</v>
      </c>
      <c r="I2337" t="s">
        <v>102</v>
      </c>
      <c r="J2337">
        <v>13000000</v>
      </c>
      <c r="K2337">
        <v>13000000</v>
      </c>
      <c r="L2337" t="s">
        <v>12</v>
      </c>
      <c r="M2337" t="s">
        <v>7</v>
      </c>
      <c r="N2337" t="b">
        <v>0</v>
      </c>
    </row>
    <row r="2338" spans="1:14" x14ac:dyDescent="0.3">
      <c r="A2338" t="s">
        <v>33</v>
      </c>
      <c r="B2338" t="s">
        <v>12</v>
      </c>
      <c r="C2338">
        <v>8</v>
      </c>
      <c r="E2338" t="s">
        <v>107</v>
      </c>
      <c r="H2338">
        <v>0</v>
      </c>
      <c r="I2338" t="s">
        <v>108</v>
      </c>
      <c r="K2338">
        <v>0</v>
      </c>
      <c r="L2338" t="s">
        <v>12</v>
      </c>
      <c r="M2338" t="s">
        <v>7</v>
      </c>
      <c r="N2338" t="b">
        <v>0</v>
      </c>
    </row>
    <row r="2339" spans="1:14" x14ac:dyDescent="0.3">
      <c r="A2339" t="s">
        <v>33</v>
      </c>
      <c r="B2339" t="s">
        <v>13</v>
      </c>
      <c r="C2339">
        <v>1</v>
      </c>
      <c r="D2339" t="s">
        <v>73</v>
      </c>
      <c r="E2339" t="s">
        <v>136</v>
      </c>
      <c r="G2339">
        <v>1</v>
      </c>
      <c r="H2339">
        <v>4</v>
      </c>
      <c r="I2339" t="s">
        <v>46</v>
      </c>
      <c r="J2339">
        <v>8500000</v>
      </c>
      <c r="K2339">
        <v>34000000</v>
      </c>
      <c r="L2339" t="s">
        <v>13</v>
      </c>
      <c r="M2339" t="s">
        <v>7</v>
      </c>
      <c r="N2339" t="b">
        <v>0</v>
      </c>
    </row>
    <row r="2340" spans="1:14" x14ac:dyDescent="0.3">
      <c r="A2340" t="s">
        <v>33</v>
      </c>
      <c r="B2340" t="s">
        <v>13</v>
      </c>
      <c r="D2340" t="s">
        <v>58</v>
      </c>
      <c r="E2340" t="s">
        <v>60</v>
      </c>
      <c r="G2340">
        <v>0</v>
      </c>
      <c r="H2340">
        <v>4</v>
      </c>
      <c r="I2340" t="s">
        <v>46</v>
      </c>
      <c r="J2340">
        <v>3600000</v>
      </c>
      <c r="K2340">
        <v>14400000</v>
      </c>
      <c r="L2340" t="s">
        <v>13</v>
      </c>
      <c r="M2340" t="s">
        <v>7</v>
      </c>
      <c r="N2340" t="b">
        <v>0</v>
      </c>
    </row>
    <row r="2341" spans="1:14" x14ac:dyDescent="0.3">
      <c r="A2341" t="s">
        <v>33</v>
      </c>
      <c r="B2341" t="s">
        <v>13</v>
      </c>
      <c r="C2341">
        <v>3</v>
      </c>
      <c r="E2341" t="s">
        <v>132</v>
      </c>
      <c r="G2341">
        <v>4</v>
      </c>
      <c r="I2341" t="s">
        <v>61</v>
      </c>
      <c r="J2341">
        <v>50000</v>
      </c>
      <c r="K2341">
        <v>200000</v>
      </c>
      <c r="L2341" t="s">
        <v>13</v>
      </c>
      <c r="M2341" t="s">
        <v>7</v>
      </c>
      <c r="N2341" t="b">
        <v>0</v>
      </c>
    </row>
    <row r="2342" spans="1:14" x14ac:dyDescent="0.3">
      <c r="A2342" t="s">
        <v>33</v>
      </c>
      <c r="B2342" t="s">
        <v>13</v>
      </c>
      <c r="C2342">
        <v>4</v>
      </c>
      <c r="E2342" t="s">
        <v>133</v>
      </c>
      <c r="G2342">
        <v>4</v>
      </c>
      <c r="I2342" t="s">
        <v>61</v>
      </c>
      <c r="J2342">
        <v>15000</v>
      </c>
      <c r="K2342">
        <v>60000</v>
      </c>
      <c r="L2342" t="s">
        <v>13</v>
      </c>
      <c r="M2342" t="s">
        <v>7</v>
      </c>
      <c r="N2342" t="b">
        <v>0</v>
      </c>
    </row>
    <row r="2343" spans="1:14" x14ac:dyDescent="0.3">
      <c r="A2343" t="s">
        <v>33</v>
      </c>
      <c r="B2343" t="s">
        <v>13</v>
      </c>
      <c r="C2343">
        <v>5</v>
      </c>
      <c r="E2343" t="s">
        <v>134</v>
      </c>
      <c r="G2343">
        <v>8</v>
      </c>
      <c r="I2343" t="s">
        <v>61</v>
      </c>
      <c r="J2343">
        <v>5000</v>
      </c>
      <c r="K2343">
        <v>40000</v>
      </c>
      <c r="L2343" t="s">
        <v>13</v>
      </c>
      <c r="M2343" t="s">
        <v>7</v>
      </c>
      <c r="N2343" t="b">
        <v>0</v>
      </c>
    </row>
    <row r="2344" spans="1:14" x14ac:dyDescent="0.3">
      <c r="A2344" t="s">
        <v>33</v>
      </c>
      <c r="B2344" t="s">
        <v>13</v>
      </c>
      <c r="C2344">
        <v>6</v>
      </c>
      <c r="E2344" t="s">
        <v>135</v>
      </c>
      <c r="G2344">
        <v>4</v>
      </c>
      <c r="I2344" t="s">
        <v>61</v>
      </c>
      <c r="J2344">
        <v>5000</v>
      </c>
      <c r="K2344">
        <v>20000</v>
      </c>
      <c r="L2344" t="s">
        <v>13</v>
      </c>
      <c r="M2344" t="s">
        <v>7</v>
      </c>
      <c r="N2344" t="b">
        <v>0</v>
      </c>
    </row>
    <row r="2345" spans="1:14" x14ac:dyDescent="0.3">
      <c r="A2345" t="s">
        <v>33</v>
      </c>
      <c r="B2345" t="s">
        <v>13</v>
      </c>
      <c r="C2345">
        <v>7</v>
      </c>
      <c r="E2345" t="s">
        <v>101</v>
      </c>
      <c r="H2345">
        <v>5</v>
      </c>
      <c r="I2345" t="s">
        <v>102</v>
      </c>
      <c r="J2345">
        <v>13000000</v>
      </c>
      <c r="K2345">
        <v>65000000</v>
      </c>
      <c r="L2345" t="s">
        <v>13</v>
      </c>
      <c r="M2345" t="s">
        <v>7</v>
      </c>
      <c r="N2345" t="b">
        <v>0</v>
      </c>
    </row>
    <row r="2346" spans="1:14" x14ac:dyDescent="0.3">
      <c r="A2346" t="s">
        <v>33</v>
      </c>
      <c r="B2346" t="s">
        <v>13</v>
      </c>
      <c r="C2346">
        <v>8</v>
      </c>
      <c r="E2346" t="s">
        <v>107</v>
      </c>
      <c r="H2346">
        <v>0</v>
      </c>
      <c r="I2346" t="s">
        <v>108</v>
      </c>
      <c r="K2346">
        <v>0</v>
      </c>
      <c r="L2346" t="s">
        <v>13</v>
      </c>
      <c r="M2346" t="s">
        <v>7</v>
      </c>
      <c r="N2346" t="b">
        <v>0</v>
      </c>
    </row>
    <row r="2347" spans="1:14" x14ac:dyDescent="0.3">
      <c r="A2347" t="s">
        <v>33</v>
      </c>
      <c r="B2347" t="s">
        <v>14</v>
      </c>
      <c r="C2347">
        <v>1</v>
      </c>
      <c r="D2347" t="s">
        <v>73</v>
      </c>
      <c r="E2347" t="s">
        <v>137</v>
      </c>
      <c r="G2347">
        <v>1</v>
      </c>
      <c r="H2347">
        <v>4</v>
      </c>
      <c r="I2347" t="s">
        <v>46</v>
      </c>
      <c r="J2347">
        <v>8500000</v>
      </c>
      <c r="K2347">
        <v>34000000</v>
      </c>
      <c r="L2347" t="s">
        <v>14</v>
      </c>
      <c r="M2347" t="s">
        <v>7</v>
      </c>
      <c r="N2347" t="b">
        <v>0</v>
      </c>
    </row>
    <row r="2348" spans="1:14" x14ac:dyDescent="0.3">
      <c r="A2348" t="s">
        <v>33</v>
      </c>
      <c r="B2348" t="s">
        <v>14</v>
      </c>
      <c r="D2348" t="s">
        <v>58</v>
      </c>
      <c r="E2348" t="s">
        <v>60</v>
      </c>
      <c r="G2348">
        <v>0</v>
      </c>
      <c r="H2348">
        <v>4</v>
      </c>
      <c r="I2348" t="s">
        <v>46</v>
      </c>
      <c r="J2348">
        <v>3600000</v>
      </c>
      <c r="K2348">
        <v>14400000</v>
      </c>
      <c r="L2348" t="s">
        <v>14</v>
      </c>
      <c r="M2348" t="s">
        <v>7</v>
      </c>
      <c r="N2348" t="b">
        <v>0</v>
      </c>
    </row>
    <row r="2349" spans="1:14" x14ac:dyDescent="0.3">
      <c r="A2349" t="s">
        <v>33</v>
      </c>
      <c r="B2349" t="s">
        <v>14</v>
      </c>
      <c r="C2349">
        <v>3</v>
      </c>
      <c r="E2349" t="s">
        <v>132</v>
      </c>
      <c r="G2349">
        <v>16</v>
      </c>
      <c r="I2349" t="s">
        <v>61</v>
      </c>
      <c r="J2349">
        <v>50000</v>
      </c>
      <c r="K2349">
        <v>800000</v>
      </c>
      <c r="L2349" t="s">
        <v>14</v>
      </c>
      <c r="M2349" t="s">
        <v>7</v>
      </c>
      <c r="N2349" t="b">
        <v>0</v>
      </c>
    </row>
    <row r="2350" spans="1:14" x14ac:dyDescent="0.3">
      <c r="A2350" t="s">
        <v>33</v>
      </c>
      <c r="B2350" t="s">
        <v>14</v>
      </c>
      <c r="C2350">
        <v>4</v>
      </c>
      <c r="E2350" t="s">
        <v>133</v>
      </c>
      <c r="G2350">
        <v>16</v>
      </c>
      <c r="I2350" t="s">
        <v>61</v>
      </c>
      <c r="J2350">
        <v>15000</v>
      </c>
      <c r="K2350">
        <v>240000</v>
      </c>
      <c r="L2350" t="s">
        <v>14</v>
      </c>
      <c r="M2350" t="s">
        <v>7</v>
      </c>
      <c r="N2350" t="b">
        <v>0</v>
      </c>
    </row>
    <row r="2351" spans="1:14" x14ac:dyDescent="0.3">
      <c r="A2351" t="s">
        <v>33</v>
      </c>
      <c r="B2351" t="s">
        <v>14</v>
      </c>
      <c r="C2351">
        <v>5</v>
      </c>
      <c r="E2351" t="s">
        <v>134</v>
      </c>
      <c r="G2351">
        <v>32</v>
      </c>
      <c r="I2351" t="s">
        <v>61</v>
      </c>
      <c r="J2351">
        <v>5000</v>
      </c>
      <c r="K2351">
        <v>160000</v>
      </c>
      <c r="L2351" t="s">
        <v>14</v>
      </c>
      <c r="M2351" t="s">
        <v>7</v>
      </c>
      <c r="N2351" t="b">
        <v>0</v>
      </c>
    </row>
    <row r="2352" spans="1:14" x14ac:dyDescent="0.3">
      <c r="A2352" t="s">
        <v>33</v>
      </c>
      <c r="B2352" t="s">
        <v>14</v>
      </c>
      <c r="C2352">
        <v>6</v>
      </c>
      <c r="E2352" t="s">
        <v>135</v>
      </c>
      <c r="G2352">
        <v>16</v>
      </c>
      <c r="I2352" t="s">
        <v>61</v>
      </c>
      <c r="J2352">
        <v>5000</v>
      </c>
      <c r="K2352">
        <v>80000</v>
      </c>
      <c r="L2352" t="s">
        <v>14</v>
      </c>
      <c r="M2352" t="s">
        <v>7</v>
      </c>
      <c r="N2352" t="b">
        <v>0</v>
      </c>
    </row>
    <row r="2353" spans="1:14" x14ac:dyDescent="0.3">
      <c r="A2353" t="s">
        <v>33</v>
      </c>
      <c r="B2353" t="s">
        <v>14</v>
      </c>
      <c r="C2353">
        <v>7</v>
      </c>
      <c r="E2353" t="s">
        <v>101</v>
      </c>
      <c r="H2353">
        <v>5</v>
      </c>
      <c r="I2353" t="s">
        <v>102</v>
      </c>
      <c r="J2353">
        <v>13000000</v>
      </c>
      <c r="K2353">
        <v>65000000</v>
      </c>
      <c r="L2353" t="s">
        <v>14</v>
      </c>
      <c r="M2353" t="s">
        <v>7</v>
      </c>
      <c r="N2353" t="b">
        <v>0</v>
      </c>
    </row>
    <row r="2354" spans="1:14" x14ac:dyDescent="0.3">
      <c r="A2354" t="s">
        <v>33</v>
      </c>
      <c r="B2354" t="s">
        <v>14</v>
      </c>
      <c r="C2354">
        <v>8</v>
      </c>
      <c r="E2354" t="s">
        <v>107</v>
      </c>
      <c r="H2354">
        <v>0</v>
      </c>
      <c r="I2354" t="s">
        <v>108</v>
      </c>
      <c r="K2354">
        <v>0</v>
      </c>
      <c r="L2354" t="s">
        <v>14</v>
      </c>
      <c r="M2354" t="s">
        <v>7</v>
      </c>
      <c r="N2354" t="b">
        <v>0</v>
      </c>
    </row>
    <row r="2355" spans="1:14" x14ac:dyDescent="0.3">
      <c r="A2355" t="s">
        <v>33</v>
      </c>
      <c r="B2355" t="s">
        <v>15</v>
      </c>
      <c r="C2355">
        <v>1</v>
      </c>
      <c r="D2355" t="s">
        <v>75</v>
      </c>
      <c r="E2355" t="s">
        <v>138</v>
      </c>
      <c r="G2355">
        <v>1</v>
      </c>
      <c r="H2355">
        <v>25</v>
      </c>
      <c r="I2355" t="s">
        <v>46</v>
      </c>
      <c r="J2355">
        <v>5200000</v>
      </c>
      <c r="K2355">
        <v>130000000</v>
      </c>
      <c r="L2355" t="s">
        <v>15</v>
      </c>
      <c r="M2355" t="s">
        <v>7</v>
      </c>
      <c r="N2355" t="b">
        <v>0</v>
      </c>
    </row>
    <row r="2356" spans="1:14" x14ac:dyDescent="0.3">
      <c r="A2356" t="s">
        <v>33</v>
      </c>
      <c r="B2356" t="s">
        <v>15</v>
      </c>
      <c r="D2356" t="s">
        <v>75</v>
      </c>
      <c r="E2356" t="s">
        <v>139</v>
      </c>
      <c r="G2356">
        <v>1</v>
      </c>
      <c r="I2356" t="s">
        <v>46</v>
      </c>
      <c r="K2356">
        <v>0</v>
      </c>
      <c r="L2356" t="s">
        <v>15</v>
      </c>
      <c r="M2356" t="s">
        <v>7</v>
      </c>
      <c r="N2356" t="b">
        <v>0</v>
      </c>
    </row>
    <row r="2357" spans="1:14" x14ac:dyDescent="0.3">
      <c r="A2357" t="s">
        <v>33</v>
      </c>
      <c r="B2357" t="s">
        <v>15</v>
      </c>
      <c r="C2357">
        <v>3</v>
      </c>
      <c r="E2357" t="s">
        <v>140</v>
      </c>
      <c r="G2357">
        <v>32</v>
      </c>
      <c r="I2357" t="s">
        <v>61</v>
      </c>
      <c r="J2357">
        <v>10000</v>
      </c>
      <c r="K2357">
        <v>320000</v>
      </c>
      <c r="L2357" t="s">
        <v>15</v>
      </c>
      <c r="M2357" t="s">
        <v>7</v>
      </c>
      <c r="N2357" t="b">
        <v>0</v>
      </c>
    </row>
    <row r="2358" spans="1:14" x14ac:dyDescent="0.3">
      <c r="A2358" t="s">
        <v>33</v>
      </c>
      <c r="B2358" t="s">
        <v>15</v>
      </c>
      <c r="C2358">
        <v>4</v>
      </c>
      <c r="E2358" t="s">
        <v>69</v>
      </c>
      <c r="G2358">
        <v>32</v>
      </c>
      <c r="I2358" t="s">
        <v>61</v>
      </c>
      <c r="J2358">
        <v>60000</v>
      </c>
      <c r="K2358">
        <v>1920000</v>
      </c>
      <c r="L2358" t="s">
        <v>15</v>
      </c>
      <c r="M2358" t="s">
        <v>7</v>
      </c>
      <c r="N2358" t="b">
        <v>0</v>
      </c>
    </row>
    <row r="2359" spans="1:14" x14ac:dyDescent="0.3">
      <c r="A2359" t="s">
        <v>33</v>
      </c>
      <c r="B2359" t="s">
        <v>15</v>
      </c>
      <c r="C2359">
        <v>5</v>
      </c>
      <c r="E2359" t="s">
        <v>141</v>
      </c>
      <c r="G2359">
        <v>32</v>
      </c>
      <c r="I2359" t="s">
        <v>61</v>
      </c>
      <c r="J2359">
        <v>60000</v>
      </c>
      <c r="K2359">
        <v>1920000</v>
      </c>
      <c r="L2359" t="s">
        <v>15</v>
      </c>
      <c r="M2359" t="s">
        <v>7</v>
      </c>
      <c r="N2359" t="b">
        <v>0</v>
      </c>
    </row>
    <row r="2360" spans="1:14" x14ac:dyDescent="0.3">
      <c r="A2360" t="s">
        <v>33</v>
      </c>
      <c r="B2360" t="s">
        <v>15</v>
      </c>
      <c r="C2360">
        <v>6</v>
      </c>
      <c r="E2360" t="s">
        <v>140</v>
      </c>
      <c r="G2360">
        <v>12</v>
      </c>
      <c r="I2360" t="s">
        <v>61</v>
      </c>
      <c r="J2360">
        <v>10000</v>
      </c>
      <c r="K2360">
        <v>120000</v>
      </c>
      <c r="L2360" t="s">
        <v>15</v>
      </c>
      <c r="M2360" t="s">
        <v>7</v>
      </c>
      <c r="N2360" t="b">
        <v>0</v>
      </c>
    </row>
    <row r="2361" spans="1:14" x14ac:dyDescent="0.3">
      <c r="A2361" t="s">
        <v>33</v>
      </c>
      <c r="B2361" t="s">
        <v>15</v>
      </c>
      <c r="C2361">
        <v>7</v>
      </c>
      <c r="E2361" t="s">
        <v>142</v>
      </c>
      <c r="G2361">
        <v>12</v>
      </c>
      <c r="I2361" t="s">
        <v>61</v>
      </c>
      <c r="J2361">
        <v>10000</v>
      </c>
      <c r="K2361">
        <v>120000</v>
      </c>
      <c r="L2361" t="s">
        <v>15</v>
      </c>
      <c r="M2361" t="s">
        <v>7</v>
      </c>
      <c r="N2361" t="b">
        <v>0</v>
      </c>
    </row>
    <row r="2362" spans="1:14" x14ac:dyDescent="0.3">
      <c r="A2362" t="s">
        <v>33</v>
      </c>
      <c r="B2362" t="s">
        <v>15</v>
      </c>
      <c r="C2362">
        <v>8</v>
      </c>
      <c r="E2362" t="s">
        <v>114</v>
      </c>
      <c r="G2362">
        <v>12</v>
      </c>
      <c r="I2362" t="s">
        <v>61</v>
      </c>
      <c r="J2362">
        <v>60000</v>
      </c>
      <c r="K2362">
        <v>720000</v>
      </c>
      <c r="L2362" t="s">
        <v>15</v>
      </c>
      <c r="M2362" t="s">
        <v>7</v>
      </c>
      <c r="N2362" t="b">
        <v>0</v>
      </c>
    </row>
    <row r="2363" spans="1:14" x14ac:dyDescent="0.3">
      <c r="A2363" t="s">
        <v>33</v>
      </c>
      <c r="B2363" t="s">
        <v>15</v>
      </c>
      <c r="C2363">
        <v>9</v>
      </c>
      <c r="E2363" t="s">
        <v>143</v>
      </c>
      <c r="G2363">
        <v>32</v>
      </c>
      <c r="I2363" t="s">
        <v>61</v>
      </c>
      <c r="J2363">
        <v>10000</v>
      </c>
      <c r="K2363">
        <v>320000</v>
      </c>
      <c r="L2363" t="s">
        <v>15</v>
      </c>
      <c r="M2363" t="s">
        <v>7</v>
      </c>
      <c r="N2363" t="b">
        <v>0</v>
      </c>
    </row>
    <row r="2364" spans="1:14" x14ac:dyDescent="0.3">
      <c r="A2364" t="s">
        <v>33</v>
      </c>
      <c r="B2364" t="s">
        <v>15</v>
      </c>
      <c r="C2364">
        <v>10</v>
      </c>
      <c r="E2364" t="s">
        <v>57</v>
      </c>
      <c r="G2364">
        <v>25</v>
      </c>
      <c r="I2364" t="s">
        <v>46</v>
      </c>
      <c r="J2364">
        <v>1430000</v>
      </c>
      <c r="K2364">
        <v>35750000</v>
      </c>
      <c r="L2364" t="s">
        <v>15</v>
      </c>
      <c r="M2364" t="s">
        <v>7</v>
      </c>
      <c r="N2364" t="b">
        <v>0</v>
      </c>
    </row>
    <row r="2365" spans="1:14" x14ac:dyDescent="0.3">
      <c r="A2365" t="s">
        <v>33</v>
      </c>
      <c r="B2365" t="s">
        <v>15</v>
      </c>
      <c r="E2365" t="s">
        <v>96</v>
      </c>
      <c r="G2365">
        <v>1</v>
      </c>
      <c r="H2365">
        <v>6</v>
      </c>
      <c r="I2365" t="s">
        <v>97</v>
      </c>
      <c r="J2365">
        <v>460000</v>
      </c>
      <c r="K2365">
        <v>2760000</v>
      </c>
      <c r="L2365" t="s">
        <v>15</v>
      </c>
      <c r="M2365" t="s">
        <v>7</v>
      </c>
      <c r="N2365" t="b">
        <v>0</v>
      </c>
    </row>
    <row r="2366" spans="1:14" x14ac:dyDescent="0.3">
      <c r="A2366" t="s">
        <v>33</v>
      </c>
      <c r="B2366" t="s">
        <v>15</v>
      </c>
      <c r="C2366">
        <v>11</v>
      </c>
      <c r="E2366" t="s">
        <v>101</v>
      </c>
      <c r="H2366">
        <v>5</v>
      </c>
      <c r="I2366" t="s">
        <v>102</v>
      </c>
      <c r="J2366">
        <v>13000000</v>
      </c>
      <c r="K2366">
        <v>65000000</v>
      </c>
      <c r="L2366" t="s">
        <v>15</v>
      </c>
      <c r="M2366" t="s">
        <v>7</v>
      </c>
      <c r="N2366" t="b">
        <v>0</v>
      </c>
    </row>
    <row r="2367" spans="1:14" x14ac:dyDescent="0.3">
      <c r="A2367" t="s">
        <v>33</v>
      </c>
      <c r="B2367" t="s">
        <v>15</v>
      </c>
      <c r="C2367">
        <v>12</v>
      </c>
      <c r="E2367" t="s">
        <v>107</v>
      </c>
      <c r="H2367">
        <v>0</v>
      </c>
      <c r="I2367" t="s">
        <v>108</v>
      </c>
      <c r="K2367">
        <v>0</v>
      </c>
      <c r="L2367" t="s">
        <v>15</v>
      </c>
      <c r="M2367" t="s">
        <v>7</v>
      </c>
      <c r="N2367" t="b">
        <v>0</v>
      </c>
    </row>
    <row r="2368" spans="1:14" x14ac:dyDescent="0.3">
      <c r="A2368" t="s">
        <v>33</v>
      </c>
      <c r="B2368" t="s">
        <v>16</v>
      </c>
      <c r="C2368">
        <v>1</v>
      </c>
      <c r="D2368" t="s">
        <v>144</v>
      </c>
      <c r="E2368" t="s">
        <v>145</v>
      </c>
      <c r="F2368" t="s">
        <v>146</v>
      </c>
      <c r="G2368">
        <v>2</v>
      </c>
      <c r="H2368">
        <v>2.8296000000000001</v>
      </c>
      <c r="I2368" t="s">
        <v>46</v>
      </c>
      <c r="J2368">
        <v>800000</v>
      </c>
      <c r="K2368">
        <v>2263680</v>
      </c>
      <c r="L2368" t="s">
        <v>16</v>
      </c>
      <c r="M2368" t="s">
        <v>7</v>
      </c>
      <c r="N2368" t="b">
        <v>0</v>
      </c>
    </row>
    <row r="2369" spans="1:14" x14ac:dyDescent="0.3">
      <c r="A2369" t="s">
        <v>33</v>
      </c>
      <c r="B2369" t="s">
        <v>16</v>
      </c>
      <c r="E2369" t="s">
        <v>147</v>
      </c>
      <c r="F2369" t="s">
        <v>148</v>
      </c>
      <c r="G2369">
        <v>2</v>
      </c>
      <c r="H2369">
        <v>0.94320000000000004</v>
      </c>
      <c r="I2369" t="s">
        <v>46</v>
      </c>
      <c r="J2369">
        <v>800000</v>
      </c>
      <c r="K2369">
        <v>754560</v>
      </c>
      <c r="L2369" t="s">
        <v>16</v>
      </c>
      <c r="M2369" t="s">
        <v>7</v>
      </c>
      <c r="N2369" t="b">
        <v>0</v>
      </c>
    </row>
    <row r="2370" spans="1:14" x14ac:dyDescent="0.3">
      <c r="A2370" t="s">
        <v>33</v>
      </c>
      <c r="B2370" t="s">
        <v>16</v>
      </c>
      <c r="E2370" t="s">
        <v>149</v>
      </c>
      <c r="G2370">
        <v>2</v>
      </c>
      <c r="I2370" t="s">
        <v>61</v>
      </c>
      <c r="J2370">
        <v>5000000</v>
      </c>
      <c r="K2370">
        <v>10000000</v>
      </c>
      <c r="L2370" t="s">
        <v>16</v>
      </c>
      <c r="M2370" t="s">
        <v>7</v>
      </c>
      <c r="N2370" t="b">
        <v>0</v>
      </c>
    </row>
    <row r="2371" spans="1:14" x14ac:dyDescent="0.3">
      <c r="A2371" t="s">
        <v>33</v>
      </c>
      <c r="B2371" t="s">
        <v>16</v>
      </c>
      <c r="C2371">
        <v>2</v>
      </c>
      <c r="E2371" t="s">
        <v>150</v>
      </c>
      <c r="F2371">
        <v>260</v>
      </c>
      <c r="G2371">
        <v>2</v>
      </c>
      <c r="H2371">
        <v>0.52</v>
      </c>
      <c r="I2371" t="s">
        <v>151</v>
      </c>
      <c r="J2371">
        <v>2000000</v>
      </c>
      <c r="K2371">
        <v>1040000</v>
      </c>
      <c r="L2371" t="s">
        <v>16</v>
      </c>
      <c r="M2371" t="s">
        <v>7</v>
      </c>
      <c r="N2371" t="b">
        <v>0</v>
      </c>
    </row>
    <row r="2372" spans="1:14" x14ac:dyDescent="0.3">
      <c r="A2372" t="s">
        <v>33</v>
      </c>
      <c r="B2372" t="s">
        <v>16</v>
      </c>
      <c r="E2372" t="s">
        <v>152</v>
      </c>
      <c r="G2372">
        <v>10</v>
      </c>
      <c r="I2372" t="s">
        <v>61</v>
      </c>
      <c r="J2372">
        <v>200000</v>
      </c>
      <c r="K2372">
        <v>2000000</v>
      </c>
      <c r="L2372" t="s">
        <v>16</v>
      </c>
      <c r="M2372" t="s">
        <v>7</v>
      </c>
      <c r="N2372" t="b">
        <v>0</v>
      </c>
    </row>
    <row r="2373" spans="1:14" x14ac:dyDescent="0.3">
      <c r="A2373" t="s">
        <v>33</v>
      </c>
      <c r="B2373" t="s">
        <v>16</v>
      </c>
      <c r="C2373">
        <v>7</v>
      </c>
      <c r="E2373" t="s">
        <v>153</v>
      </c>
      <c r="G2373">
        <v>4</v>
      </c>
      <c r="H2373">
        <v>4</v>
      </c>
      <c r="I2373" t="s">
        <v>61</v>
      </c>
      <c r="J2373">
        <v>300000</v>
      </c>
      <c r="K2373">
        <v>1200000</v>
      </c>
      <c r="L2373" t="s">
        <v>16</v>
      </c>
      <c r="M2373" t="s">
        <v>7</v>
      </c>
      <c r="N2373" t="b">
        <v>0</v>
      </c>
    </row>
    <row r="2374" spans="1:14" x14ac:dyDescent="0.3">
      <c r="A2374" t="s">
        <v>33</v>
      </c>
      <c r="B2374" t="s">
        <v>16</v>
      </c>
      <c r="C2374">
        <v>8</v>
      </c>
      <c r="E2374" t="s">
        <v>134</v>
      </c>
      <c r="G2374">
        <v>10</v>
      </c>
      <c r="H2374">
        <v>10</v>
      </c>
      <c r="I2374" t="s">
        <v>61</v>
      </c>
      <c r="J2374">
        <v>30000</v>
      </c>
      <c r="K2374">
        <v>300000</v>
      </c>
      <c r="L2374" t="s">
        <v>16</v>
      </c>
      <c r="M2374" t="s">
        <v>7</v>
      </c>
      <c r="N2374" t="b">
        <v>0</v>
      </c>
    </row>
    <row r="2375" spans="1:14" x14ac:dyDescent="0.3">
      <c r="A2375" t="s">
        <v>33</v>
      </c>
      <c r="B2375" t="s">
        <v>16</v>
      </c>
      <c r="C2375">
        <v>9</v>
      </c>
      <c r="E2375" t="s">
        <v>154</v>
      </c>
      <c r="G2375">
        <v>4</v>
      </c>
      <c r="H2375">
        <v>4</v>
      </c>
      <c r="I2375" t="s">
        <v>61</v>
      </c>
      <c r="J2375">
        <v>30000</v>
      </c>
      <c r="K2375">
        <v>120000</v>
      </c>
      <c r="L2375" t="s">
        <v>16</v>
      </c>
      <c r="M2375" t="s">
        <v>7</v>
      </c>
      <c r="N2375" t="b">
        <v>0</v>
      </c>
    </row>
    <row r="2376" spans="1:14" x14ac:dyDescent="0.3">
      <c r="A2376" t="s">
        <v>33</v>
      </c>
      <c r="B2376" t="s">
        <v>16</v>
      </c>
      <c r="C2376">
        <v>12</v>
      </c>
      <c r="E2376" t="s">
        <v>120</v>
      </c>
      <c r="G2376">
        <v>4</v>
      </c>
      <c r="H2376">
        <v>4</v>
      </c>
      <c r="I2376" t="s">
        <v>61</v>
      </c>
      <c r="J2376">
        <v>30000</v>
      </c>
      <c r="K2376">
        <v>120000</v>
      </c>
      <c r="L2376" t="s">
        <v>16</v>
      </c>
      <c r="M2376" t="s">
        <v>7</v>
      </c>
      <c r="N2376" t="b">
        <v>0</v>
      </c>
    </row>
    <row r="2377" spans="1:14" x14ac:dyDescent="0.3">
      <c r="A2377" t="s">
        <v>33</v>
      </c>
      <c r="B2377" t="s">
        <v>16</v>
      </c>
      <c r="C2377">
        <v>13</v>
      </c>
      <c r="E2377" t="s">
        <v>101</v>
      </c>
      <c r="H2377">
        <v>1</v>
      </c>
      <c r="I2377" t="s">
        <v>102</v>
      </c>
      <c r="J2377">
        <v>13000000</v>
      </c>
      <c r="K2377">
        <v>13000000</v>
      </c>
      <c r="L2377" t="s">
        <v>16</v>
      </c>
      <c r="M2377" t="s">
        <v>7</v>
      </c>
      <c r="N2377" t="b">
        <v>0</v>
      </c>
    </row>
    <row r="2378" spans="1:14" x14ac:dyDescent="0.3">
      <c r="A2378" t="s">
        <v>33</v>
      </c>
      <c r="B2378" t="s">
        <v>16</v>
      </c>
      <c r="C2378">
        <v>14</v>
      </c>
      <c r="E2378" t="s">
        <v>107</v>
      </c>
      <c r="H2378">
        <v>0</v>
      </c>
      <c r="I2378" t="s">
        <v>108</v>
      </c>
      <c r="K2378">
        <v>0</v>
      </c>
      <c r="L2378" t="s">
        <v>16</v>
      </c>
      <c r="M2378" t="s">
        <v>7</v>
      </c>
      <c r="N2378" t="b">
        <v>0</v>
      </c>
    </row>
    <row r="2379" spans="1:14" x14ac:dyDescent="0.3">
      <c r="A2379" t="s">
        <v>33</v>
      </c>
      <c r="B2379" t="s">
        <v>16</v>
      </c>
      <c r="E2379" t="s">
        <v>155</v>
      </c>
      <c r="F2379">
        <v>300</v>
      </c>
      <c r="G2379">
        <v>200</v>
      </c>
      <c r="H2379">
        <v>3</v>
      </c>
      <c r="I2379">
        <v>7.86</v>
      </c>
      <c r="K2379">
        <v>1.4148000000000001</v>
      </c>
      <c r="L2379" t="s">
        <v>16</v>
      </c>
      <c r="M2379" t="s">
        <v>7</v>
      </c>
      <c r="N2379" t="b">
        <v>0</v>
      </c>
    </row>
    <row r="2380" spans="1:14" x14ac:dyDescent="0.3">
      <c r="A2380" t="s">
        <v>33</v>
      </c>
      <c r="B2380" t="s">
        <v>16</v>
      </c>
      <c r="E2380" t="s">
        <v>156</v>
      </c>
      <c r="F2380">
        <v>200</v>
      </c>
      <c r="G2380">
        <v>100</v>
      </c>
      <c r="H2380">
        <v>3</v>
      </c>
      <c r="I2380">
        <v>7.86</v>
      </c>
      <c r="K2380">
        <v>0.47160000000000002</v>
      </c>
      <c r="L2380" t="s">
        <v>16</v>
      </c>
      <c r="M2380" t="s">
        <v>7</v>
      </c>
      <c r="N2380" t="b">
        <v>0</v>
      </c>
    </row>
    <row r="2381" spans="1:14" x14ac:dyDescent="0.3">
      <c r="A2381" t="s">
        <v>33</v>
      </c>
      <c r="B2381" t="s">
        <v>17</v>
      </c>
      <c r="C2381">
        <v>1</v>
      </c>
      <c r="D2381" t="s">
        <v>75</v>
      </c>
      <c r="E2381" t="s">
        <v>157</v>
      </c>
      <c r="G2381">
        <v>1</v>
      </c>
      <c r="H2381">
        <v>1.6485000000000001</v>
      </c>
      <c r="I2381" t="s">
        <v>46</v>
      </c>
      <c r="J2381">
        <v>700000</v>
      </c>
      <c r="K2381">
        <v>1153950</v>
      </c>
      <c r="L2381" t="s">
        <v>17</v>
      </c>
      <c r="M2381" t="s">
        <v>7</v>
      </c>
      <c r="N2381" t="b">
        <v>0</v>
      </c>
    </row>
    <row r="2382" spans="1:14" x14ac:dyDescent="0.3">
      <c r="A2382" t="s">
        <v>33</v>
      </c>
      <c r="B2382" t="s">
        <v>17</v>
      </c>
      <c r="C2382">
        <v>2</v>
      </c>
      <c r="D2382" t="s">
        <v>75</v>
      </c>
      <c r="E2382" t="s">
        <v>158</v>
      </c>
      <c r="G2382">
        <v>2</v>
      </c>
      <c r="I2382" t="s">
        <v>151</v>
      </c>
      <c r="J2382">
        <v>1200000</v>
      </c>
      <c r="K2382">
        <v>2400000</v>
      </c>
      <c r="L2382" t="s">
        <v>17</v>
      </c>
      <c r="M2382" t="s">
        <v>7</v>
      </c>
      <c r="N2382" t="b">
        <v>0</v>
      </c>
    </row>
    <row r="2383" spans="1:14" x14ac:dyDescent="0.3">
      <c r="A2383" t="s">
        <v>33</v>
      </c>
      <c r="B2383" t="s">
        <v>17</v>
      </c>
      <c r="C2383">
        <v>3</v>
      </c>
      <c r="E2383" t="s">
        <v>159</v>
      </c>
      <c r="G2383">
        <v>2</v>
      </c>
      <c r="I2383" t="s">
        <v>61</v>
      </c>
      <c r="J2383">
        <v>100000</v>
      </c>
      <c r="K2383">
        <v>200000</v>
      </c>
      <c r="L2383" t="s">
        <v>17</v>
      </c>
      <c r="M2383" t="s">
        <v>7</v>
      </c>
      <c r="N2383" t="b">
        <v>0</v>
      </c>
    </row>
    <row r="2384" spans="1:14" x14ac:dyDescent="0.3">
      <c r="A2384" t="s">
        <v>33</v>
      </c>
      <c r="B2384" t="s">
        <v>17</v>
      </c>
      <c r="C2384">
        <v>4</v>
      </c>
      <c r="E2384" t="s">
        <v>133</v>
      </c>
      <c r="G2384">
        <v>6</v>
      </c>
      <c r="I2384" t="s">
        <v>61</v>
      </c>
      <c r="J2384">
        <v>10000</v>
      </c>
      <c r="K2384">
        <v>60000</v>
      </c>
      <c r="L2384" t="s">
        <v>17</v>
      </c>
      <c r="M2384" t="s">
        <v>7</v>
      </c>
      <c r="N2384" t="b">
        <v>0</v>
      </c>
    </row>
    <row r="2385" spans="1:14" x14ac:dyDescent="0.3">
      <c r="A2385" t="s">
        <v>33</v>
      </c>
      <c r="B2385" t="s">
        <v>17</v>
      </c>
      <c r="C2385">
        <v>5</v>
      </c>
      <c r="E2385" t="s">
        <v>134</v>
      </c>
      <c r="G2385">
        <v>6</v>
      </c>
      <c r="I2385" t="s">
        <v>61</v>
      </c>
      <c r="J2385">
        <v>5000</v>
      </c>
      <c r="K2385">
        <v>30000</v>
      </c>
      <c r="L2385" t="s">
        <v>17</v>
      </c>
      <c r="M2385" t="s">
        <v>7</v>
      </c>
      <c r="N2385" t="b">
        <v>0</v>
      </c>
    </row>
    <row r="2386" spans="1:14" x14ac:dyDescent="0.3">
      <c r="A2386" t="s">
        <v>33</v>
      </c>
      <c r="B2386" t="s">
        <v>17</v>
      </c>
      <c r="C2386">
        <v>6</v>
      </c>
      <c r="E2386" t="s">
        <v>160</v>
      </c>
      <c r="G2386">
        <v>2</v>
      </c>
      <c r="I2386" t="s">
        <v>61</v>
      </c>
      <c r="J2386">
        <v>500000</v>
      </c>
      <c r="K2386">
        <v>1000000</v>
      </c>
      <c r="L2386" t="s">
        <v>17</v>
      </c>
      <c r="M2386" t="s">
        <v>7</v>
      </c>
      <c r="N2386" t="b">
        <v>0</v>
      </c>
    </row>
    <row r="2387" spans="1:14" x14ac:dyDescent="0.3">
      <c r="A2387" t="s">
        <v>33</v>
      </c>
      <c r="B2387" t="s">
        <v>17</v>
      </c>
      <c r="C2387">
        <v>7</v>
      </c>
      <c r="E2387" t="s">
        <v>161</v>
      </c>
      <c r="G2387">
        <v>2</v>
      </c>
      <c r="I2387" t="s">
        <v>61</v>
      </c>
      <c r="J2387">
        <v>10000</v>
      </c>
      <c r="K2387">
        <v>20000</v>
      </c>
      <c r="L2387" t="s">
        <v>17</v>
      </c>
      <c r="M2387" t="s">
        <v>7</v>
      </c>
      <c r="N2387" t="b">
        <v>0</v>
      </c>
    </row>
    <row r="2388" spans="1:14" x14ac:dyDescent="0.3">
      <c r="A2388" t="s">
        <v>33</v>
      </c>
      <c r="B2388" t="s">
        <v>17</v>
      </c>
      <c r="C2388">
        <v>8</v>
      </c>
      <c r="E2388" t="s">
        <v>142</v>
      </c>
      <c r="G2388">
        <v>2</v>
      </c>
      <c r="I2388" t="s">
        <v>61</v>
      </c>
      <c r="J2388">
        <v>5000</v>
      </c>
      <c r="K2388">
        <v>10000</v>
      </c>
      <c r="L2388" t="s">
        <v>17</v>
      </c>
      <c r="M2388" t="s">
        <v>7</v>
      </c>
      <c r="N2388" t="b">
        <v>0</v>
      </c>
    </row>
    <row r="2389" spans="1:14" x14ac:dyDescent="0.3">
      <c r="A2389" t="s">
        <v>33</v>
      </c>
      <c r="B2389" t="s">
        <v>17</v>
      </c>
      <c r="C2389">
        <v>9</v>
      </c>
      <c r="E2389" t="s">
        <v>114</v>
      </c>
      <c r="G2389">
        <v>2</v>
      </c>
      <c r="I2389" t="s">
        <v>61</v>
      </c>
      <c r="J2389">
        <v>60000</v>
      </c>
      <c r="K2389">
        <v>120000</v>
      </c>
      <c r="L2389" t="s">
        <v>17</v>
      </c>
      <c r="M2389" t="s">
        <v>7</v>
      </c>
      <c r="N2389" t="b">
        <v>0</v>
      </c>
    </row>
    <row r="2390" spans="1:14" x14ac:dyDescent="0.3">
      <c r="A2390" t="s">
        <v>33</v>
      </c>
      <c r="B2390" t="s">
        <v>17</v>
      </c>
      <c r="C2390">
        <v>10</v>
      </c>
      <c r="E2390" t="s">
        <v>101</v>
      </c>
      <c r="H2390">
        <v>3</v>
      </c>
      <c r="I2390" t="s">
        <v>102</v>
      </c>
      <c r="J2390">
        <v>13000000</v>
      </c>
      <c r="K2390">
        <v>39000000</v>
      </c>
      <c r="L2390" t="s">
        <v>17</v>
      </c>
      <c r="M2390" t="s">
        <v>7</v>
      </c>
      <c r="N2390" t="b">
        <v>0</v>
      </c>
    </row>
    <row r="2391" spans="1:14" x14ac:dyDescent="0.3">
      <c r="A2391" t="s">
        <v>33</v>
      </c>
      <c r="B2391" t="s">
        <v>17</v>
      </c>
      <c r="C2391">
        <v>11</v>
      </c>
      <c r="E2391" t="s">
        <v>107</v>
      </c>
      <c r="H2391">
        <v>0</v>
      </c>
      <c r="I2391" t="s">
        <v>108</v>
      </c>
      <c r="K2391">
        <v>0</v>
      </c>
      <c r="L2391" t="s">
        <v>17</v>
      </c>
      <c r="M2391" t="s">
        <v>7</v>
      </c>
      <c r="N2391" t="b">
        <v>0</v>
      </c>
    </row>
    <row r="2392" spans="1:14" x14ac:dyDescent="0.3">
      <c r="A2392" t="s">
        <v>33</v>
      </c>
      <c r="B2392" t="s">
        <v>18</v>
      </c>
      <c r="C2392">
        <v>1</v>
      </c>
      <c r="D2392" t="s">
        <v>144</v>
      </c>
      <c r="E2392" t="s">
        <v>145</v>
      </c>
      <c r="F2392" t="s">
        <v>162</v>
      </c>
      <c r="G2392">
        <v>1</v>
      </c>
      <c r="H2392">
        <v>0.58950000000000002</v>
      </c>
      <c r="I2392" t="s">
        <v>46</v>
      </c>
      <c r="J2392">
        <v>800000</v>
      </c>
      <c r="K2392">
        <v>471600</v>
      </c>
      <c r="L2392" t="s">
        <v>18</v>
      </c>
      <c r="M2392" t="s">
        <v>7</v>
      </c>
      <c r="N2392" t="b">
        <v>0</v>
      </c>
    </row>
    <row r="2393" spans="1:14" x14ac:dyDescent="0.3">
      <c r="A2393" t="s">
        <v>33</v>
      </c>
      <c r="B2393" t="s">
        <v>18</v>
      </c>
      <c r="C2393">
        <v>2</v>
      </c>
      <c r="D2393" t="s">
        <v>73</v>
      </c>
      <c r="E2393" t="s">
        <v>163</v>
      </c>
      <c r="F2393" t="s">
        <v>164</v>
      </c>
      <c r="G2393">
        <v>2</v>
      </c>
      <c r="H2393">
        <v>1.2631449600000002</v>
      </c>
      <c r="I2393" t="s">
        <v>46</v>
      </c>
      <c r="J2393">
        <v>1500000</v>
      </c>
      <c r="K2393">
        <v>3000000</v>
      </c>
      <c r="L2393" t="s">
        <v>18</v>
      </c>
      <c r="M2393" t="s">
        <v>7</v>
      </c>
      <c r="N2393" t="b">
        <v>0</v>
      </c>
    </row>
    <row r="2394" spans="1:14" x14ac:dyDescent="0.3">
      <c r="A2394" t="s">
        <v>33</v>
      </c>
      <c r="B2394" t="s">
        <v>18</v>
      </c>
      <c r="C2394">
        <v>7</v>
      </c>
      <c r="E2394" t="s">
        <v>66</v>
      </c>
      <c r="G2394">
        <v>2</v>
      </c>
      <c r="H2394">
        <v>2</v>
      </c>
      <c r="I2394" t="s">
        <v>61</v>
      </c>
      <c r="J2394">
        <v>50000</v>
      </c>
      <c r="K2394">
        <v>100000</v>
      </c>
      <c r="L2394" t="s">
        <v>18</v>
      </c>
      <c r="M2394" t="s">
        <v>7</v>
      </c>
      <c r="N2394" t="b">
        <v>0</v>
      </c>
    </row>
    <row r="2395" spans="1:14" x14ac:dyDescent="0.3">
      <c r="A2395" t="s">
        <v>33</v>
      </c>
      <c r="B2395" t="s">
        <v>18</v>
      </c>
      <c r="C2395">
        <v>8</v>
      </c>
      <c r="E2395" t="s">
        <v>141</v>
      </c>
      <c r="G2395">
        <v>4</v>
      </c>
      <c r="H2395">
        <v>4</v>
      </c>
      <c r="I2395" t="s">
        <v>61</v>
      </c>
      <c r="J2395">
        <v>30000</v>
      </c>
      <c r="K2395">
        <v>120000</v>
      </c>
      <c r="L2395" t="s">
        <v>18</v>
      </c>
      <c r="M2395" t="s">
        <v>7</v>
      </c>
      <c r="N2395" t="b">
        <v>0</v>
      </c>
    </row>
    <row r="2396" spans="1:14" x14ac:dyDescent="0.3">
      <c r="A2396" t="s">
        <v>33</v>
      </c>
      <c r="B2396" t="s">
        <v>18</v>
      </c>
      <c r="C2396">
        <v>9</v>
      </c>
      <c r="E2396" t="s">
        <v>165</v>
      </c>
      <c r="G2396">
        <v>1</v>
      </c>
      <c r="H2396">
        <v>1</v>
      </c>
      <c r="I2396" t="s">
        <v>61</v>
      </c>
      <c r="J2396">
        <v>30000</v>
      </c>
      <c r="K2396">
        <v>30000</v>
      </c>
      <c r="L2396" t="s">
        <v>18</v>
      </c>
      <c r="M2396" t="s">
        <v>7</v>
      </c>
      <c r="N2396" t="b">
        <v>0</v>
      </c>
    </row>
    <row r="2397" spans="1:14" x14ac:dyDescent="0.3">
      <c r="A2397" t="s">
        <v>33</v>
      </c>
      <c r="B2397" t="s">
        <v>18</v>
      </c>
      <c r="C2397">
        <v>13</v>
      </c>
      <c r="E2397" t="s">
        <v>101</v>
      </c>
      <c r="H2397">
        <v>1</v>
      </c>
      <c r="I2397" t="s">
        <v>102</v>
      </c>
      <c r="J2397">
        <v>13000000</v>
      </c>
      <c r="K2397">
        <v>13000000</v>
      </c>
      <c r="L2397" t="s">
        <v>18</v>
      </c>
      <c r="M2397" t="s">
        <v>7</v>
      </c>
      <c r="N2397" t="b">
        <v>0</v>
      </c>
    </row>
    <row r="2398" spans="1:14" x14ac:dyDescent="0.3">
      <c r="A2398" t="s">
        <v>33</v>
      </c>
      <c r="B2398" t="s">
        <v>18</v>
      </c>
      <c r="C2398">
        <v>14</v>
      </c>
      <c r="E2398" t="s">
        <v>107</v>
      </c>
      <c r="H2398">
        <v>0</v>
      </c>
      <c r="I2398" t="s">
        <v>108</v>
      </c>
      <c r="K2398">
        <v>0</v>
      </c>
      <c r="L2398" t="s">
        <v>18</v>
      </c>
      <c r="M2398" t="s">
        <v>7</v>
      </c>
      <c r="N2398" t="b">
        <v>0</v>
      </c>
    </row>
    <row r="2399" spans="1:14" x14ac:dyDescent="0.3">
      <c r="A2399" t="s">
        <v>33</v>
      </c>
      <c r="B2399" t="s">
        <v>18</v>
      </c>
      <c r="E2399" t="s">
        <v>155</v>
      </c>
      <c r="F2399">
        <v>300</v>
      </c>
      <c r="G2399">
        <v>100</v>
      </c>
      <c r="H2399">
        <v>2.5</v>
      </c>
      <c r="I2399">
        <v>7.86</v>
      </c>
      <c r="K2399">
        <v>0.58950000000000002</v>
      </c>
      <c r="L2399" t="s">
        <v>18</v>
      </c>
      <c r="M2399" t="s">
        <v>7</v>
      </c>
      <c r="N2399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2"/>
  <sheetViews>
    <sheetView topLeftCell="A58" workbookViewId="0">
      <selection activeCell="Q16" sqref="Q16"/>
    </sheetView>
  </sheetViews>
  <sheetFormatPr defaultRowHeight="14.4" x14ac:dyDescent="0.3"/>
  <cols>
    <col min="1" max="1" width="35.21875" bestFit="1" customWidth="1"/>
    <col min="2" max="2" width="13.6640625" style="6" bestFit="1" customWidth="1"/>
    <col min="8" max="8" width="35.21875" bestFit="1" customWidth="1"/>
    <col min="9" max="9" width="15.5546875" bestFit="1" customWidth="1"/>
    <col min="10" max="10" width="9.6640625" bestFit="1" customWidth="1"/>
    <col min="11" max="11" width="15" style="6" bestFit="1" customWidth="1"/>
    <col min="14" max="14" width="37" bestFit="1" customWidth="1"/>
    <col min="16" max="16" width="23.21875" bestFit="1" customWidth="1"/>
  </cols>
  <sheetData>
    <row r="1" spans="1:18" x14ac:dyDescent="0.3">
      <c r="A1" s="8" t="s">
        <v>37</v>
      </c>
      <c r="B1" s="14" t="s">
        <v>178</v>
      </c>
      <c r="H1" s="3" t="s">
        <v>37</v>
      </c>
      <c r="I1" s="3" t="s">
        <v>38</v>
      </c>
      <c r="J1" s="3" t="s">
        <v>41</v>
      </c>
      <c r="K1" s="15" t="s">
        <v>42</v>
      </c>
      <c r="N1" s="3" t="s">
        <v>0</v>
      </c>
      <c r="P1" s="3" t="s">
        <v>1</v>
      </c>
      <c r="R1" t="s">
        <v>188</v>
      </c>
    </row>
    <row r="2" spans="1:18" x14ac:dyDescent="0.3">
      <c r="A2" s="2" t="s">
        <v>138</v>
      </c>
      <c r="B2" s="6">
        <f>VLOOKUP(A:A,H:K,4,1)</f>
        <v>5200000</v>
      </c>
      <c r="C2">
        <f>COUNTIF(H:H,A2)</f>
        <v>1</v>
      </c>
      <c r="H2" t="s">
        <v>138</v>
      </c>
      <c r="J2" t="s">
        <v>46</v>
      </c>
      <c r="K2" s="6">
        <v>5200000</v>
      </c>
      <c r="N2" t="s">
        <v>5</v>
      </c>
      <c r="P2" t="s">
        <v>15</v>
      </c>
      <c r="R2" t="s">
        <v>187</v>
      </c>
    </row>
    <row r="3" spans="1:18" x14ac:dyDescent="0.3">
      <c r="A3" s="2" t="s">
        <v>139</v>
      </c>
      <c r="B3" s="6">
        <f>VLOOKUP(A:A,H:K,4,1)</f>
        <v>0</v>
      </c>
      <c r="C3">
        <f>COUNTIF(H:H,A3)</f>
        <v>1</v>
      </c>
      <c r="H3" t="s">
        <v>139</v>
      </c>
      <c r="J3" t="s">
        <v>46</v>
      </c>
      <c r="N3" t="s">
        <v>19</v>
      </c>
      <c r="P3" t="s">
        <v>13</v>
      </c>
      <c r="R3" t="s">
        <v>189</v>
      </c>
    </row>
    <row r="4" spans="1:18" x14ac:dyDescent="0.3">
      <c r="A4" s="2" t="s">
        <v>155</v>
      </c>
      <c r="B4" s="6">
        <f>VLOOKUP(A:A,H:K,4,1)</f>
        <v>0</v>
      </c>
      <c r="C4">
        <f>COUNTIF(H:H,A4)</f>
        <v>1</v>
      </c>
      <c r="H4" t="s">
        <v>155</v>
      </c>
      <c r="I4">
        <v>300</v>
      </c>
      <c r="J4">
        <v>7.86</v>
      </c>
      <c r="N4" t="s">
        <v>21</v>
      </c>
      <c r="P4" t="s">
        <v>6</v>
      </c>
      <c r="R4" t="s">
        <v>190</v>
      </c>
    </row>
    <row r="5" spans="1:18" x14ac:dyDescent="0.3">
      <c r="A5" s="2" t="s">
        <v>156</v>
      </c>
      <c r="B5" s="6">
        <f>VLOOKUP(A:A,H:K,4,1)</f>
        <v>0</v>
      </c>
      <c r="C5">
        <f>COUNTIF(H:H,A5)</f>
        <v>1</v>
      </c>
      <c r="H5" t="s">
        <v>156</v>
      </c>
      <c r="I5">
        <v>200</v>
      </c>
      <c r="J5">
        <v>7.86</v>
      </c>
      <c r="N5" t="s">
        <v>25</v>
      </c>
      <c r="P5" t="s">
        <v>20</v>
      </c>
      <c r="R5" t="s">
        <v>191</v>
      </c>
    </row>
    <row r="6" spans="1:18" x14ac:dyDescent="0.3">
      <c r="A6" s="2" t="s">
        <v>59</v>
      </c>
      <c r="B6" s="6">
        <f>VLOOKUP(A:A,H:K,4,1)</f>
        <v>3000000</v>
      </c>
      <c r="C6">
        <f>COUNTIF(H:H,A6)</f>
        <v>2</v>
      </c>
      <c r="H6" t="s">
        <v>59</v>
      </c>
      <c r="J6" t="s">
        <v>46</v>
      </c>
      <c r="K6" s="6">
        <v>1600000</v>
      </c>
      <c r="N6" t="s">
        <v>27</v>
      </c>
      <c r="P6" t="s">
        <v>22</v>
      </c>
      <c r="R6" t="s">
        <v>192</v>
      </c>
    </row>
    <row r="7" spans="1:18" x14ac:dyDescent="0.3">
      <c r="A7" s="1" t="s">
        <v>60</v>
      </c>
      <c r="B7" s="6">
        <f>VLOOKUP(A:A,H:K,4,1)</f>
        <v>3600000</v>
      </c>
      <c r="C7">
        <f>COUNTIF(H:H,A7)</f>
        <v>2</v>
      </c>
      <c r="H7" t="s">
        <v>59</v>
      </c>
      <c r="J7" t="s">
        <v>46</v>
      </c>
      <c r="K7" s="6">
        <v>3000000</v>
      </c>
      <c r="N7" t="s">
        <v>29</v>
      </c>
      <c r="P7" t="s">
        <v>23</v>
      </c>
      <c r="R7" t="s">
        <v>193</v>
      </c>
    </row>
    <row r="8" spans="1:18" x14ac:dyDescent="0.3">
      <c r="A8" s="2" t="s">
        <v>116</v>
      </c>
      <c r="B8" s="6">
        <f>VLOOKUP(A:A,H:K,4,1)</f>
        <v>11250000</v>
      </c>
      <c r="C8">
        <f>COUNTIF(H:H,A8)</f>
        <v>1</v>
      </c>
      <c r="H8" t="s">
        <v>60</v>
      </c>
      <c r="J8" t="s">
        <v>61</v>
      </c>
      <c r="K8" s="6">
        <v>3600000</v>
      </c>
      <c r="N8" t="s">
        <v>179</v>
      </c>
      <c r="P8" t="s">
        <v>24</v>
      </c>
      <c r="R8" t="s">
        <v>194</v>
      </c>
    </row>
    <row r="9" spans="1:18" x14ac:dyDescent="0.3">
      <c r="A9" s="2" t="s">
        <v>109</v>
      </c>
      <c r="B9" s="6">
        <f>VLOOKUP(A:A,H:K,4,1)</f>
        <v>5200000</v>
      </c>
      <c r="C9">
        <f>COUNTIF(H:H,A9)</f>
        <v>1</v>
      </c>
      <c r="H9" t="s">
        <v>60</v>
      </c>
      <c r="J9" t="s">
        <v>46</v>
      </c>
      <c r="K9" s="6">
        <v>3600000</v>
      </c>
      <c r="N9" t="s">
        <v>31</v>
      </c>
      <c r="P9" t="s">
        <v>26</v>
      </c>
      <c r="R9" t="s">
        <v>195</v>
      </c>
    </row>
    <row r="10" spans="1:18" x14ac:dyDescent="0.3">
      <c r="A10" s="2" t="s">
        <v>160</v>
      </c>
      <c r="B10" s="6">
        <f>VLOOKUP(A:A,H:K,4,1)</f>
        <v>500000</v>
      </c>
      <c r="C10">
        <f>COUNTIF(H:H,A10)</f>
        <v>1</v>
      </c>
      <c r="H10" t="s">
        <v>116</v>
      </c>
      <c r="J10" t="s">
        <v>61</v>
      </c>
      <c r="K10" s="6">
        <v>11250000</v>
      </c>
      <c r="N10" t="s">
        <v>182</v>
      </c>
      <c r="P10" t="s">
        <v>28</v>
      </c>
      <c r="R10" t="s">
        <v>196</v>
      </c>
    </row>
    <row r="11" spans="1:18" x14ac:dyDescent="0.3">
      <c r="A11" s="2" t="s">
        <v>159</v>
      </c>
      <c r="B11" s="6">
        <f>VLOOKUP(A:A,H:K,4,1)</f>
        <v>100000</v>
      </c>
      <c r="C11">
        <f>COUNTIF(H:H,A11)</f>
        <v>1</v>
      </c>
      <c r="H11" t="s">
        <v>109</v>
      </c>
      <c r="J11" t="s">
        <v>46</v>
      </c>
      <c r="K11" s="6">
        <v>5200000</v>
      </c>
      <c r="N11" t="s">
        <v>33</v>
      </c>
      <c r="P11" t="s">
        <v>30</v>
      </c>
    </row>
    <row r="12" spans="1:18" x14ac:dyDescent="0.3">
      <c r="A12" s="2" t="s">
        <v>47</v>
      </c>
      <c r="B12" s="6">
        <f>VLOOKUP(A:A,H:K,4,1)</f>
        <v>8500000</v>
      </c>
      <c r="C12">
        <f>COUNTIF(H:H,A12)</f>
        <v>1</v>
      </c>
      <c r="H12" t="s">
        <v>160</v>
      </c>
      <c r="J12" t="s">
        <v>61</v>
      </c>
      <c r="K12" s="6">
        <v>500000</v>
      </c>
      <c r="P12" t="s">
        <v>180</v>
      </c>
    </row>
    <row r="13" spans="1:18" x14ac:dyDescent="0.3">
      <c r="A13" s="1" t="s">
        <v>45</v>
      </c>
      <c r="B13" s="6">
        <f>VLOOKUP(A:A,H:K,4,1)</f>
        <v>8500000</v>
      </c>
      <c r="C13">
        <f>COUNTIF(H:H,A13)</f>
        <v>1</v>
      </c>
      <c r="H13" t="s">
        <v>159</v>
      </c>
      <c r="J13" t="s">
        <v>61</v>
      </c>
      <c r="K13" s="6">
        <v>100000</v>
      </c>
      <c r="P13" t="s">
        <v>183</v>
      </c>
    </row>
    <row r="14" spans="1:18" x14ac:dyDescent="0.3">
      <c r="A14" s="2" t="s">
        <v>74</v>
      </c>
      <c r="B14" s="6">
        <f>VLOOKUP(A:A,H:K,4,1)</f>
        <v>35000000</v>
      </c>
      <c r="C14">
        <f>COUNTIF(H:H,A14)</f>
        <v>1</v>
      </c>
      <c r="H14" t="s">
        <v>47</v>
      </c>
      <c r="I14">
        <v>2735</v>
      </c>
      <c r="J14" t="s">
        <v>46</v>
      </c>
      <c r="K14" s="6">
        <v>8500000</v>
      </c>
      <c r="P14" t="s">
        <v>32</v>
      </c>
    </row>
    <row r="15" spans="1:18" x14ac:dyDescent="0.3">
      <c r="A15" s="2" t="s">
        <v>153</v>
      </c>
      <c r="B15" s="6">
        <f>VLOOKUP(A:A,H:K,4,1)</f>
        <v>300000</v>
      </c>
      <c r="C15">
        <f>COUNTIF(H:H,A15)</f>
        <v>1</v>
      </c>
      <c r="H15" t="s">
        <v>45</v>
      </c>
      <c r="I15">
        <v>2735</v>
      </c>
      <c r="J15" t="s">
        <v>46</v>
      </c>
      <c r="K15" s="6">
        <v>8500000</v>
      </c>
      <c r="P15" t="s">
        <v>34</v>
      </c>
    </row>
    <row r="16" spans="1:18" x14ac:dyDescent="0.3">
      <c r="A16" s="2" t="s">
        <v>132</v>
      </c>
      <c r="B16" s="6">
        <f>VLOOKUP(A:A,H:K,4,1)</f>
        <v>50000</v>
      </c>
      <c r="C16">
        <f>COUNTIF(H:H,A16)</f>
        <v>1</v>
      </c>
      <c r="H16" t="s">
        <v>74</v>
      </c>
      <c r="I16">
        <v>132</v>
      </c>
      <c r="J16" t="s">
        <v>46</v>
      </c>
      <c r="K16" s="6">
        <v>35000000</v>
      </c>
      <c r="P16" t="s">
        <v>10</v>
      </c>
    </row>
    <row r="17" spans="1:16" x14ac:dyDescent="0.3">
      <c r="A17" s="1" t="s">
        <v>70</v>
      </c>
      <c r="B17" s="6">
        <f>VLOOKUP(A:A,H:K,4,1)</f>
        <v>400000</v>
      </c>
      <c r="C17">
        <f>COUNTIF(H:H,A17)</f>
        <v>1</v>
      </c>
      <c r="H17" t="s">
        <v>153</v>
      </c>
      <c r="J17" t="s">
        <v>61</v>
      </c>
      <c r="K17" s="6">
        <v>300000</v>
      </c>
      <c r="P17" t="s">
        <v>12</v>
      </c>
    </row>
    <row r="18" spans="1:16" x14ac:dyDescent="0.3">
      <c r="A18" s="1" t="s">
        <v>72</v>
      </c>
      <c r="B18" s="6">
        <f>VLOOKUP(A:A,H:K,4,1)</f>
        <v>400000</v>
      </c>
      <c r="C18">
        <f>COUNTIF(H:H,A18)</f>
        <v>1</v>
      </c>
      <c r="H18" t="s">
        <v>132</v>
      </c>
      <c r="J18" t="s">
        <v>61</v>
      </c>
      <c r="K18" s="6">
        <v>50000</v>
      </c>
      <c r="P18" t="s">
        <v>9</v>
      </c>
    </row>
    <row r="19" spans="1:16" x14ac:dyDescent="0.3">
      <c r="A19" s="2" t="s">
        <v>112</v>
      </c>
      <c r="B19" s="6">
        <f>VLOOKUP(A:A,H:K,4,1)</f>
        <v>10000</v>
      </c>
      <c r="C19">
        <f>COUNTIF(H:H,A19)</f>
        <v>2</v>
      </c>
      <c r="H19" t="s">
        <v>70</v>
      </c>
      <c r="J19" t="s">
        <v>61</v>
      </c>
      <c r="K19" s="6">
        <v>400000</v>
      </c>
      <c r="P19" t="s">
        <v>16</v>
      </c>
    </row>
    <row r="20" spans="1:16" x14ac:dyDescent="0.3">
      <c r="A20" s="2" t="s">
        <v>66</v>
      </c>
      <c r="B20" s="6">
        <f>VLOOKUP(A:A,H:K,4,1)</f>
        <v>50000</v>
      </c>
      <c r="C20">
        <f>COUNTIF(H:H,A20)</f>
        <v>2</v>
      </c>
      <c r="H20" t="s">
        <v>72</v>
      </c>
      <c r="J20" t="s">
        <v>61</v>
      </c>
      <c r="K20" s="6">
        <v>400000</v>
      </c>
      <c r="P20" t="s">
        <v>17</v>
      </c>
    </row>
    <row r="21" spans="1:16" x14ac:dyDescent="0.3">
      <c r="A21" s="1" t="s">
        <v>68</v>
      </c>
      <c r="B21" s="6">
        <f>VLOOKUP(A:A,H:K,4,1)</f>
        <v>200000</v>
      </c>
      <c r="C21">
        <f>COUNTIF(H:H,A21)</f>
        <v>1</v>
      </c>
      <c r="H21" t="s">
        <v>112</v>
      </c>
      <c r="J21" t="s">
        <v>61</v>
      </c>
      <c r="K21" s="6">
        <v>26000</v>
      </c>
      <c r="P21" t="s">
        <v>11</v>
      </c>
    </row>
    <row r="22" spans="1:16" x14ac:dyDescent="0.3">
      <c r="A22" s="1" t="s">
        <v>91</v>
      </c>
      <c r="B22" s="6">
        <f>VLOOKUP(A:A,H:K,4,1)</f>
        <v>2400000</v>
      </c>
      <c r="C22">
        <f>COUNTIF(H:H,A22)</f>
        <v>1</v>
      </c>
      <c r="H22" t="s">
        <v>140</v>
      </c>
      <c r="J22" t="s">
        <v>61</v>
      </c>
      <c r="K22" s="6">
        <v>10000</v>
      </c>
      <c r="P22" t="s">
        <v>14</v>
      </c>
    </row>
    <row r="23" spans="1:16" x14ac:dyDescent="0.3">
      <c r="A23" s="2" t="s">
        <v>161</v>
      </c>
      <c r="B23" s="6">
        <f>VLOOKUP(A:A,H:K,4,1)</f>
        <v>10000</v>
      </c>
      <c r="C23">
        <f>COUNTIF(H:H,A23)</f>
        <v>1</v>
      </c>
      <c r="H23" t="s">
        <v>66</v>
      </c>
      <c r="J23" t="s">
        <v>61</v>
      </c>
      <c r="K23" s="6">
        <v>200000</v>
      </c>
      <c r="P23" t="s">
        <v>18</v>
      </c>
    </row>
    <row r="24" spans="1:16" x14ac:dyDescent="0.3">
      <c r="A24" s="2" t="s">
        <v>119</v>
      </c>
      <c r="B24" s="6">
        <f>VLOOKUP(A:A,H:K,4,1)</f>
        <v>100000</v>
      </c>
      <c r="C24">
        <f>COUNTIF(H:H,A24)</f>
        <v>1</v>
      </c>
      <c r="H24" t="s">
        <v>66</v>
      </c>
      <c r="J24" t="s">
        <v>61</v>
      </c>
      <c r="K24" s="6">
        <v>50000</v>
      </c>
      <c r="P24" t="s">
        <v>8</v>
      </c>
    </row>
    <row r="25" spans="1:16" x14ac:dyDescent="0.3">
      <c r="A25" s="2" t="s">
        <v>150</v>
      </c>
      <c r="B25" s="6">
        <f>VLOOKUP(A:A,H:K,4,1)</f>
        <v>2000000</v>
      </c>
      <c r="C25">
        <f>COUNTIF(H:H,A25)</f>
        <v>1</v>
      </c>
      <c r="H25" t="s">
        <v>68</v>
      </c>
      <c r="J25" t="s">
        <v>61</v>
      </c>
      <c r="K25" s="6">
        <v>200000</v>
      </c>
    </row>
    <row r="26" spans="1:16" x14ac:dyDescent="0.3">
      <c r="A26" s="2" t="s">
        <v>158</v>
      </c>
      <c r="B26" s="6">
        <f>VLOOKUP(A:A,H:K,4,1)</f>
        <v>1200000</v>
      </c>
      <c r="C26">
        <f>COUNTIF(H:H,A26)</f>
        <v>1</v>
      </c>
      <c r="H26" t="s">
        <v>91</v>
      </c>
      <c r="J26" t="s">
        <v>61</v>
      </c>
      <c r="K26" s="6">
        <v>2400000</v>
      </c>
    </row>
    <row r="27" spans="1:16" x14ac:dyDescent="0.3">
      <c r="A27" s="2" t="s">
        <v>99</v>
      </c>
      <c r="B27" s="6">
        <f>VLOOKUP(A:A,H:K,4,1)</f>
        <v>4840000</v>
      </c>
      <c r="C27">
        <f>COUNTIF(H:H,A27)</f>
        <v>6</v>
      </c>
      <c r="H27" t="s">
        <v>161</v>
      </c>
      <c r="J27" t="s">
        <v>61</v>
      </c>
      <c r="K27" s="6">
        <v>10000</v>
      </c>
    </row>
    <row r="28" spans="1:16" x14ac:dyDescent="0.3">
      <c r="A28" s="1" t="s">
        <v>106</v>
      </c>
      <c r="B28" s="6">
        <f>VLOOKUP(A:A,H:K,4,1)</f>
        <v>12000000</v>
      </c>
      <c r="C28">
        <f>COUNTIF(H:H,A28)</f>
        <v>10</v>
      </c>
      <c r="H28" t="s">
        <v>119</v>
      </c>
      <c r="J28" t="s">
        <v>61</v>
      </c>
      <c r="K28" s="6">
        <v>100000</v>
      </c>
    </row>
    <row r="29" spans="1:16" x14ac:dyDescent="0.3">
      <c r="A29" s="2" t="s">
        <v>105</v>
      </c>
      <c r="B29" s="6">
        <f>VLOOKUP(A:A,H:K,4,1)</f>
        <v>30000000</v>
      </c>
      <c r="C29">
        <f>COUNTIF(H:H,A29)</f>
        <v>1</v>
      </c>
      <c r="H29" t="s">
        <v>150</v>
      </c>
      <c r="I29">
        <v>260</v>
      </c>
      <c r="J29" t="s">
        <v>151</v>
      </c>
      <c r="K29" s="6">
        <v>2000000</v>
      </c>
    </row>
    <row r="30" spans="1:16" x14ac:dyDescent="0.3">
      <c r="A30" s="1" t="s">
        <v>64</v>
      </c>
      <c r="B30" s="6">
        <f>VLOOKUP(A:A,H:K,4,1)</f>
        <v>5500000</v>
      </c>
      <c r="C30">
        <f>COUNTIF(H:H,A30)</f>
        <v>1</v>
      </c>
      <c r="H30" t="s">
        <v>158</v>
      </c>
      <c r="J30" t="s">
        <v>151</v>
      </c>
      <c r="K30" s="6">
        <v>1200000</v>
      </c>
    </row>
    <row r="31" spans="1:16" x14ac:dyDescent="0.3">
      <c r="A31" s="2" t="s">
        <v>63</v>
      </c>
      <c r="B31" s="6">
        <f>VLOOKUP(A:A,H:K,4,1)</f>
        <v>3600000</v>
      </c>
      <c r="C31">
        <f>COUNTIF(H:H,A31)</f>
        <v>1</v>
      </c>
      <c r="H31" t="s">
        <v>99</v>
      </c>
      <c r="I31">
        <v>50</v>
      </c>
      <c r="J31" t="s">
        <v>100</v>
      </c>
      <c r="K31" s="6">
        <v>6823080.0000000009</v>
      </c>
    </row>
    <row r="32" spans="1:16" x14ac:dyDescent="0.3">
      <c r="A32" s="2" t="s">
        <v>49</v>
      </c>
      <c r="B32" s="6">
        <f>VLOOKUP(A:A,H:K,4,1)</f>
        <v>8500000</v>
      </c>
      <c r="C32">
        <f>COUNTIF(H:H,A32)</f>
        <v>1</v>
      </c>
      <c r="H32" t="s">
        <v>99</v>
      </c>
      <c r="I32">
        <v>50</v>
      </c>
      <c r="J32" t="s">
        <v>100</v>
      </c>
      <c r="K32" s="6">
        <v>9739400</v>
      </c>
    </row>
    <row r="33" spans="1:11" x14ac:dyDescent="0.3">
      <c r="A33" s="2" t="s">
        <v>126</v>
      </c>
      <c r="B33" s="6">
        <f>VLOOKUP(A:A,H:K,4,1)</f>
        <v>0</v>
      </c>
      <c r="C33">
        <f>COUNTIF(H:H,A33)</f>
        <v>1</v>
      </c>
      <c r="H33" t="s">
        <v>99</v>
      </c>
      <c r="I33">
        <v>50</v>
      </c>
      <c r="J33" t="s">
        <v>100</v>
      </c>
      <c r="K33" s="6">
        <v>12655280.000000002</v>
      </c>
    </row>
    <row r="34" spans="1:11" x14ac:dyDescent="0.3">
      <c r="A34" s="2" t="s">
        <v>128</v>
      </c>
      <c r="B34" s="6">
        <f>VLOOKUP(A:A,H:K,4,1)</f>
        <v>74000000</v>
      </c>
      <c r="C34">
        <f>COUNTIF(H:H,A34)</f>
        <v>1</v>
      </c>
      <c r="H34" t="s">
        <v>99</v>
      </c>
      <c r="I34">
        <v>50</v>
      </c>
      <c r="J34" t="s">
        <v>100</v>
      </c>
      <c r="K34" s="6">
        <v>17526080</v>
      </c>
    </row>
    <row r="35" spans="1:11" x14ac:dyDescent="0.3">
      <c r="A35" s="1" t="s">
        <v>57</v>
      </c>
      <c r="B35" s="6">
        <f>VLOOKUP(A:A,H:K,4,1)</f>
        <v>1430000</v>
      </c>
      <c r="C35">
        <f>COUNTIF(H:H,A35)</f>
        <v>2</v>
      </c>
      <c r="H35" t="s">
        <v>99</v>
      </c>
      <c r="I35">
        <v>50</v>
      </c>
      <c r="J35" t="s">
        <v>100</v>
      </c>
      <c r="K35" s="6">
        <v>3414400.0000000005</v>
      </c>
    </row>
    <row r="36" spans="1:11" x14ac:dyDescent="0.3">
      <c r="A36" s="1" t="s">
        <v>101</v>
      </c>
      <c r="B36" s="6">
        <f>VLOOKUP(A:A,H:K,4,1)</f>
        <v>8500000</v>
      </c>
      <c r="C36">
        <f>COUNTIF(H:H,A36)</f>
        <v>2</v>
      </c>
      <c r="H36" t="s">
        <v>99</v>
      </c>
      <c r="I36">
        <v>50</v>
      </c>
      <c r="J36" t="s">
        <v>100</v>
      </c>
      <c r="K36" s="6">
        <v>4840000</v>
      </c>
    </row>
    <row r="37" spans="1:11" x14ac:dyDescent="0.3">
      <c r="A37" s="2" t="s">
        <v>124</v>
      </c>
      <c r="B37" s="6">
        <f>VLOOKUP(A:A,H:K,4,1)</f>
        <v>0</v>
      </c>
      <c r="C37">
        <f>COUNTIF(H:H,A37)</f>
        <v>1</v>
      </c>
      <c r="H37" t="s">
        <v>106</v>
      </c>
      <c r="K37" s="6">
        <v>14000000</v>
      </c>
    </row>
    <row r="38" spans="1:11" x14ac:dyDescent="0.3">
      <c r="A38" s="2" t="s">
        <v>51</v>
      </c>
      <c r="B38" s="6">
        <f>VLOOKUP(A:A,H:K,4,1)</f>
        <v>8500000</v>
      </c>
      <c r="C38">
        <f>COUNTIF(H:H,A38)</f>
        <v>1</v>
      </c>
      <c r="H38" t="s">
        <v>106</v>
      </c>
      <c r="J38" t="s">
        <v>61</v>
      </c>
      <c r="K38" s="6">
        <v>14000000</v>
      </c>
    </row>
    <row r="39" spans="1:11" x14ac:dyDescent="0.3">
      <c r="A39" s="2" t="s">
        <v>136</v>
      </c>
      <c r="B39" s="6">
        <f>VLOOKUP(A:A,H:K,4,1)</f>
        <v>8500000</v>
      </c>
      <c r="C39">
        <f>COUNTIF(H:H,A39)</f>
        <v>1</v>
      </c>
      <c r="H39" t="s">
        <v>106</v>
      </c>
      <c r="K39" s="6">
        <v>18000000</v>
      </c>
    </row>
    <row r="40" spans="1:11" x14ac:dyDescent="0.3">
      <c r="A40" s="2" t="s">
        <v>137</v>
      </c>
      <c r="B40" s="6">
        <f>VLOOKUP(A:A,H:K,4,1)</f>
        <v>8500000</v>
      </c>
      <c r="C40">
        <f>COUNTIF(H:H,A40)</f>
        <v>1</v>
      </c>
      <c r="H40" t="s">
        <v>106</v>
      </c>
      <c r="J40" t="s">
        <v>61</v>
      </c>
      <c r="K40" s="6">
        <v>18000000</v>
      </c>
    </row>
    <row r="41" spans="1:11" x14ac:dyDescent="0.3">
      <c r="A41" s="2" t="s">
        <v>111</v>
      </c>
      <c r="B41" s="6">
        <f>VLOOKUP(A:A,H:K,4,1)</f>
        <v>22000000</v>
      </c>
      <c r="C41">
        <f>COUNTIF(H:H,A41)</f>
        <v>1</v>
      </c>
      <c r="H41" t="s">
        <v>106</v>
      </c>
      <c r="K41" s="6">
        <v>19000000</v>
      </c>
    </row>
    <row r="42" spans="1:11" x14ac:dyDescent="0.3">
      <c r="A42" s="2" t="s">
        <v>117</v>
      </c>
      <c r="B42" s="6">
        <f>VLOOKUP(A:A,H:K,4,1)</f>
        <v>7500000</v>
      </c>
      <c r="C42">
        <f>COUNTIF(H:H,A42)</f>
        <v>1</v>
      </c>
      <c r="H42" t="s">
        <v>106</v>
      </c>
      <c r="J42" t="s">
        <v>61</v>
      </c>
      <c r="K42" s="6">
        <v>19000000</v>
      </c>
    </row>
    <row r="43" spans="1:11" x14ac:dyDescent="0.3">
      <c r="A43" s="2" t="s">
        <v>107</v>
      </c>
      <c r="B43" s="6">
        <f>VLOOKUP(A:A,H:K,4,1)</f>
        <v>0</v>
      </c>
      <c r="C43">
        <f>COUNTIF(H:H,A43)</f>
        <v>1</v>
      </c>
      <c r="H43" t="s">
        <v>106</v>
      </c>
      <c r="K43" s="6">
        <v>24000000</v>
      </c>
    </row>
    <row r="44" spans="1:11" x14ac:dyDescent="0.3">
      <c r="A44" s="2" t="s">
        <v>123</v>
      </c>
      <c r="B44" s="6">
        <f>VLOOKUP(A:A,H:K,4,1)</f>
        <v>0</v>
      </c>
      <c r="C44">
        <f>COUNTIF(H:H,A44)</f>
        <v>1</v>
      </c>
      <c r="H44" t="s">
        <v>106</v>
      </c>
      <c r="J44" t="s">
        <v>61</v>
      </c>
      <c r="K44" s="6">
        <v>24000000</v>
      </c>
    </row>
    <row r="45" spans="1:11" x14ac:dyDescent="0.3">
      <c r="A45" s="1" t="s">
        <v>86</v>
      </c>
      <c r="B45" s="6">
        <f>VLOOKUP(A:A,H:K,4,1)</f>
        <v>585000</v>
      </c>
      <c r="C45">
        <f>COUNTIF(H:H,A45)</f>
        <v>5</v>
      </c>
      <c r="H45" t="s">
        <v>106</v>
      </c>
      <c r="K45" s="6">
        <v>12000000</v>
      </c>
    </row>
    <row r="46" spans="1:11" x14ac:dyDescent="0.3">
      <c r="A46" s="1" t="s">
        <v>53</v>
      </c>
      <c r="B46" s="6">
        <f>VLOOKUP(A:A,H:K,4,1)</f>
        <v>4275000</v>
      </c>
      <c r="C46">
        <f>COUNTIF(H:H,A46)</f>
        <v>1</v>
      </c>
      <c r="H46" t="s">
        <v>106</v>
      </c>
      <c r="J46" t="s">
        <v>61</v>
      </c>
      <c r="K46" s="6">
        <v>12000000</v>
      </c>
    </row>
    <row r="47" spans="1:11" x14ac:dyDescent="0.3">
      <c r="A47" s="2" t="s">
        <v>55</v>
      </c>
      <c r="B47" s="6">
        <f>VLOOKUP(A:A,H:K,4,1)</f>
        <v>45760000</v>
      </c>
      <c r="C47">
        <f>COUNTIF(H:H,A47)</f>
        <v>2</v>
      </c>
      <c r="H47" t="s">
        <v>105</v>
      </c>
      <c r="J47" t="s">
        <v>61</v>
      </c>
      <c r="K47" s="6">
        <v>30000000</v>
      </c>
    </row>
    <row r="48" spans="1:11" x14ac:dyDescent="0.3">
      <c r="A48" s="2" t="s">
        <v>84</v>
      </c>
      <c r="B48" s="6">
        <f>VLOOKUP(A:A,H:K,4,1)</f>
        <v>585000</v>
      </c>
      <c r="C48">
        <f>COUNTIF(H:H,A48)</f>
        <v>5</v>
      </c>
      <c r="H48" t="s">
        <v>64</v>
      </c>
      <c r="J48" t="s">
        <v>61</v>
      </c>
      <c r="K48" s="6">
        <v>5500000</v>
      </c>
    </row>
    <row r="49" spans="1:11" x14ac:dyDescent="0.3">
      <c r="A49" s="2" t="s">
        <v>130</v>
      </c>
      <c r="B49" s="6">
        <f>VLOOKUP(A:A,H:K,4,1)</f>
        <v>17250000</v>
      </c>
      <c r="C49">
        <f>COUNTIF(H:H,A49)</f>
        <v>6</v>
      </c>
      <c r="H49" t="s">
        <v>63</v>
      </c>
      <c r="J49" t="s">
        <v>61</v>
      </c>
      <c r="K49" s="6">
        <v>3600000</v>
      </c>
    </row>
    <row r="50" spans="1:11" x14ac:dyDescent="0.3">
      <c r="A50" s="2" t="s">
        <v>149</v>
      </c>
      <c r="B50" s="6">
        <f>VLOOKUP(A:A,H:K,4,1)</f>
        <v>5000000</v>
      </c>
      <c r="C50">
        <f>COUNTIF(H:H,A50)</f>
        <v>1</v>
      </c>
      <c r="H50" t="s">
        <v>49</v>
      </c>
      <c r="I50">
        <v>120</v>
      </c>
      <c r="J50" t="s">
        <v>46</v>
      </c>
      <c r="K50" s="6">
        <v>8500000</v>
      </c>
    </row>
    <row r="51" spans="1:11" x14ac:dyDescent="0.3">
      <c r="A51" s="2" t="s">
        <v>118</v>
      </c>
      <c r="B51" s="6">
        <f>VLOOKUP(A:A,H:K,4,1)</f>
        <v>150000</v>
      </c>
      <c r="C51">
        <f>COUNTIF(H:H,A51)</f>
        <v>1</v>
      </c>
      <c r="H51" t="s">
        <v>126</v>
      </c>
      <c r="J51" t="s">
        <v>61</v>
      </c>
    </row>
    <row r="52" spans="1:11" x14ac:dyDescent="0.3">
      <c r="A52" s="2" t="s">
        <v>89</v>
      </c>
      <c r="B52" s="6">
        <f>VLOOKUP(A:A,H:K,4,1)</f>
        <v>100000</v>
      </c>
      <c r="C52">
        <f>COUNTIF(H:H,A52)</f>
        <v>1</v>
      </c>
      <c r="H52" t="s">
        <v>128</v>
      </c>
      <c r="J52" t="s">
        <v>61</v>
      </c>
      <c r="K52" s="6">
        <v>74000000</v>
      </c>
    </row>
    <row r="53" spans="1:11" x14ac:dyDescent="0.3">
      <c r="A53" s="2" t="s">
        <v>127</v>
      </c>
      <c r="B53" s="6">
        <f>VLOOKUP(A:A,H:K,4,1)</f>
        <v>0</v>
      </c>
      <c r="C53">
        <f>COUNTIF(H:H,A53)</f>
        <v>1</v>
      </c>
      <c r="H53" t="s">
        <v>57</v>
      </c>
      <c r="J53" t="s">
        <v>46</v>
      </c>
      <c r="K53" s="6">
        <v>1430000</v>
      </c>
    </row>
    <row r="54" spans="1:11" x14ac:dyDescent="0.3">
      <c r="A54" s="2" t="s">
        <v>78</v>
      </c>
      <c r="B54" s="6">
        <f>VLOOKUP(A:A,H:K,4,1)</f>
        <v>5200000</v>
      </c>
      <c r="C54">
        <f>COUNTIF(H:H,A54)</f>
        <v>1</v>
      </c>
      <c r="H54" t="s">
        <v>57</v>
      </c>
      <c r="J54" t="s">
        <v>61</v>
      </c>
      <c r="K54" s="6">
        <v>1430000</v>
      </c>
    </row>
    <row r="55" spans="1:11" x14ac:dyDescent="0.3">
      <c r="A55" s="1" t="s">
        <v>76</v>
      </c>
      <c r="B55" s="6">
        <f>VLOOKUP(A:A,H:K,4,1)</f>
        <v>5200000</v>
      </c>
      <c r="C55">
        <f>COUNTIF(H:H,A55)</f>
        <v>1</v>
      </c>
      <c r="H55" t="s">
        <v>101</v>
      </c>
      <c r="J55" t="s">
        <v>102</v>
      </c>
      <c r="K55" s="6">
        <v>13000000</v>
      </c>
    </row>
    <row r="56" spans="1:11" x14ac:dyDescent="0.3">
      <c r="A56" s="1" t="s">
        <v>50</v>
      </c>
      <c r="B56" s="6">
        <f>VLOOKUP(A:A,H:K,4,1)</f>
        <v>8500000</v>
      </c>
      <c r="C56">
        <f>COUNTIF(H:H,A56)</f>
        <v>1</v>
      </c>
      <c r="H56" t="s">
        <v>101</v>
      </c>
      <c r="J56" t="s">
        <v>102</v>
      </c>
      <c r="K56" s="6">
        <v>8500000</v>
      </c>
    </row>
    <row r="57" spans="1:11" x14ac:dyDescent="0.3">
      <c r="A57" s="2" t="s">
        <v>163</v>
      </c>
      <c r="B57" s="6">
        <f>VLOOKUP(A:A,H:K,4,1)</f>
        <v>1500000</v>
      </c>
      <c r="C57">
        <f>COUNTIF(H:H,A57)</f>
        <v>1</v>
      </c>
      <c r="H57" t="s">
        <v>124</v>
      </c>
      <c r="J57" t="s">
        <v>97</v>
      </c>
    </row>
    <row r="58" spans="1:11" x14ac:dyDescent="0.3">
      <c r="A58" s="2" t="s">
        <v>125</v>
      </c>
      <c r="B58" s="6">
        <f>VLOOKUP(A:A,H:K,4,1)</f>
        <v>0</v>
      </c>
      <c r="C58">
        <f>COUNTIF(H:H,A58)</f>
        <v>1</v>
      </c>
      <c r="H58" t="s">
        <v>51</v>
      </c>
      <c r="I58">
        <v>2970</v>
      </c>
      <c r="J58" t="s">
        <v>46</v>
      </c>
      <c r="K58" s="6">
        <v>8500000</v>
      </c>
    </row>
    <row r="59" spans="1:11" x14ac:dyDescent="0.3">
      <c r="A59" s="2" t="s">
        <v>133</v>
      </c>
      <c r="B59" s="6">
        <f>VLOOKUP(A:A,H:K,4,1)</f>
        <v>10000</v>
      </c>
      <c r="C59">
        <f>COUNTIF(H:H,A59)</f>
        <v>2</v>
      </c>
      <c r="H59" t="s">
        <v>136</v>
      </c>
      <c r="J59" t="s">
        <v>46</v>
      </c>
      <c r="K59" s="6">
        <v>8500000</v>
      </c>
    </row>
    <row r="60" spans="1:11" x14ac:dyDescent="0.3">
      <c r="A60" s="2" t="s">
        <v>113</v>
      </c>
      <c r="B60" s="6">
        <f>VLOOKUP(A:A,H:K,4,1)</f>
        <v>195000</v>
      </c>
      <c r="C60">
        <f>COUNTIF(H:H,A60)</f>
        <v>1</v>
      </c>
      <c r="H60" t="s">
        <v>137</v>
      </c>
      <c r="J60" t="s">
        <v>46</v>
      </c>
      <c r="K60" s="6">
        <v>8500000</v>
      </c>
    </row>
    <row r="61" spans="1:11" x14ac:dyDescent="0.3">
      <c r="A61" s="2" t="s">
        <v>152</v>
      </c>
      <c r="B61" s="6">
        <f>VLOOKUP(A:A,H:K,4,1)</f>
        <v>200000</v>
      </c>
      <c r="C61">
        <f>COUNTIF(H:H,A61)</f>
        <v>1</v>
      </c>
      <c r="H61" t="s">
        <v>111</v>
      </c>
      <c r="J61" t="s">
        <v>46</v>
      </c>
      <c r="K61" s="6">
        <v>22000000</v>
      </c>
    </row>
    <row r="62" spans="1:11" x14ac:dyDescent="0.3">
      <c r="A62" s="2" t="s">
        <v>143</v>
      </c>
      <c r="B62" s="6">
        <f>VLOOKUP(A:A,H:K,4,1)</f>
        <v>10000</v>
      </c>
      <c r="C62">
        <f>COUNTIF(H:H,A62)</f>
        <v>1</v>
      </c>
      <c r="H62" t="s">
        <v>117</v>
      </c>
      <c r="J62" t="s">
        <v>61</v>
      </c>
      <c r="K62" s="6">
        <v>7500000</v>
      </c>
    </row>
    <row r="63" spans="1:11" x14ac:dyDescent="0.3">
      <c r="A63" s="2" t="s">
        <v>71</v>
      </c>
      <c r="B63" s="6">
        <f>VLOOKUP(A:A,H:K,4,1)</f>
        <v>120000</v>
      </c>
      <c r="C63">
        <f>COUNTIF(H:H,A63)</f>
        <v>1</v>
      </c>
      <c r="H63" t="s">
        <v>107</v>
      </c>
      <c r="J63" t="s">
        <v>108</v>
      </c>
    </row>
    <row r="64" spans="1:11" x14ac:dyDescent="0.3">
      <c r="A64" s="2" t="s">
        <v>142</v>
      </c>
      <c r="B64" s="6">
        <f>VLOOKUP(A:A,H:K,4,1)</f>
        <v>5000</v>
      </c>
      <c r="C64">
        <f>COUNTIF(H:H,A64)</f>
        <v>2</v>
      </c>
      <c r="H64" t="s">
        <v>123</v>
      </c>
      <c r="J64" t="s">
        <v>97</v>
      </c>
    </row>
    <row r="65" spans="1:11" x14ac:dyDescent="0.3">
      <c r="A65" s="2" t="s">
        <v>69</v>
      </c>
      <c r="B65" s="6">
        <f>VLOOKUP(A:A,H:K,4,1)</f>
        <v>60000</v>
      </c>
      <c r="C65">
        <f>COUNTIF(H:H,A65)</f>
        <v>2</v>
      </c>
      <c r="H65" t="s">
        <v>86</v>
      </c>
      <c r="I65">
        <v>0.2</v>
      </c>
      <c r="J65" t="s">
        <v>61</v>
      </c>
      <c r="K65" s="6">
        <v>715000</v>
      </c>
    </row>
    <row r="66" spans="1:11" x14ac:dyDescent="0.3">
      <c r="A66" s="2" t="s">
        <v>115</v>
      </c>
      <c r="B66" s="6">
        <f>VLOOKUP(A:A,H:K,4,1)</f>
        <v>75000</v>
      </c>
      <c r="C66">
        <f>COUNTIF(H:H,A66)</f>
        <v>1</v>
      </c>
      <c r="H66" t="s">
        <v>86</v>
      </c>
      <c r="I66">
        <v>0.2</v>
      </c>
      <c r="J66" t="s">
        <v>61</v>
      </c>
      <c r="K66" s="6">
        <v>910000</v>
      </c>
    </row>
    <row r="67" spans="1:11" x14ac:dyDescent="0.3">
      <c r="A67" s="2" t="s">
        <v>92</v>
      </c>
      <c r="B67" s="6">
        <f>VLOOKUP(A:A,H:K,4,1)</f>
        <v>2400000</v>
      </c>
      <c r="C67">
        <f>COUNTIF(H:H,A67)</f>
        <v>1</v>
      </c>
      <c r="H67" t="s">
        <v>86</v>
      </c>
      <c r="I67">
        <v>0.2</v>
      </c>
      <c r="J67" t="s">
        <v>61</v>
      </c>
      <c r="K67" s="6">
        <v>1014000</v>
      </c>
    </row>
    <row r="68" spans="1:11" x14ac:dyDescent="0.3">
      <c r="A68" s="2" t="s">
        <v>165</v>
      </c>
      <c r="B68" s="6">
        <f>VLOOKUP(A:A,H:K,4,1)</f>
        <v>30000</v>
      </c>
      <c r="C68">
        <f>COUNTIF(H:H,A68)</f>
        <v>1</v>
      </c>
      <c r="H68" t="s">
        <v>86</v>
      </c>
      <c r="I68">
        <v>0.2</v>
      </c>
      <c r="J68" t="s">
        <v>61</v>
      </c>
      <c r="K68" s="6">
        <v>1300000</v>
      </c>
    </row>
    <row r="69" spans="1:11" x14ac:dyDescent="0.3">
      <c r="A69" s="2" t="s">
        <v>154</v>
      </c>
      <c r="B69" s="6">
        <f>VLOOKUP(A:A,H:K,4,1)</f>
        <v>30000</v>
      </c>
      <c r="C69">
        <f>COUNTIF(H:H,A69)</f>
        <v>1</v>
      </c>
      <c r="H69" t="s">
        <v>86</v>
      </c>
      <c r="I69">
        <v>0.2</v>
      </c>
      <c r="J69" t="s">
        <v>61</v>
      </c>
      <c r="K69" s="6">
        <v>585000</v>
      </c>
    </row>
    <row r="70" spans="1:11" x14ac:dyDescent="0.3">
      <c r="A70" s="2" t="s">
        <v>157</v>
      </c>
      <c r="B70" s="6">
        <f>VLOOKUP(A:A,H:K,4,1)</f>
        <v>700000</v>
      </c>
      <c r="C70">
        <f>COUNTIF(H:H,A70)</f>
        <v>1</v>
      </c>
      <c r="H70" t="s">
        <v>53</v>
      </c>
      <c r="I70">
        <v>0.13</v>
      </c>
      <c r="J70" t="s">
        <v>54</v>
      </c>
      <c r="K70" s="6">
        <v>4275000</v>
      </c>
    </row>
    <row r="71" spans="1:11" x14ac:dyDescent="0.3">
      <c r="A71" s="2" t="s">
        <v>145</v>
      </c>
      <c r="B71" s="6">
        <f>VLOOKUP(A:A,H:K,4,1)</f>
        <v>800000</v>
      </c>
      <c r="C71">
        <f>COUNTIF(H:H,A71)</f>
        <v>1</v>
      </c>
      <c r="H71" t="s">
        <v>55</v>
      </c>
      <c r="I71">
        <v>0.35</v>
      </c>
      <c r="J71" t="s">
        <v>46</v>
      </c>
      <c r="K71" s="6">
        <v>35750000</v>
      </c>
    </row>
    <row r="72" spans="1:11" x14ac:dyDescent="0.3">
      <c r="A72" s="2" t="s">
        <v>147</v>
      </c>
      <c r="B72" s="6">
        <f>VLOOKUP(A:A,H:K,4,1)</f>
        <v>800000</v>
      </c>
      <c r="C72">
        <f>COUNTIF(H:H,A72)</f>
        <v>1</v>
      </c>
      <c r="H72" t="s">
        <v>55</v>
      </c>
      <c r="I72">
        <v>0.2</v>
      </c>
      <c r="J72" t="s">
        <v>46</v>
      </c>
      <c r="K72" s="6">
        <v>45760000</v>
      </c>
    </row>
    <row r="73" spans="1:11" x14ac:dyDescent="0.3">
      <c r="A73" s="1" t="s">
        <v>96</v>
      </c>
      <c r="B73" s="6">
        <f>VLOOKUP(A:A,H:K,4,1)</f>
        <v>460000</v>
      </c>
      <c r="C73">
        <f>COUNTIF(H:H,A73)</f>
        <v>1</v>
      </c>
      <c r="H73" t="s">
        <v>84</v>
      </c>
      <c r="I73">
        <v>0.18</v>
      </c>
      <c r="J73" t="s">
        <v>61</v>
      </c>
      <c r="K73" s="6">
        <v>715000</v>
      </c>
    </row>
    <row r="74" spans="1:11" x14ac:dyDescent="0.3">
      <c r="A74" s="2" t="s">
        <v>95</v>
      </c>
      <c r="B74" s="6">
        <f>VLOOKUP(A:A,H:K,4,1)</f>
        <v>1300000</v>
      </c>
      <c r="C74">
        <f>COUNTIF(H:H,A74)</f>
        <v>1</v>
      </c>
      <c r="H74" t="s">
        <v>84</v>
      </c>
      <c r="I74">
        <v>0.18</v>
      </c>
      <c r="J74" t="s">
        <v>61</v>
      </c>
      <c r="K74" s="6">
        <v>910000</v>
      </c>
    </row>
    <row r="75" spans="1:11" x14ac:dyDescent="0.3">
      <c r="A75" s="2" t="s">
        <v>122</v>
      </c>
      <c r="B75" s="6">
        <f>VLOOKUP(A:A,H:K,4,1)</f>
        <v>4200000</v>
      </c>
      <c r="C75">
        <f>COUNTIF(H:H,A75)</f>
        <v>1</v>
      </c>
      <c r="H75" t="s">
        <v>84</v>
      </c>
      <c r="I75">
        <v>0.18</v>
      </c>
      <c r="J75" t="s">
        <v>61</v>
      </c>
      <c r="K75" s="6">
        <v>1014000</v>
      </c>
    </row>
    <row r="76" spans="1:11" x14ac:dyDescent="0.3">
      <c r="A76" s="1" t="s">
        <v>81</v>
      </c>
      <c r="B76" s="6">
        <f>VLOOKUP(A:A,H:K,4,1)</f>
        <v>8500000</v>
      </c>
      <c r="C76">
        <f>COUNTIF(H:H,A76)</f>
        <v>1</v>
      </c>
      <c r="H76" t="s">
        <v>84</v>
      </c>
      <c r="I76">
        <v>0.18</v>
      </c>
      <c r="J76" t="s">
        <v>61</v>
      </c>
      <c r="K76" s="6">
        <v>1300000</v>
      </c>
    </row>
    <row r="77" spans="1:11" x14ac:dyDescent="0.3">
      <c r="A77" s="2" t="s">
        <v>175</v>
      </c>
      <c r="B77" s="6">
        <f>VLOOKUP(A:A,H:K,4,1)</f>
        <v>8500000</v>
      </c>
      <c r="C77">
        <f>COUNTIF(H:H,A77)</f>
        <v>1</v>
      </c>
      <c r="H77" t="s">
        <v>84</v>
      </c>
      <c r="I77">
        <v>0.18</v>
      </c>
      <c r="J77" t="s">
        <v>61</v>
      </c>
      <c r="K77" s="6">
        <v>585000</v>
      </c>
    </row>
    <row r="78" spans="1:11" x14ac:dyDescent="0.3">
      <c r="A78" s="1" t="s">
        <v>48</v>
      </c>
      <c r="B78" s="6">
        <f>VLOOKUP(A:A,H:K,4,1)</f>
        <v>8500000</v>
      </c>
      <c r="C78">
        <f>COUNTIF(H:H,A78)</f>
        <v>1</v>
      </c>
      <c r="H78" t="s">
        <v>130</v>
      </c>
      <c r="J78" t="s">
        <v>131</v>
      </c>
      <c r="K78" s="6">
        <v>22500000</v>
      </c>
    </row>
    <row r="79" spans="1:11" x14ac:dyDescent="0.3">
      <c r="A79" s="2" t="s">
        <v>166</v>
      </c>
      <c r="B79" s="6">
        <f>VLOOKUP(A:A,H:K,4,1)</f>
        <v>8500000</v>
      </c>
      <c r="C79">
        <f>COUNTIF(H:H,A79)</f>
        <v>1</v>
      </c>
      <c r="H79" t="s">
        <v>130</v>
      </c>
      <c r="J79" t="s">
        <v>131</v>
      </c>
      <c r="K79" s="6">
        <v>20700000</v>
      </c>
    </row>
    <row r="80" spans="1:11" x14ac:dyDescent="0.3">
      <c r="A80" s="2" t="s">
        <v>168</v>
      </c>
      <c r="B80" s="6">
        <f>VLOOKUP(A:A,H:K,4,1)</f>
        <v>8500000</v>
      </c>
      <c r="C80">
        <f>COUNTIF(H:H,A80)</f>
        <v>1</v>
      </c>
      <c r="H80" t="s">
        <v>130</v>
      </c>
      <c r="J80" t="s">
        <v>131</v>
      </c>
      <c r="K80" s="6">
        <v>27599999.999999996</v>
      </c>
    </row>
    <row r="81" spans="1:11" x14ac:dyDescent="0.3">
      <c r="A81" s="2" t="s">
        <v>170</v>
      </c>
      <c r="B81" s="6">
        <f>VLOOKUP(A:A,H:K,4,1)</f>
        <v>8500000</v>
      </c>
      <c r="C81">
        <f>COUNTIF(H:H,A81)</f>
        <v>1</v>
      </c>
      <c r="H81" t="s">
        <v>130</v>
      </c>
      <c r="J81" t="s">
        <v>131</v>
      </c>
      <c r="K81" s="6">
        <v>34500000</v>
      </c>
    </row>
    <row r="82" spans="1:11" x14ac:dyDescent="0.3">
      <c r="A82" s="2" t="s">
        <v>172</v>
      </c>
      <c r="B82" s="6">
        <f>VLOOKUP(A:A,H:K,4,1)</f>
        <v>8500000</v>
      </c>
      <c r="C82">
        <f>COUNTIF(H:H,A82)</f>
        <v>1</v>
      </c>
      <c r="H82" t="s">
        <v>130</v>
      </c>
      <c r="J82" t="s">
        <v>131</v>
      </c>
      <c r="K82" s="6">
        <v>41400000</v>
      </c>
    </row>
    <row r="83" spans="1:11" x14ac:dyDescent="0.3">
      <c r="A83" s="2" t="s">
        <v>181</v>
      </c>
      <c r="B83" s="6">
        <f>VLOOKUP(A:A,H:K,4,1)</f>
        <v>8500000</v>
      </c>
      <c r="C83">
        <f>COUNTIF(H:H,A83)</f>
        <v>1</v>
      </c>
      <c r="H83" t="s">
        <v>130</v>
      </c>
      <c r="J83" t="s">
        <v>131</v>
      </c>
      <c r="K83" s="6">
        <v>17250000</v>
      </c>
    </row>
    <row r="84" spans="1:11" x14ac:dyDescent="0.3">
      <c r="A84" s="2" t="s">
        <v>184</v>
      </c>
      <c r="B84" s="6">
        <f>VLOOKUP(A:A,H:K,4,1)</f>
        <v>8500000</v>
      </c>
      <c r="C84">
        <f>COUNTIF(H:H,A84)</f>
        <v>1</v>
      </c>
      <c r="H84" t="s">
        <v>149</v>
      </c>
      <c r="J84" t="s">
        <v>61</v>
      </c>
      <c r="K84" s="6">
        <v>5000000</v>
      </c>
    </row>
    <row r="85" spans="1:11" x14ac:dyDescent="0.3">
      <c r="A85" s="2" t="s">
        <v>120</v>
      </c>
      <c r="B85" s="6">
        <f>VLOOKUP(A:A,H:K,4,1)</f>
        <v>30000</v>
      </c>
      <c r="C85">
        <f>COUNTIF(H:H,A85)</f>
        <v>2</v>
      </c>
      <c r="H85" t="s">
        <v>118</v>
      </c>
      <c r="J85" t="s">
        <v>61</v>
      </c>
      <c r="K85" s="6">
        <v>150000</v>
      </c>
    </row>
    <row r="86" spans="1:11" x14ac:dyDescent="0.3">
      <c r="A86" s="2" t="s">
        <v>134</v>
      </c>
      <c r="B86" s="6">
        <f>VLOOKUP(A:A,H:K,4,1)</f>
        <v>30000</v>
      </c>
      <c r="C86">
        <f>COUNTIF(H:H,A86)</f>
        <v>2</v>
      </c>
      <c r="H86" t="s">
        <v>89</v>
      </c>
      <c r="I86" t="s">
        <v>90</v>
      </c>
      <c r="J86" t="s">
        <v>61</v>
      </c>
      <c r="K86" s="6">
        <v>100000</v>
      </c>
    </row>
    <row r="87" spans="1:11" x14ac:dyDescent="0.3">
      <c r="A87" s="2" t="s">
        <v>114</v>
      </c>
      <c r="B87" s="6">
        <f>VLOOKUP(A:A,H:K,4,1)</f>
        <v>60000</v>
      </c>
      <c r="C87">
        <f>COUNTIF(H:H,A87)</f>
        <v>2</v>
      </c>
      <c r="H87" t="s">
        <v>127</v>
      </c>
      <c r="J87" t="s">
        <v>61</v>
      </c>
    </row>
    <row r="88" spans="1:11" x14ac:dyDescent="0.3">
      <c r="A88" s="2" t="s">
        <v>141</v>
      </c>
      <c r="B88" s="6">
        <f>VLOOKUP(A:A,H:K,4,1)</f>
        <v>30000</v>
      </c>
      <c r="C88">
        <f>COUNTIF(H:H,A88)</f>
        <v>2</v>
      </c>
      <c r="H88" t="s">
        <v>78</v>
      </c>
      <c r="I88" t="s">
        <v>79</v>
      </c>
      <c r="J88" t="s">
        <v>46</v>
      </c>
      <c r="K88" s="6">
        <v>5200000</v>
      </c>
    </row>
    <row r="89" spans="1:11" x14ac:dyDescent="0.3">
      <c r="A89" s="2" t="s">
        <v>121</v>
      </c>
      <c r="B89" s="6">
        <f>VLOOKUP(A:A,H:K,4,1)</f>
        <v>100000</v>
      </c>
      <c r="C89">
        <f>COUNTIF(H:H,A89)</f>
        <v>1</v>
      </c>
      <c r="H89" t="s">
        <v>76</v>
      </c>
      <c r="I89" t="s">
        <v>77</v>
      </c>
      <c r="J89" t="s">
        <v>46</v>
      </c>
      <c r="K89" s="6">
        <v>5200000</v>
      </c>
    </row>
    <row r="90" spans="1:11" x14ac:dyDescent="0.3">
      <c r="A90" s="2" t="s">
        <v>135</v>
      </c>
      <c r="B90" s="6">
        <f>VLOOKUP(A:A,H:K,4,1)</f>
        <v>5000</v>
      </c>
      <c r="C90">
        <f>COUNTIF(H:H,A90)</f>
        <v>1</v>
      </c>
      <c r="H90" t="s">
        <v>50</v>
      </c>
      <c r="I90">
        <v>180</v>
      </c>
      <c r="J90" t="s">
        <v>46</v>
      </c>
      <c r="K90" s="6">
        <v>8500000</v>
      </c>
    </row>
    <row r="91" spans="1:11" x14ac:dyDescent="0.3">
      <c r="A91" s="13" t="s">
        <v>93</v>
      </c>
      <c r="B91" s="6">
        <f>VLOOKUP(A:A,H:K,4,1)</f>
        <v>3000000</v>
      </c>
      <c r="C91">
        <f>COUNTIF(H:H,A91)</f>
        <v>1</v>
      </c>
      <c r="H91" t="s">
        <v>163</v>
      </c>
      <c r="I91" t="s">
        <v>164</v>
      </c>
      <c r="J91" t="s">
        <v>46</v>
      </c>
      <c r="K91" s="6">
        <v>1500000</v>
      </c>
    </row>
    <row r="92" spans="1:11" x14ac:dyDescent="0.3">
      <c r="H92" t="s">
        <v>125</v>
      </c>
      <c r="J92" t="s">
        <v>61</v>
      </c>
    </row>
    <row r="93" spans="1:11" x14ac:dyDescent="0.3">
      <c r="H93" t="s">
        <v>133</v>
      </c>
      <c r="J93" t="s">
        <v>61</v>
      </c>
      <c r="K93" s="6">
        <v>15000</v>
      </c>
    </row>
    <row r="94" spans="1:11" x14ac:dyDescent="0.3">
      <c r="H94" t="s">
        <v>133</v>
      </c>
      <c r="J94" t="s">
        <v>61</v>
      </c>
      <c r="K94" s="6">
        <v>10000</v>
      </c>
    </row>
    <row r="95" spans="1:11" x14ac:dyDescent="0.3">
      <c r="H95" t="s">
        <v>113</v>
      </c>
      <c r="J95" t="s">
        <v>61</v>
      </c>
      <c r="K95" s="6">
        <v>195000</v>
      </c>
    </row>
    <row r="96" spans="1:11" x14ac:dyDescent="0.3">
      <c r="H96" t="s">
        <v>152</v>
      </c>
      <c r="J96" t="s">
        <v>61</v>
      </c>
      <c r="K96" s="6">
        <v>200000</v>
      </c>
    </row>
    <row r="97" spans="8:11" x14ac:dyDescent="0.3">
      <c r="H97" t="s">
        <v>143</v>
      </c>
      <c r="J97" t="s">
        <v>61</v>
      </c>
      <c r="K97" s="6">
        <v>10000</v>
      </c>
    </row>
    <row r="98" spans="8:11" x14ac:dyDescent="0.3">
      <c r="H98" t="s">
        <v>71</v>
      </c>
      <c r="J98" t="s">
        <v>61</v>
      </c>
      <c r="K98" s="6">
        <v>120000</v>
      </c>
    </row>
    <row r="99" spans="8:11" x14ac:dyDescent="0.3">
      <c r="H99" t="s">
        <v>142</v>
      </c>
      <c r="J99" t="s">
        <v>61</v>
      </c>
      <c r="K99" s="6">
        <v>10000</v>
      </c>
    </row>
    <row r="100" spans="8:11" x14ac:dyDescent="0.3">
      <c r="H100" t="s">
        <v>142</v>
      </c>
      <c r="J100" t="s">
        <v>61</v>
      </c>
      <c r="K100" s="6">
        <v>5000</v>
      </c>
    </row>
    <row r="101" spans="8:11" x14ac:dyDescent="0.3">
      <c r="H101" t="s">
        <v>69</v>
      </c>
      <c r="J101" t="s">
        <v>61</v>
      </c>
      <c r="K101" s="6">
        <v>200000</v>
      </c>
    </row>
    <row r="102" spans="8:11" x14ac:dyDescent="0.3">
      <c r="H102" t="s">
        <v>69</v>
      </c>
      <c r="J102" t="s">
        <v>61</v>
      </c>
      <c r="K102" s="6">
        <v>60000</v>
      </c>
    </row>
    <row r="103" spans="8:11" x14ac:dyDescent="0.3">
      <c r="H103" t="s">
        <v>115</v>
      </c>
      <c r="J103" t="s">
        <v>61</v>
      </c>
      <c r="K103" s="6">
        <v>75000</v>
      </c>
    </row>
    <row r="104" spans="8:11" x14ac:dyDescent="0.3">
      <c r="H104" t="s">
        <v>92</v>
      </c>
      <c r="J104" t="s">
        <v>61</v>
      </c>
      <c r="K104" s="6">
        <v>2400000</v>
      </c>
    </row>
    <row r="105" spans="8:11" x14ac:dyDescent="0.3">
      <c r="H105" t="s">
        <v>165</v>
      </c>
      <c r="J105" t="s">
        <v>61</v>
      </c>
      <c r="K105" s="6">
        <v>30000</v>
      </c>
    </row>
    <row r="106" spans="8:11" x14ac:dyDescent="0.3">
      <c r="H106" t="s">
        <v>154</v>
      </c>
      <c r="J106" t="s">
        <v>61</v>
      </c>
      <c r="K106" s="6">
        <v>30000</v>
      </c>
    </row>
    <row r="107" spans="8:11" x14ac:dyDescent="0.3">
      <c r="H107" t="s">
        <v>157</v>
      </c>
      <c r="J107" t="s">
        <v>46</v>
      </c>
      <c r="K107" s="6">
        <v>700000</v>
      </c>
    </row>
    <row r="108" spans="8:11" x14ac:dyDescent="0.3">
      <c r="H108" t="s">
        <v>145</v>
      </c>
      <c r="I108" t="s">
        <v>146</v>
      </c>
      <c r="J108" t="s">
        <v>46</v>
      </c>
      <c r="K108" s="6">
        <v>800000</v>
      </c>
    </row>
    <row r="109" spans="8:11" x14ac:dyDescent="0.3">
      <c r="H109" t="s">
        <v>147</v>
      </c>
      <c r="I109" t="s">
        <v>148</v>
      </c>
      <c r="J109" t="s">
        <v>46</v>
      </c>
      <c r="K109" s="6">
        <v>800000</v>
      </c>
    </row>
    <row r="110" spans="8:11" x14ac:dyDescent="0.3">
      <c r="H110" t="s">
        <v>96</v>
      </c>
      <c r="J110" t="s">
        <v>97</v>
      </c>
      <c r="K110" s="6">
        <v>460000</v>
      </c>
    </row>
    <row r="111" spans="8:11" x14ac:dyDescent="0.3">
      <c r="H111" t="s">
        <v>95</v>
      </c>
      <c r="J111" t="s">
        <v>61</v>
      </c>
      <c r="K111" s="6">
        <v>1300000</v>
      </c>
    </row>
    <row r="112" spans="8:11" x14ac:dyDescent="0.3">
      <c r="H112" t="s">
        <v>122</v>
      </c>
      <c r="J112" t="s">
        <v>46</v>
      </c>
      <c r="K112" s="6">
        <v>4200000</v>
      </c>
    </row>
    <row r="113" spans="8:11" x14ac:dyDescent="0.3">
      <c r="H113" t="s">
        <v>81</v>
      </c>
      <c r="I113" t="s">
        <v>82</v>
      </c>
      <c r="J113" t="s">
        <v>46</v>
      </c>
      <c r="K113" s="6">
        <v>8500000</v>
      </c>
    </row>
    <row r="114" spans="8:11" x14ac:dyDescent="0.3">
      <c r="H114" t="s">
        <v>175</v>
      </c>
      <c r="I114">
        <v>168</v>
      </c>
      <c r="J114" t="s">
        <v>46</v>
      </c>
      <c r="K114" s="6">
        <v>8500000</v>
      </c>
    </row>
    <row r="115" spans="8:11" x14ac:dyDescent="0.3">
      <c r="H115" t="s">
        <v>48</v>
      </c>
      <c r="I115">
        <v>2703</v>
      </c>
      <c r="J115" t="s">
        <v>46</v>
      </c>
      <c r="K115" s="6">
        <v>8500000</v>
      </c>
    </row>
    <row r="116" spans="8:11" x14ac:dyDescent="0.3">
      <c r="H116" t="s">
        <v>166</v>
      </c>
      <c r="I116">
        <v>2703</v>
      </c>
      <c r="J116" t="s">
        <v>46</v>
      </c>
      <c r="K116" s="6">
        <v>8500000</v>
      </c>
    </row>
    <row r="117" spans="8:11" x14ac:dyDescent="0.3">
      <c r="H117" t="s">
        <v>168</v>
      </c>
      <c r="I117">
        <v>2703</v>
      </c>
      <c r="J117" t="s">
        <v>46</v>
      </c>
      <c r="K117" s="6">
        <v>8500000</v>
      </c>
    </row>
    <row r="118" spans="8:11" x14ac:dyDescent="0.3">
      <c r="H118" t="s">
        <v>170</v>
      </c>
      <c r="I118">
        <v>2703</v>
      </c>
      <c r="J118" t="s">
        <v>46</v>
      </c>
      <c r="K118" s="6">
        <v>8500000</v>
      </c>
    </row>
    <row r="119" spans="8:11" x14ac:dyDescent="0.3">
      <c r="H119" t="s">
        <v>172</v>
      </c>
      <c r="I119">
        <v>2703</v>
      </c>
      <c r="J119" t="s">
        <v>46</v>
      </c>
      <c r="K119" s="6">
        <v>8500000</v>
      </c>
    </row>
    <row r="120" spans="8:11" x14ac:dyDescent="0.3">
      <c r="H120" t="s">
        <v>181</v>
      </c>
      <c r="I120">
        <v>2703</v>
      </c>
      <c r="J120" t="s">
        <v>46</v>
      </c>
      <c r="K120" s="6">
        <v>8500000</v>
      </c>
    </row>
    <row r="121" spans="8:11" x14ac:dyDescent="0.3">
      <c r="H121" t="s">
        <v>184</v>
      </c>
      <c r="I121">
        <v>2703</v>
      </c>
      <c r="J121" t="s">
        <v>46</v>
      </c>
      <c r="K121" s="6">
        <v>8500000</v>
      </c>
    </row>
    <row r="122" spans="8:11" x14ac:dyDescent="0.3">
      <c r="H122" t="s">
        <v>120</v>
      </c>
      <c r="J122" t="s">
        <v>61</v>
      </c>
      <c r="K122" s="6">
        <v>50000</v>
      </c>
    </row>
    <row r="123" spans="8:11" x14ac:dyDescent="0.3">
      <c r="H123" t="s">
        <v>120</v>
      </c>
      <c r="J123" t="s">
        <v>61</v>
      </c>
      <c r="K123" s="6">
        <v>30000</v>
      </c>
    </row>
    <row r="124" spans="8:11" x14ac:dyDescent="0.3">
      <c r="H124" t="s">
        <v>134</v>
      </c>
      <c r="J124" t="s">
        <v>61</v>
      </c>
      <c r="K124" s="6">
        <v>5000</v>
      </c>
    </row>
    <row r="125" spans="8:11" x14ac:dyDescent="0.3">
      <c r="H125" t="s">
        <v>134</v>
      </c>
      <c r="J125" t="s">
        <v>61</v>
      </c>
      <c r="K125" s="6">
        <v>30000</v>
      </c>
    </row>
    <row r="126" spans="8:11" x14ac:dyDescent="0.3">
      <c r="H126" t="s">
        <v>114</v>
      </c>
      <c r="J126" t="s">
        <v>61</v>
      </c>
      <c r="K126" s="6">
        <v>13000</v>
      </c>
    </row>
    <row r="127" spans="8:11" x14ac:dyDescent="0.3">
      <c r="H127" t="s">
        <v>114</v>
      </c>
      <c r="J127" t="s">
        <v>61</v>
      </c>
      <c r="K127" s="6">
        <v>60000</v>
      </c>
    </row>
    <row r="128" spans="8:11" x14ac:dyDescent="0.3">
      <c r="H128" t="s">
        <v>141</v>
      </c>
      <c r="J128" t="s">
        <v>61</v>
      </c>
      <c r="K128" s="6">
        <v>60000</v>
      </c>
    </row>
    <row r="129" spans="8:11" x14ac:dyDescent="0.3">
      <c r="H129" t="s">
        <v>141</v>
      </c>
      <c r="J129" t="s">
        <v>61</v>
      </c>
      <c r="K129" s="6">
        <v>30000</v>
      </c>
    </row>
    <row r="130" spans="8:11" x14ac:dyDescent="0.3">
      <c r="H130" t="s">
        <v>121</v>
      </c>
      <c r="J130" t="s">
        <v>61</v>
      </c>
      <c r="K130" s="6">
        <v>100000</v>
      </c>
    </row>
    <row r="131" spans="8:11" x14ac:dyDescent="0.3">
      <c r="H131" t="s">
        <v>135</v>
      </c>
      <c r="J131" t="s">
        <v>61</v>
      </c>
      <c r="K131" s="6">
        <v>5000</v>
      </c>
    </row>
    <row r="132" spans="8:11" x14ac:dyDescent="0.3">
      <c r="H132" t="s">
        <v>93</v>
      </c>
      <c r="J132" t="s">
        <v>61</v>
      </c>
      <c r="K132" s="6">
        <v>3000000</v>
      </c>
    </row>
  </sheetData>
  <autoFilter ref="P1:P132" xr:uid="{00000000-0001-0000-0000-000000000000}">
    <sortState xmlns:xlrd2="http://schemas.microsoft.com/office/spreadsheetml/2017/richdata2" ref="P2:P132">
      <sortCondition ref="P1:P132"/>
    </sortState>
  </autoFilter>
  <phoneticPr fontId="2" type="noConversion"/>
  <conditionalFormatting sqref="H1:H132 H176:H1048576">
    <cfRule type="duplicateValues" dxfId="117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1333-41AB-4D2D-A1DC-3A20FBBF24F8}">
  <dimension ref="A1:F17"/>
  <sheetViews>
    <sheetView workbookViewId="0">
      <selection activeCell="E19" sqref="E19"/>
    </sheetView>
  </sheetViews>
  <sheetFormatPr defaultRowHeight="14.4" x14ac:dyDescent="0.3"/>
  <cols>
    <col min="1" max="1" width="37.21875" customWidth="1"/>
    <col min="2" max="2" width="17.88671875" customWidth="1"/>
    <col min="3" max="3" width="17.21875" customWidth="1"/>
    <col min="5" max="6" width="16.109375" bestFit="1" customWidth="1"/>
  </cols>
  <sheetData>
    <row r="1" spans="1:6" x14ac:dyDescent="0.3">
      <c r="A1" s="11" t="s">
        <v>0</v>
      </c>
      <c r="B1" s="12" t="s">
        <v>186</v>
      </c>
      <c r="C1" s="12" t="s">
        <v>1</v>
      </c>
      <c r="D1" s="16" t="s">
        <v>197</v>
      </c>
      <c r="E1" s="12" t="s">
        <v>42</v>
      </c>
      <c r="F1" s="16" t="s">
        <v>198</v>
      </c>
    </row>
    <row r="2" spans="1:6" x14ac:dyDescent="0.3">
      <c r="A2" t="s">
        <v>5</v>
      </c>
      <c r="B2" t="s">
        <v>187</v>
      </c>
      <c r="C2" t="s">
        <v>6</v>
      </c>
      <c r="D2">
        <v>1</v>
      </c>
      <c r="E2" s="6">
        <f>SUMIFS('Al update MTO - 05-1-30'!K:K,'Al update MTO - 05-1-30'!A:A,A2,'Al update MTO - 05-1-30'!B:B,Line!C2)</f>
        <v>802700038.30000007</v>
      </c>
      <c r="F2" s="6">
        <f>D2*E2</f>
        <v>802700038.30000007</v>
      </c>
    </row>
    <row r="3" spans="1:6" x14ac:dyDescent="0.3">
      <c r="A3" t="s">
        <v>5</v>
      </c>
      <c r="B3" t="s">
        <v>187</v>
      </c>
      <c r="C3" t="s">
        <v>12</v>
      </c>
      <c r="D3">
        <v>1</v>
      </c>
      <c r="E3" s="6">
        <f>SUMIFS('Al update MTO - 05-1-30'!K:K,'Al update MTO - 05-1-30'!A:A,A3,'Al update MTO - 05-1-30'!B:B,Line!C3)</f>
        <v>125880000</v>
      </c>
      <c r="F3" s="6">
        <f t="shared" ref="F3:F10" si="0">D3*E3</f>
        <v>125880000</v>
      </c>
    </row>
    <row r="4" spans="1:6" x14ac:dyDescent="0.3">
      <c r="A4" t="s">
        <v>5</v>
      </c>
      <c r="B4" t="s">
        <v>187</v>
      </c>
      <c r="C4" t="s">
        <v>11</v>
      </c>
      <c r="D4">
        <v>2</v>
      </c>
      <c r="E4" s="6">
        <f>SUMIFS('Al update MTO - 05-1-30'!K:K,'Al update MTO - 05-1-30'!A:A,A4,'Al update MTO - 05-1-30'!B:B,Line!C4)</f>
        <v>220320000</v>
      </c>
      <c r="F4" s="6">
        <f t="shared" si="0"/>
        <v>440640000</v>
      </c>
    </row>
    <row r="5" spans="1:6" x14ac:dyDescent="0.3">
      <c r="A5" t="s">
        <v>5</v>
      </c>
      <c r="B5" t="s">
        <v>187</v>
      </c>
      <c r="C5" t="s">
        <v>14</v>
      </c>
      <c r="D5">
        <v>1</v>
      </c>
      <c r="E5" s="6">
        <f>SUMIFS('Al update MTO - 05-1-30'!K:K,'Al update MTO - 05-1-30'!A:A,A5,'Al update MTO - 05-1-30'!B:B,Line!C5)</f>
        <v>138880000</v>
      </c>
      <c r="F5" s="6">
        <f t="shared" si="0"/>
        <v>138880000</v>
      </c>
    </row>
    <row r="6" spans="1:6" x14ac:dyDescent="0.3">
      <c r="A6" t="s">
        <v>5</v>
      </c>
      <c r="B6" t="s">
        <v>189</v>
      </c>
      <c r="C6" t="s">
        <v>6</v>
      </c>
      <c r="D6">
        <v>1</v>
      </c>
      <c r="E6" s="6">
        <f>SUMIFS('Al update MTO - 05-1-30'!K:K,'Al update MTO - 05-1-30'!A:A,A6,'Al update MTO - 05-1-30'!B:B,Line!C6)</f>
        <v>802700038.30000007</v>
      </c>
      <c r="F6" s="6">
        <f>D6*E6</f>
        <v>802700038.30000007</v>
      </c>
    </row>
    <row r="7" spans="1:6" x14ac:dyDescent="0.3">
      <c r="A7" t="s">
        <v>5</v>
      </c>
      <c r="B7" t="s">
        <v>189</v>
      </c>
      <c r="C7" t="s">
        <v>12</v>
      </c>
      <c r="D7">
        <v>1</v>
      </c>
      <c r="E7" s="6">
        <f>SUMIFS('Al update MTO - 05-1-30'!K:K,'Al update MTO - 05-1-30'!A:A,A7,'Al update MTO - 05-1-30'!B:B,Line!C7)</f>
        <v>125880000</v>
      </c>
      <c r="F7" s="6">
        <f t="shared" ref="F7:F9" si="1">D7*E7</f>
        <v>125880000</v>
      </c>
    </row>
    <row r="8" spans="1:6" x14ac:dyDescent="0.3">
      <c r="A8" t="s">
        <v>5</v>
      </c>
      <c r="B8" t="s">
        <v>189</v>
      </c>
      <c r="C8" t="s">
        <v>11</v>
      </c>
      <c r="D8">
        <v>2</v>
      </c>
      <c r="E8" s="6">
        <f>SUMIFS('Al update MTO - 05-1-30'!K:K,'Al update MTO - 05-1-30'!A:A,A8,'Al update MTO - 05-1-30'!B:B,Line!C8)</f>
        <v>220320000</v>
      </c>
      <c r="F8" s="6">
        <f t="shared" si="1"/>
        <v>440640000</v>
      </c>
    </row>
    <row r="9" spans="1:6" x14ac:dyDescent="0.3">
      <c r="A9" t="s">
        <v>5</v>
      </c>
      <c r="B9" t="s">
        <v>189</v>
      </c>
      <c r="C9" t="s">
        <v>9</v>
      </c>
      <c r="D9">
        <v>1</v>
      </c>
      <c r="E9" s="6">
        <f>SUMIFS('Al update MTO - 05-1-30'!K:K,'Al update MTO - 05-1-30'!A:A,A9,'Al update MTO - 05-1-30'!B:B,Line!C9)</f>
        <v>446336536.22000003</v>
      </c>
      <c r="F9" s="6">
        <f t="shared" si="1"/>
        <v>446336536.22000003</v>
      </c>
    </row>
    <row r="10" spans="1:6" x14ac:dyDescent="0.3">
      <c r="A10" t="s">
        <v>21</v>
      </c>
      <c r="B10" t="s">
        <v>187</v>
      </c>
      <c r="C10" t="s">
        <v>22</v>
      </c>
      <c r="D10">
        <v>1</v>
      </c>
      <c r="E10" s="6">
        <f>SUMIFS('Al update MTO - 05-1-30'!K:K,'Al update MTO - 05-1-30'!A:A,A10,'Al update MTO - 05-1-30'!B:B,Line!C10)</f>
        <v>1192956814</v>
      </c>
      <c r="F10" s="6">
        <f>D10*E10</f>
        <v>1192956814</v>
      </c>
    </row>
    <row r="11" spans="1:6" x14ac:dyDescent="0.3">
      <c r="A11" t="s">
        <v>21</v>
      </c>
      <c r="B11" t="s">
        <v>187</v>
      </c>
      <c r="C11" t="s">
        <v>12</v>
      </c>
      <c r="D11">
        <v>1</v>
      </c>
      <c r="E11" s="6">
        <f>SUMIFS('Al update MTO - 05-1-30'!K:K,'Al update MTO - 05-1-30'!A:A,A11,'Al update MTO - 05-1-30'!B:B,Line!C11)</f>
        <v>195180000</v>
      </c>
      <c r="F11" s="6">
        <f t="shared" ref="F11:F13" si="2">D11*E11</f>
        <v>195180000</v>
      </c>
    </row>
    <row r="12" spans="1:6" x14ac:dyDescent="0.3">
      <c r="A12" t="s">
        <v>21</v>
      </c>
      <c r="B12" t="s">
        <v>187</v>
      </c>
      <c r="C12" t="s">
        <v>11</v>
      </c>
      <c r="D12">
        <v>2</v>
      </c>
      <c r="E12" s="6">
        <f>SUMIFS('Al update MTO - 05-1-30'!K:K,'Al update MTO - 05-1-30'!A:A,A12,'Al update MTO - 05-1-30'!B:B,Line!C12)</f>
        <v>220320000</v>
      </c>
      <c r="F12" s="6">
        <f t="shared" si="2"/>
        <v>440640000</v>
      </c>
    </row>
    <row r="13" spans="1:6" x14ac:dyDescent="0.3">
      <c r="A13" t="s">
        <v>21</v>
      </c>
      <c r="B13" t="s">
        <v>187</v>
      </c>
      <c r="C13" t="s">
        <v>14</v>
      </c>
      <c r="D13">
        <v>1</v>
      </c>
      <c r="E13" s="6">
        <f>SUMIFS('Al update MTO - 05-1-30'!K:K,'Al update MTO - 05-1-30'!A:A,A13,'Al update MTO - 05-1-30'!B:B,Line!C13)</f>
        <v>187280000</v>
      </c>
      <c r="F13" s="6">
        <f t="shared" si="2"/>
        <v>187280000</v>
      </c>
    </row>
    <row r="14" spans="1:6" x14ac:dyDescent="0.3">
      <c r="A14" t="s">
        <v>21</v>
      </c>
      <c r="B14" t="s">
        <v>189</v>
      </c>
      <c r="C14" t="s">
        <v>22</v>
      </c>
      <c r="D14">
        <v>1</v>
      </c>
      <c r="E14" s="6">
        <f>SUMIFS('Al update MTO - 05-1-30'!K:K,'Al update MTO - 05-1-30'!A:A,A14,'Al update MTO - 05-1-30'!B:B,Line!C14)</f>
        <v>1192956814</v>
      </c>
      <c r="F14" s="6">
        <f>D14*E14</f>
        <v>1192956814</v>
      </c>
    </row>
    <row r="15" spans="1:6" x14ac:dyDescent="0.3">
      <c r="A15" t="s">
        <v>21</v>
      </c>
      <c r="B15" t="s">
        <v>189</v>
      </c>
      <c r="C15" t="s">
        <v>12</v>
      </c>
      <c r="D15">
        <v>1</v>
      </c>
      <c r="E15" s="6">
        <f>SUMIFS('Al update MTO - 05-1-30'!K:K,'Al update MTO - 05-1-30'!A:A,A15,'Al update MTO - 05-1-30'!B:B,Line!C15)</f>
        <v>195180000</v>
      </c>
      <c r="F15" s="6">
        <f t="shared" ref="F15:F17" si="3">D15*E15</f>
        <v>195180000</v>
      </c>
    </row>
    <row r="16" spans="1:6" x14ac:dyDescent="0.3">
      <c r="A16" t="s">
        <v>21</v>
      </c>
      <c r="B16" t="s">
        <v>189</v>
      </c>
      <c r="C16" t="s">
        <v>11</v>
      </c>
      <c r="D16">
        <v>2</v>
      </c>
      <c r="E16" s="6">
        <f>SUMIFS('Al update MTO - 05-1-30'!K:K,'Al update MTO - 05-1-30'!A:A,A16,'Al update MTO - 05-1-30'!B:B,Line!C16)</f>
        <v>220320000</v>
      </c>
      <c r="F16" s="6">
        <f t="shared" si="3"/>
        <v>440640000</v>
      </c>
    </row>
    <row r="17" spans="1:6" x14ac:dyDescent="0.3">
      <c r="A17" t="s">
        <v>21</v>
      </c>
      <c r="B17" t="s">
        <v>189</v>
      </c>
      <c r="C17" t="s">
        <v>9</v>
      </c>
      <c r="D17">
        <v>1</v>
      </c>
      <c r="E17" s="6">
        <f>SUMIFS('Al update MTO - 05-1-30'!K:K,'Al update MTO - 05-1-30'!A:A,A17,'Al update MTO - 05-1-30'!B:B,Line!C17)</f>
        <v>597624892.08000004</v>
      </c>
      <c r="F17" s="6">
        <f t="shared" si="3"/>
        <v>597624892.08000004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44AF6A-C174-4BFB-AD13-8FA1CFA42B65}">
          <x14:formula1>
            <xm:f>متریال!$N$2:$N$11</xm:f>
          </x14:formula1>
          <xm:sqref>A2:A17</xm:sqref>
        </x14:dataValidation>
        <x14:dataValidation type="list" allowBlank="1" showInputMessage="1" showErrorMessage="1" xr:uid="{866584A4-0314-43A0-B62C-B8AE2C02161A}">
          <x14:formula1>
            <xm:f>متریال!$P$2:$P$24</xm:f>
          </x14:formula1>
          <xm:sqref>C2:C17</xm:sqref>
        </x14:dataValidation>
        <x14:dataValidation type="list" allowBlank="1" showInputMessage="1" showErrorMessage="1" xr:uid="{7CE32B40-4AFE-4A68-9A1E-2FEC02955594}">
          <x14:formula1>
            <xm:f>متریال!$R$2:$R$10</xm:f>
          </x14:formula1>
          <xm:sqref>B2:B17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5C7C-5D06-4C5A-861A-ED49FE64FAE4}">
  <dimension ref="A3:C10"/>
  <sheetViews>
    <sheetView workbookViewId="0">
      <selection activeCell="A5" sqref="A5"/>
    </sheetView>
  </sheetViews>
  <sheetFormatPr defaultRowHeight="14.4" x14ac:dyDescent="0.3"/>
  <cols>
    <col min="1" max="1" width="35.44140625" bestFit="1" customWidth="1"/>
    <col min="2" max="2" width="10.44140625" bestFit="1" customWidth="1"/>
    <col min="3" max="3" width="16.33203125" bestFit="1" customWidth="1"/>
    <col min="4" max="4" width="10.44140625" bestFit="1" customWidth="1"/>
    <col min="5" max="5" width="16.33203125" bestFit="1" customWidth="1"/>
    <col min="6" max="6" width="10.44140625" bestFit="1" customWidth="1"/>
    <col min="7" max="7" width="16.33203125" bestFit="1" customWidth="1"/>
    <col min="8" max="8" width="15.21875" bestFit="1" customWidth="1"/>
    <col min="9" max="9" width="21.109375" bestFit="1" customWidth="1"/>
  </cols>
  <sheetData>
    <row r="3" spans="1:3" x14ac:dyDescent="0.3">
      <c r="A3" s="4" t="s">
        <v>176</v>
      </c>
      <c r="B3" t="s">
        <v>199</v>
      </c>
      <c r="C3" t="s">
        <v>200</v>
      </c>
    </row>
    <row r="4" spans="1:3" x14ac:dyDescent="0.3">
      <c r="A4" s="5" t="s">
        <v>5</v>
      </c>
      <c r="B4" s="10">
        <v>10</v>
      </c>
      <c r="C4" s="7">
        <v>3323656612.8200006</v>
      </c>
    </row>
    <row r="5" spans="1:3" x14ac:dyDescent="0.3">
      <c r="A5" s="9" t="s">
        <v>187</v>
      </c>
      <c r="B5" s="10">
        <v>5</v>
      </c>
      <c r="C5" s="7">
        <v>1508100038.3000002</v>
      </c>
    </row>
    <row r="6" spans="1:3" x14ac:dyDescent="0.3">
      <c r="A6" s="9" t="s">
        <v>189</v>
      </c>
      <c r="B6" s="10">
        <v>5</v>
      </c>
      <c r="C6" s="7">
        <v>1815556574.5200002</v>
      </c>
    </row>
    <row r="7" spans="1:3" x14ac:dyDescent="0.3">
      <c r="A7" s="5" t="s">
        <v>21</v>
      </c>
      <c r="B7" s="10">
        <v>10</v>
      </c>
      <c r="C7" s="10">
        <v>4442458520.0799999</v>
      </c>
    </row>
    <row r="8" spans="1:3" x14ac:dyDescent="0.3">
      <c r="A8" s="9" t="s">
        <v>187</v>
      </c>
      <c r="B8" s="10">
        <v>5</v>
      </c>
      <c r="C8" s="10">
        <v>2016056814</v>
      </c>
    </row>
    <row r="9" spans="1:3" x14ac:dyDescent="0.3">
      <c r="A9" s="9" t="s">
        <v>189</v>
      </c>
      <c r="B9" s="10">
        <v>5</v>
      </c>
      <c r="C9" s="10">
        <v>2426401706.0799999</v>
      </c>
    </row>
    <row r="10" spans="1:3" x14ac:dyDescent="0.3">
      <c r="A10" s="5" t="s">
        <v>177</v>
      </c>
      <c r="B10" s="10">
        <v>20</v>
      </c>
      <c r="C10" s="10">
        <v>7766115132.9000006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D7115F-F080-4017-99E8-C32ADA15A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Al update MTO - 05-1-30</vt:lpstr>
      <vt:lpstr>متریال</vt:lpstr>
      <vt:lpstr>Line</vt:lpstr>
      <vt:lpstr>خروجی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</dc:creator>
  <cp:lastModifiedBy>Sina 12345</cp:lastModifiedBy>
  <dcterms:created xsi:type="dcterms:W3CDTF">2015-06-05T18:17:20Z</dcterms:created>
  <dcterms:modified xsi:type="dcterms:W3CDTF">2026-05-02T08:33:31Z</dcterms:modified>
</cp:coreProperties>
</file>